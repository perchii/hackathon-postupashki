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rketing_events" sheetId="1" r:id="rId5"/>
    <sheet state="visible" name="sales_anomalies" sheetId="2" r:id="rId6"/>
    <sheet state="visible" name="sources" sheetId="3" r:id="rId7"/>
    <sheet state="visible" name="dictionary" sheetId="4" r:id="rId8"/>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3">
      <text>
        <t xml:space="preserve">Telegram-канал, чат или другой источник, где произошло событие. Лучше указывать @username или однозначное название.</t>
      </text>
    </comment>
    <comment authorId="0" ref="D3">
      <text>
        <t xml:space="preserve">Что это за активность: продающий пост, скидка, запуск, внешняя реклама, интеграция, упоминание и т. п.</t>
      </text>
    </comment>
    <comment authorId="0" ref="E3">
      <text>
        <t xml:space="preserve">Какой курс или продукт продвигался. Если несколько — перечислить или указать multiple.</t>
      </text>
    </comment>
    <comment authorId="0" ref="F3">
      <text>
        <t xml:space="preserve">Название более широкой маркетинговой кампании или запуска, к которому относится событие.</t>
      </text>
    </comment>
    <comment authorId="0" ref="G3">
      <text>
        <t xml:space="preserve">Конкретное рекламное размещение внутри кампании. Можно использовать ID или понятное название.</t>
      </text>
    </comment>
    <comment authorId="0" ref="H3">
      <text>
        <t xml:space="preserve">Краткое описание рекламного сообщения, оффера или креатива. Не обязательно копировать весь пост.</t>
      </text>
    </comment>
    <comment authorId="0" ref="I3">
      <text>
        <t xml:space="preserve">internal — собственный канал Поступашек; external — внешний канал или чужая площадка.</t>
      </text>
    </comment>
    <comment authorId="0" ref="J3">
      <text>
        <t xml:space="preserve">Прямая ссылка на публикацию или источник, если доступна. Нужна для проверки найденного события.</t>
      </text>
    </comment>
    <comment authorId="0" ref="K3">
      <text>
        <t xml:space="preserve">Количество просмотров публикации на момент сбора данных, если доступно.</t>
      </text>
    </comment>
    <comment authorId="0" ref="L3">
      <text>
        <t xml:space="preserve">Количество реакций или иной доступный engagement-показатель. Если данных нет — оставить пустым.</t>
      </text>
    </comment>
    <comment authorId="0" ref="M3">
      <text>
        <t xml:space="preserve">Стоимость конкретного размещения в рублях. Для исторических событий часто неизвестна — тогда оставить пустым, не придумывать.</t>
      </text>
    </comment>
    <comment authorId="0" ref="N3">
      <text>
        <t xml:space="preserve">Откуда взяли информацию: Telegram, TGStat, Telegram API, архив или другой источник.</t>
      </text>
    </comment>
    <comment authorId="0" ref="O3">
      <text>
        <t xml:space="preserve">Насколько уверены, что событие восстановлено корректно: high / medium / low.</t>
      </text>
    </comment>
    <comment authorId="0" ref="P3">
      <text>
        <t xml:space="preserve">Имя участника команды, который нашёл и добавил запись.</t>
      </text>
    </comment>
    <comment authorId="0" ref="Q3">
      <text>
        <t xml:space="preserve">Любой важный контекст: почему считаем это рекламой, что неясно, возможная связь с запуском и т. п.</t>
      </text>
    </comment>
    <comment authorId="0" ref="R3">
      <text>
        <t xml:space="preserve">Как связан канал с Поступашками: internal — основной/собственный канал; affiliated — связанный канал или сеть; external_independent — независимая площадка; unknown — связь не установлена.</t>
      </text>
    </comment>
    <comment authorId="0" ref="S3">
      <text>
        <t xml:space="preserve">Насколько подтверждён факт платного размещения: confirmed_paid / likely_paid / unpaid_or_owned / unknown. Не считать размещение платным без подтверждения.</t>
      </text>
    </comment>
    <comment authorId="0" ref="A3">
      <text>
        <t xml:space="preserve">Уникальный идентификатор маркетингового события. Пример: EVT-001. Нужен, чтобы ссылаться на событие из других листов.</t>
      </text>
    </comment>
    <comment authorId="0" ref="B3">
      <text>
        <t xml:space="preserve">Дата и, если известно, время публикации или маркетинговой активности. Чем точнее время, тем лучше для сопоставления с продажами.</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C3">
      <text>
        <t xml:space="preserve">Какая метрика изменилась: orders, buyers, revenue, aov, repeat_rate и т. п.</t>
      </text>
    </comment>
    <comment authorId="0" ref="D3">
      <text>
        <t xml:space="preserve">Реально наблюдаемое значение метрики в эту дату или период.</t>
      </text>
    </comment>
    <comment authorId="0" ref="E3">
      <text>
        <t xml:space="preserve">Ожидаемое или типичное значение для сравнения: среднее, медиана, baseline-модель — способ нужно описать в notes.</t>
      </text>
    </comment>
    <comment authorId="0" ref="F3">
      <text>
        <t xml:space="preserve">Процентное отклонение фактического значения от baseline. Желательно считать единообразно.</t>
      </text>
    </comment>
    <comment authorId="0" ref="G3">
      <text>
        <t xml:space="preserve">Тип изменения: spike — всплеск, drop — падение, shift — структурный сдвиг, other — другое.</t>
      </text>
    </comment>
    <comment authorId="0" ref="H3">
      <text>
        <t xml:space="preserve">event_id из marketing_events, если нашли маркетинговое событие, которое по времени может быть связано с аномалией.</t>
      </text>
    </comment>
    <comment authorId="0" ref="I3">
      <text>
        <t xml:space="preserve">Кто проводил анализ и добавил наблюдение.</t>
      </text>
    </comment>
    <comment authorId="0" ref="J3">
      <text>
        <t xml:space="preserve">Как рассчитан baseline, почему аномалия важна и какие есть альтернативные объяснения.</t>
      </text>
    </comment>
    <comment authorId="0" ref="A3">
      <text>
        <t xml:space="preserve">Дата, на которую обнаружен заметный всплеск, провал или другое изменение продаж.</t>
      </text>
    </comment>
    <comment authorId="0" ref="B3">
      <text>
        <t xml:space="preserve">Курс или продукт, по которому наблюдается аномалия. Можно оставить общий уровень, если анализ по всем продуктам.</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C3">
      <text>
        <t xml:space="preserve">Понятное название канала, сервиса, архива или страницы, которую использовали.</t>
      </text>
    </comment>
    <comment authorId="0" ref="D3">
      <text>
        <t xml:space="preserve">Ссылка на источник, если он доступен онлайн.</t>
      </text>
    </comment>
    <comment authorId="0" ref="E3">
      <text>
        <t xml:space="preserve">Когда команда последний раз проверяла этот источник. Полезно, потому что публикации и метрики могут меняться.</t>
      </text>
    </comment>
    <comment authorId="0" ref="F3">
      <text>
        <t xml:space="preserve">За какой период этот источник позволяет восстановить данные. Например: 04.08–10.09.2026.</t>
      </text>
    </comment>
    <comment authorId="0" ref="A3">
      <text>
        <t xml:space="preserve">Уникальный ID источника информации. Пример: SRC-001.</t>
      </text>
    </comment>
    <comment authorId="0" ref="B3">
      <text>
        <t xml:space="preserve">Тип источника: Telegram, TGStat, Telegram API, Archive или Other.</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C3">
      <text>
        <t xml:space="preserve">Какие значения допустимы или в каком формате их вводить.</t>
      </text>
    </comment>
    <comment authorId="0" ref="D3">
      <text>
        <t xml:space="preserve">Нужно ли обязательно собирать это поле в будущей measurement system.</t>
      </text>
    </comment>
    <comment authorId="0" ref="E3">
      <text>
        <t xml:space="preserve">Пример корректного заполнения поля.</t>
      </text>
    </comment>
    <comment authorId="0" ref="A3">
      <text>
        <t xml:space="preserve">Техническое английское название поля, используемое в таблицах и коде.</t>
      </text>
    </comment>
    <comment authorId="0" ref="B3">
      <text>
        <t xml:space="preserve">Что означает поле простыми словами.</t>
      </text>
    </comment>
  </commentList>
</comments>
</file>

<file path=xl/sharedStrings.xml><?xml version="1.0" encoding="utf-8"?>
<sst xmlns="http://schemas.openxmlformats.org/spreadsheetml/2006/main" count="922" uniqueCount="264">
  <si>
    <t>Sources — где и как искали маркетинговую историю</t>
  </si>
  <si>
    <t>Marketing Event Registry — восстановление маркетинговой истории</t>
  </si>
  <si>
    <t>Sales Anomalies — даты для сопоставления с маркетинговыми событиями</t>
  </si>
  <si>
    <t>ID источника</t>
  </si>
  <si>
    <t>Тип источника</t>
  </si>
  <si>
    <t>Дата</t>
  </si>
  <si>
    <t>Название источника</t>
  </si>
  <si>
    <t>Курс / продукт</t>
  </si>
  <si>
    <t>Ссылка</t>
  </si>
  <si>
    <t>Метрика</t>
  </si>
  <si>
    <t>Дата проверки</t>
  </si>
  <si>
    <t>Фактическое значение</t>
  </si>
  <si>
    <t>Период покрытия</t>
  </si>
  <si>
    <t>Базовое значение</t>
  </si>
  <si>
    <t>Отклонение, %</t>
  </si>
  <si>
    <t>Тип аномалии</t>
  </si>
  <si>
    <t>Связанное событие</t>
  </si>
  <si>
    <t>source_id</t>
  </si>
  <si>
    <t>Аналитик</t>
  </si>
  <si>
    <t>Комментарий</t>
  </si>
  <si>
    <t>ID события</t>
  </si>
  <si>
    <t>source_type</t>
  </si>
  <si>
    <t>source_name</t>
  </si>
  <si>
    <t>Дата и время</t>
  </si>
  <si>
    <t>url</t>
  </si>
  <si>
    <t>Канал / источник</t>
  </si>
  <si>
    <t>date</t>
  </si>
  <si>
    <t>access_date</t>
  </si>
  <si>
    <t>Тип активности</t>
  </si>
  <si>
    <t>course</t>
  </si>
  <si>
    <t>coverage_period</t>
  </si>
  <si>
    <t>reliability</t>
  </si>
  <si>
    <t>metric</t>
  </si>
  <si>
    <t>notes</t>
  </si>
  <si>
    <t>Кампания</t>
  </si>
  <si>
    <t>observed_value</t>
  </si>
  <si>
    <t>SRC-001</t>
  </si>
  <si>
    <t>Размещение</t>
  </si>
  <si>
    <t>baseline_value</t>
  </si>
  <si>
    <t>delta_pct</t>
  </si>
  <si>
    <t>Креатив / текст</t>
  </si>
  <si>
    <t>anomaly_type</t>
  </si>
  <si>
    <t>Внешнее / внутреннее</t>
  </si>
  <si>
    <t>related_event_id</t>
  </si>
  <si>
    <t>Ссылка на пост</t>
  </si>
  <si>
    <t>analyst</t>
  </si>
  <si>
    <t>Просмотры</t>
  </si>
  <si>
    <t>Telegram</t>
  </si>
  <si>
    <t>Основной канал Поступашек @postypashki_old</t>
  </si>
  <si>
    <t>Реакции</t>
  </si>
  <si>
    <t/>
  </si>
  <si>
    <t>https://t.me/postypashki_old</t>
  </si>
  <si>
    <t>Стоимость, ₽</t>
  </si>
  <si>
    <t>Источник данных</t>
  </si>
  <si>
    <t>revenue</t>
  </si>
  <si>
    <t>Уверенность</t>
  </si>
  <si>
    <t>Кто нашёл</t>
  </si>
  <si>
    <t>spike</t>
  </si>
  <si>
    <t>Пример строки — заменить реальным наблюдением</t>
  </si>
  <si>
    <t>Связь канала с проектом</t>
  </si>
  <si>
    <t>Dictionary — единые правила заполнения</t>
  </si>
  <si>
    <t>Статус оплаты размещения</t>
  </si>
  <si>
    <t>Источник RAW</t>
  </si>
  <si>
    <t>Исходная категория</t>
  </si>
  <si>
    <t>Период</t>
  </si>
  <si>
    <t>Тип медиа</t>
  </si>
  <si>
    <t>Переслано из</t>
  </si>
  <si>
    <t>Исходящие ссылки</t>
  </si>
  <si>
    <t>2026-09-11</t>
  </si>
  <si>
    <t>Промо-кандидат</t>
  </si>
  <si>
    <t>Название поля</t>
  </si>
  <si>
    <t>01.07–10.09.2026</t>
  </si>
  <si>
    <t>Есть предложение</t>
  </si>
  <si>
    <t>Есть скидка</t>
  </si>
  <si>
    <t>high</t>
  </si>
  <si>
    <t>Пример источника</t>
  </si>
  <si>
    <t>Описание</t>
  </si>
  <si>
    <t>Есть запуск</t>
  </si>
  <si>
    <t>SRC-002</t>
  </si>
  <si>
    <t>Лид-магнит</t>
  </si>
  <si>
    <t>Допустимые значения / формат</t>
  </si>
  <si>
    <t>@algoses</t>
  </si>
  <si>
    <t>Рекламная маркировка</t>
  </si>
  <si>
    <t>https://t.me/algoses</t>
  </si>
  <si>
    <t>ERID</t>
  </si>
  <si>
    <t>Обязательность в будущем</t>
  </si>
  <si>
    <t>Время сбора / UTC</t>
  </si>
  <si>
    <t>RAW/HTML источник</t>
  </si>
  <si>
    <t>Пример</t>
  </si>
  <si>
    <t>Уровень продуктовой привязки</t>
  </si>
  <si>
    <t>Линейка продукта</t>
  </si>
  <si>
    <t>Курс, восстановленный из текста</t>
  </si>
  <si>
    <t>Тематика контента</t>
  </si>
  <si>
    <t>Курсы-кандидаты для сопоставления с продажами</t>
  </si>
  <si>
    <t>field_name</t>
  </si>
  <si>
    <t>SRC-003</t>
  </si>
  <si>
    <t>@codeof_art</t>
  </si>
  <si>
    <t>event_id</t>
  </si>
  <si>
    <t>description</t>
  </si>
  <si>
    <t>https://t.me/codeof_art</t>
  </si>
  <si>
    <t>allowed_values_or_format</t>
  </si>
  <si>
    <t>event_time</t>
  </si>
  <si>
    <t>source_channel</t>
  </si>
  <si>
    <t>required_future</t>
  </si>
  <si>
    <t>activity_type</t>
  </si>
  <si>
    <t>example</t>
  </si>
  <si>
    <t>Уникальный ID маркетингового события</t>
  </si>
  <si>
    <t>EVT-001, EVT-002, ...</t>
  </si>
  <si>
    <t>yes</t>
  </si>
  <si>
    <t>SRC-004</t>
  </si>
  <si>
    <t>EVT-017</t>
  </si>
  <si>
    <t>@postypashki_mems</t>
  </si>
  <si>
    <t>https://t.me/postypashki_mems</t>
  </si>
  <si>
    <t>Дата и время публикации/активности</t>
  </si>
  <si>
    <t>dd.mm.yyyy hh:mm</t>
  </si>
  <si>
    <t>05.09.2026 14:00</t>
  </si>
  <si>
    <t>campaign</t>
  </si>
  <si>
    <t>placement</t>
  </si>
  <si>
    <t>creative_text</t>
  </si>
  <si>
    <t>Канал/источник, где произошло событие</t>
  </si>
  <si>
    <t>Текст</t>
  </si>
  <si>
    <t>external_or_internal</t>
  </si>
  <si>
    <t>SRC-005</t>
  </si>
  <si>
    <t>post_url</t>
  </si>
  <si>
    <t>@example_channel</t>
  </si>
  <si>
    <t>@chad_protocol</t>
  </si>
  <si>
    <t>views</t>
  </si>
  <si>
    <t>https://t.me/chad_protocol</t>
  </si>
  <si>
    <t>reactions</t>
  </si>
  <si>
    <t>cost_rub</t>
  </si>
  <si>
    <t>sale_post / discount / launch / native_content / external_ad / integration / mention / other</t>
  </si>
  <si>
    <t>data_source</t>
  </si>
  <si>
    <t>external_ad</t>
  </si>
  <si>
    <t>confidence</t>
  </si>
  <si>
    <t>collected_by</t>
  </si>
  <si>
    <t>Какой курс/продукт продвигался</t>
  </si>
  <si>
    <t>SRC-006</t>
  </si>
  <si>
    <t>Текст или multiple</t>
  </si>
  <si>
    <t>channel_relationship</t>
  </si>
  <si>
    <t>@zadachi_ds</t>
  </si>
  <si>
    <t>https://t.me/zadachi_ds</t>
  </si>
  <si>
    <t>SQL</t>
  </si>
  <si>
    <t>paid_status</t>
  </si>
  <si>
    <t>raw_origin</t>
  </si>
  <si>
    <t>raw_category</t>
  </si>
  <si>
    <t>raw_period</t>
  </si>
  <si>
    <t>Маркетинговая кампания/запуск</t>
  </si>
  <si>
    <t>raw_media</t>
  </si>
  <si>
    <t>raw_forwarded_from</t>
  </si>
  <si>
    <t>raw_links</t>
  </si>
  <si>
    <t>September launch</t>
  </si>
  <si>
    <t>raw_promo_candidate</t>
  </si>
  <si>
    <t>raw_offer_flag</t>
  </si>
  <si>
    <t>raw_discount_flag</t>
  </si>
  <si>
    <t>raw_launch_flag</t>
  </si>
  <si>
    <t>raw_lead_magnet_flag</t>
  </si>
  <si>
    <t>raw_ad_marking</t>
  </si>
  <si>
    <t>Конкретное размещение</t>
  </si>
  <si>
    <t>raw_erid</t>
  </si>
  <si>
    <t>SRC-007</t>
  </si>
  <si>
    <t>Текст/ID</t>
  </si>
  <si>
    <t>raw_scraped_at</t>
  </si>
  <si>
    <t>@ProdAnalysis</t>
  </si>
  <si>
    <t>raw_html_ref</t>
  </si>
  <si>
    <t>PL-023</t>
  </si>
  <si>
    <t>product_scope</t>
  </si>
  <si>
    <t>https://t.me/ProdAnalysis</t>
  </si>
  <si>
    <t>product_line</t>
  </si>
  <si>
    <t>inferred_course</t>
  </si>
  <si>
    <t>content_direction</t>
  </si>
  <si>
    <t>candidate_courses</t>
  </si>
  <si>
    <t>Краткое описание или текст креатива</t>
  </si>
  <si>
    <t>Скидка 20% до полуночи</t>
  </si>
  <si>
    <t>Собственный или внешний канал</t>
  </si>
  <si>
    <t>internal / external</t>
  </si>
  <si>
    <t>SRC-008</t>
  </si>
  <si>
    <t>external</t>
  </si>
  <si>
    <t>@matesha_shad</t>
  </si>
  <si>
    <t>Ссылка на публикацию</t>
  </si>
  <si>
    <t>https://t.me/matesha_shad</t>
  </si>
  <si>
    <t>URL</t>
  </si>
  <si>
    <t>recommended</t>
  </si>
  <si>
    <t>https://t.me/...</t>
  </si>
  <si>
    <t>Просмотры публикации</t>
  </si>
  <si>
    <t>integer</t>
  </si>
  <si>
    <t>optional</t>
  </si>
  <si>
    <t>12500</t>
  </si>
  <si>
    <t>Реакции/engagement</t>
  </si>
  <si>
    <t>430</t>
  </si>
  <si>
    <t>Стоимость размещения</t>
  </si>
  <si>
    <t>number / NULL if unknown</t>
  </si>
  <si>
    <t>25000</t>
  </si>
  <si>
    <t>Откуда получена информация</t>
  </si>
  <si>
    <t>Telegram / TGStat / Telegram API / Archive / Other</t>
  </si>
  <si>
    <t>TGStat</t>
  </si>
  <si>
    <t>Насколько уверены в восстановлении события</t>
  </si>
  <si>
    <t>high / medium / low</t>
  </si>
  <si>
    <t>Кто нашёл запись</t>
  </si>
  <si>
    <t>Имя</t>
  </si>
  <si>
    <t>no</t>
  </si>
  <si>
    <t>Полина</t>
  </si>
  <si>
    <t>Дополнительный контекст</t>
  </si>
  <si>
    <t>Возможный запуск курса</t>
  </si>
  <si>
    <t>Связь канала с проектом, чтобы не смешивать собственные, аффилированные и независимые площадки.</t>
  </si>
  <si>
    <t>internal / affiliated / external_independent / unknown</t>
  </si>
  <si>
    <t>affiliated</t>
  </si>
  <si>
    <t>Подтверждение того, было ли размещение платным.</t>
  </si>
  <si>
    <t>confirmed_paid / likely_paid / unpaid_or_owned / unknown</t>
  </si>
  <si>
    <t>unknown</t>
  </si>
  <si>
    <t>Уровень продуктовой привязки события: конкретный курс, несколько курсов, линейка, общий бренд, внешнее событие или неопределённо</t>
  </si>
  <si>
    <t>single_course / multiple_courses / product_line / general_brand / external / unknown</t>
  </si>
  <si>
    <t>Линейка продукта, если событие относится к START/PRO или обеим линейкам</t>
  </si>
  <si>
    <t>START / PRO / START | PRO / NULL</t>
  </si>
  <si>
    <t>START</t>
  </si>
  <si>
    <t>Курс или несколько курсов, восстановленные из текста; аналитическая оценка, а не исходный факт</t>
  </si>
  <si>
    <t>Текст; несколько значений через |; NULL</t>
  </si>
  <si>
    <t>ML старт | Алгоритмы старт</t>
  </si>
  <si>
    <t>Основная тематика контента независимо от того, какой продукт продаётся</t>
  </si>
  <si>
    <t>career / analytics / ml / backend / algorithms / ai_agents / education / general_it</t>
  </si>
  <si>
    <t>career</t>
  </si>
  <si>
    <t>Курсы-кандидаты для сопоставления с продажами; только карьерные курсы из официального каталога Поступашек. Для single/multiple берутся явно указанные или восстановленные курсы; для product_line — все курсы соответствующей линейки; темы контента сами по себе не превращаются в кандидатов.</t>
  </si>
  <si>
    <t>Аналитика старт / Алгоритмы старт / Backend старт / ML старт / AI-агенты про / Алгоритмы про / Аналитика про / ML про / Backend про / А/В-тесты / Data science / Data-инженер / Frontend / NULL</t>
  </si>
  <si>
    <t>Аналитика старт | А/В-тесты</t>
  </si>
  <si>
    <t>multiple_courses</t>
  </si>
  <si>
    <t>single_course</t>
  </si>
  <si>
    <t>ML старт</t>
  </si>
  <si>
    <t>ml</t>
  </si>
  <si>
    <t>АВ тестам</t>
  </si>
  <si>
    <t>analytics</t>
  </si>
  <si>
    <t>general_it</t>
  </si>
  <si>
    <t>Аналитика старт</t>
  </si>
  <si>
    <t>backend</t>
  </si>
  <si>
    <t>Backend старт</t>
  </si>
  <si>
    <t>general_brand</t>
  </si>
  <si>
    <t>Алгоритмы старт</t>
  </si>
  <si>
    <t>algorithms</t>
  </si>
  <si>
    <t>Алгоритмы</t>
  </si>
  <si>
    <t>education</t>
  </si>
  <si>
    <t>ai_agents</t>
  </si>
  <si>
    <t>Backend старт | Алгоритмы старт | Аналитика старт | ML старт</t>
  </si>
  <si>
    <t>START | PRO</t>
  </si>
  <si>
    <t>Data Science</t>
  </si>
  <si>
    <t>PRO</t>
  </si>
  <si>
    <t>Аналитика про</t>
  </si>
  <si>
    <t>Аналитика про | ML про | Backend про | Алгоритмы про | AI агенты</t>
  </si>
  <si>
    <t>AI агенты</t>
  </si>
  <si>
    <t>Backend про</t>
  </si>
  <si>
    <t>Алгоритмы про | Backend про | Аналитика про | ML про | AI агенты</t>
  </si>
  <si>
    <t>Аналитика вне SQL</t>
  </si>
  <si>
    <t>Python для алгоритмов</t>
  </si>
  <si>
    <t>Аналитика старт | Алгоритмы старт | Backend старт | ML старт</t>
  </si>
  <si>
    <t>Аналитика | Алгоритмы</t>
  </si>
  <si>
    <t>ML про</t>
  </si>
  <si>
    <t>Алгоритмы старт | ML старт</t>
  </si>
  <si>
    <t>Алгоритмы про</t>
  </si>
  <si>
    <t>ML про | AI агенты</t>
  </si>
  <si>
    <t>Алгоритмы | Аналитика</t>
  </si>
  <si>
    <t>Аналитика старт | Аналитика про</t>
  </si>
  <si>
    <t>Backend старт | Backend про</t>
  </si>
  <si>
    <t>Аналитика про | AI агенты | Алгоритмы про</t>
  </si>
  <si>
    <t>ML про | AI агенты | Алгоритмы про</t>
  </si>
  <si>
    <t>Аналитика старт | Аналитика про | АВ тестам</t>
  </si>
  <si>
    <t>Backend про | AI агенты | Алгоритмы про</t>
  </si>
  <si>
    <t>Backend про | Алгоритмы про</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</si>
</sst>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sz val="14.0"/>
      <color theme="1"/>
      <name val="Arial"/>
      <scheme val="minor"/>
    </font>
    <font>
      <b/>
      <color theme="1"/>
      <name val="Arial"/>
      <scheme val="minor"/>
    </font>
    <font>
      <color theme="1"/>
      <name val="Arial"/>
      <scheme val="minor"/>
    </font>
    <font>
      <u/>
      <color rgb="FF0000FF"/>
    </font>
    <font>
      <u/>
      <color rgb="FF0000FF"/>
    </font>
  </fonts>
  <fills count="5">
    <fill>
      <patternFill patternType="none"/>
    </fill>
    <fill>
      <patternFill patternType="lightGray"/>
    </fill>
    <fill>
      <patternFill patternType="solid">
        <fgColor rgb="FFF2F2F2"/>
        <bgColor rgb="FFF2F2F2"/>
      </patternFill>
    </fill>
    <fill>
      <patternFill patternType="solid">
        <fgColor rgb="FFF4F4F4"/>
        <bgColor rgb="FFF4F4F4"/>
      </patternFill>
    </fill>
    <fill>
      <patternFill patternType="solid">
        <fgColor rgb="FFE5E5E5"/>
        <bgColor rgb="FFE5E5E5"/>
      </patternFill>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2" fontId="1" numFmtId="0" xfId="0" applyFill="1" applyFont="1"/>
    <xf borderId="0" fillId="3" fontId="2" numFmtId="0" xfId="0" applyAlignment="1" applyFill="1" applyFont="1">
      <alignment horizontal="center" readingOrder="0" shrinkToFit="0" wrapText="1"/>
    </xf>
    <xf borderId="0" fillId="4" fontId="2" numFmtId="0" xfId="0" applyAlignment="1" applyFill="1" applyFont="1">
      <alignment horizontal="center" shrinkToFit="0" wrapText="1"/>
    </xf>
    <xf borderId="0" fillId="0" fontId="3" numFmtId="0" xfId="0" applyAlignment="1" applyFont="1">
      <alignment readingOrder="0"/>
    </xf>
    <xf borderId="0" fillId="3" fontId="2" numFmtId="0" xfId="0" applyAlignment="1" applyFill="1" applyFont="1">
      <alignment horizontal="center" shrinkToFit="0" wrapText="1"/>
    </xf>
    <xf borderId="0" fillId="0" fontId="3" numFmtId="0" xfId="0" applyFont="1"/>
    <xf borderId="0" fillId="0" fontId="4" numFmtId="0" xfId="0" applyAlignment="1" applyFont="1">
      <alignment readingOrder="0"/>
    </xf>
    <xf quotePrefix="1" borderId="0" fillId="0" fontId="3" numFmtId="0" xfId="0" applyAlignment="1" applyFont="1">
      <alignment readingOrder="0"/>
    </xf>
    <xf borderId="0" fillId="0" fontId="3" numFmtId="0" xfId="0" applyAlignment="1" applyFont="1">
      <alignment readingOrder="0"/>
    </xf>
    <xf borderId="0" fillId="0" fontId="5"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t.me/postypashki_old/1825" TargetMode="External"/><Relationship Id="rId190" Type="http://schemas.openxmlformats.org/officeDocument/2006/relationships/hyperlink" Target="https://t.me/postypashki_mems/1373" TargetMode="External"/><Relationship Id="rId42" Type="http://schemas.openxmlformats.org/officeDocument/2006/relationships/hyperlink" Target="https://t.me/postypashki_old/1827" TargetMode="External"/><Relationship Id="rId41" Type="http://schemas.openxmlformats.org/officeDocument/2006/relationships/hyperlink" Target="https://t.me/postypashki_old/1826" TargetMode="External"/><Relationship Id="rId44" Type="http://schemas.openxmlformats.org/officeDocument/2006/relationships/hyperlink" Target="https://t.me/postypashki_old/1829" TargetMode="External"/><Relationship Id="rId194" Type="http://schemas.openxmlformats.org/officeDocument/2006/relationships/hyperlink" Target="https://t.me/ProdAnalysis/148" TargetMode="External"/><Relationship Id="rId43" Type="http://schemas.openxmlformats.org/officeDocument/2006/relationships/hyperlink" Target="https://t.me/postypashki_old/1828" TargetMode="External"/><Relationship Id="rId193" Type="http://schemas.openxmlformats.org/officeDocument/2006/relationships/hyperlink" Target="https://t.me/zadachi_ds/389" TargetMode="External"/><Relationship Id="rId46" Type="http://schemas.openxmlformats.org/officeDocument/2006/relationships/hyperlink" Target="https://t.me/postypashki_old/1831" TargetMode="External"/><Relationship Id="rId192" Type="http://schemas.openxmlformats.org/officeDocument/2006/relationships/hyperlink" Target="https://t.me/zadachi_ds/389" TargetMode="External"/><Relationship Id="rId45" Type="http://schemas.openxmlformats.org/officeDocument/2006/relationships/hyperlink" Target="https://t.me/postypashki_old/1830" TargetMode="External"/><Relationship Id="rId191" Type="http://schemas.openxmlformats.org/officeDocument/2006/relationships/hyperlink" Target="https://t.me/postypashki_mems/1373" TargetMode="External"/><Relationship Id="rId48" Type="http://schemas.openxmlformats.org/officeDocument/2006/relationships/hyperlink" Target="https://t.me/postypashki_old/1834" TargetMode="External"/><Relationship Id="rId187" Type="http://schemas.openxmlformats.org/officeDocument/2006/relationships/hyperlink" Target="https://t.me/chad_protocol/510" TargetMode="External"/><Relationship Id="rId47" Type="http://schemas.openxmlformats.org/officeDocument/2006/relationships/hyperlink" Target="https://t.me/postypashki_old/1833" TargetMode="External"/><Relationship Id="rId186" Type="http://schemas.openxmlformats.org/officeDocument/2006/relationships/hyperlink" Target="https://t.me/chad_protocol/510" TargetMode="External"/><Relationship Id="rId185" Type="http://schemas.openxmlformats.org/officeDocument/2006/relationships/hyperlink" Target="https://t.me/algoses/594" TargetMode="External"/><Relationship Id="rId49" Type="http://schemas.openxmlformats.org/officeDocument/2006/relationships/hyperlink" Target="https://t.me/postypashki_old/1836" TargetMode="External"/><Relationship Id="rId184" Type="http://schemas.openxmlformats.org/officeDocument/2006/relationships/hyperlink" Target="https://t.me/algoses/594" TargetMode="External"/><Relationship Id="rId189" Type="http://schemas.openxmlformats.org/officeDocument/2006/relationships/hyperlink" Target="https://t.me/codeof_art/306" TargetMode="External"/><Relationship Id="rId188" Type="http://schemas.openxmlformats.org/officeDocument/2006/relationships/hyperlink" Target="https://t.me/codeof_art/306" TargetMode="External"/><Relationship Id="rId31" Type="http://schemas.openxmlformats.org/officeDocument/2006/relationships/hyperlink" Target="https://t.me/postypashki_old/1806" TargetMode="External"/><Relationship Id="rId30" Type="http://schemas.openxmlformats.org/officeDocument/2006/relationships/hyperlink" Target="https://t.me/postypashki_old/1805" TargetMode="External"/><Relationship Id="rId33" Type="http://schemas.openxmlformats.org/officeDocument/2006/relationships/hyperlink" Target="https://t.me/postypashki_old/1811" TargetMode="External"/><Relationship Id="rId183" Type="http://schemas.openxmlformats.org/officeDocument/2006/relationships/hyperlink" Target="https://t.me/zadachi_ds/388" TargetMode="External"/><Relationship Id="rId32" Type="http://schemas.openxmlformats.org/officeDocument/2006/relationships/hyperlink" Target="https://t.me/postypashki_old/1809" TargetMode="External"/><Relationship Id="rId182" Type="http://schemas.openxmlformats.org/officeDocument/2006/relationships/hyperlink" Target="https://t.me/zadachi_ds/388" TargetMode="External"/><Relationship Id="rId35" Type="http://schemas.openxmlformats.org/officeDocument/2006/relationships/hyperlink" Target="https://t.me/postypashki_old/1815" TargetMode="External"/><Relationship Id="rId181" Type="http://schemas.openxmlformats.org/officeDocument/2006/relationships/hyperlink" Target="https://old.postypashki.ru/%D0%BA%D1%83%D1%80%D1%81%D1%8B/" TargetMode="External"/><Relationship Id="rId34" Type="http://schemas.openxmlformats.org/officeDocument/2006/relationships/hyperlink" Target="https://t.me/postypashki_old/1812" TargetMode="External"/><Relationship Id="rId180" Type="http://schemas.openxmlformats.org/officeDocument/2006/relationships/hyperlink" Target="https://t.me/matesha_shad/370" TargetMode="External"/><Relationship Id="rId37" Type="http://schemas.openxmlformats.org/officeDocument/2006/relationships/hyperlink" Target="https://t.me/postypashki_old/1819" TargetMode="External"/><Relationship Id="rId176" Type="http://schemas.openxmlformats.org/officeDocument/2006/relationships/hyperlink" Target="https://t.me/chad_protocol/508" TargetMode="External"/><Relationship Id="rId297" Type="http://schemas.openxmlformats.org/officeDocument/2006/relationships/hyperlink" Target="https://t.me/ProdAnalysis/157" TargetMode="External"/><Relationship Id="rId36" Type="http://schemas.openxmlformats.org/officeDocument/2006/relationships/hyperlink" Target="https://t.me/postypashki_old/1818" TargetMode="External"/><Relationship Id="rId175" Type="http://schemas.openxmlformats.org/officeDocument/2006/relationships/hyperlink" Target="http://t.me/postypashki_old" TargetMode="External"/><Relationship Id="rId296" Type="http://schemas.openxmlformats.org/officeDocument/2006/relationships/hyperlink" Target="https://t.me/codeof_art/322" TargetMode="External"/><Relationship Id="rId39" Type="http://schemas.openxmlformats.org/officeDocument/2006/relationships/hyperlink" Target="https://t.me/postypashki_old/1824" TargetMode="External"/><Relationship Id="rId174" Type="http://schemas.openxmlformats.org/officeDocument/2006/relationships/hyperlink" Target="https://t.me/chad_protocol/506" TargetMode="External"/><Relationship Id="rId295" Type="http://schemas.openxmlformats.org/officeDocument/2006/relationships/hyperlink" Target="https://t.me/codeof_art/322" TargetMode="External"/><Relationship Id="rId38" Type="http://schemas.openxmlformats.org/officeDocument/2006/relationships/hyperlink" Target="https://t.me/postypashki_old/1823" TargetMode="External"/><Relationship Id="rId173" Type="http://schemas.openxmlformats.org/officeDocument/2006/relationships/hyperlink" Target="https://t.me/chad_protocol/506" TargetMode="External"/><Relationship Id="rId294" Type="http://schemas.openxmlformats.org/officeDocument/2006/relationships/hyperlink" Target="https://t.me/chad_protocol/535" TargetMode="External"/><Relationship Id="rId179" Type="http://schemas.openxmlformats.org/officeDocument/2006/relationships/hyperlink" Target="https://t.me/matesha_shad/370" TargetMode="External"/><Relationship Id="rId178" Type="http://schemas.openxmlformats.org/officeDocument/2006/relationships/hyperlink" Target="https://old.postypashki.ru/%d0%ba%d0%b0%d1%80%d1%8c%d0%b5%d1%80%d0%bd%d1%8b%d0%b5-%d0%ba%d1%83%d1%80%d1%81%d1%8b/" TargetMode="External"/><Relationship Id="rId299" Type="http://schemas.openxmlformats.org/officeDocument/2006/relationships/hyperlink" Target="https://t.me/algoses/620" TargetMode="External"/><Relationship Id="rId177" Type="http://schemas.openxmlformats.org/officeDocument/2006/relationships/hyperlink" Target="https://t.me/chad_protocol/508" TargetMode="External"/><Relationship Id="rId298" Type="http://schemas.openxmlformats.org/officeDocument/2006/relationships/hyperlink" Target="https://t.me/ProdAnalysis/157" TargetMode="External"/><Relationship Id="rId20" Type="http://schemas.openxmlformats.org/officeDocument/2006/relationships/hyperlink" Target="https://t.me/postypashki_old/1793" TargetMode="External"/><Relationship Id="rId22" Type="http://schemas.openxmlformats.org/officeDocument/2006/relationships/hyperlink" Target="https://t.me/postypashki_old/1796" TargetMode="External"/><Relationship Id="rId21" Type="http://schemas.openxmlformats.org/officeDocument/2006/relationships/hyperlink" Target="https://t.me/postypashki_old/1794" TargetMode="External"/><Relationship Id="rId24" Type="http://schemas.openxmlformats.org/officeDocument/2006/relationships/hyperlink" Target="https://t.me/postypashki_old/1798" TargetMode="External"/><Relationship Id="rId23" Type="http://schemas.openxmlformats.org/officeDocument/2006/relationships/hyperlink" Target="https://t.me/postypashki_old/1797" TargetMode="External"/><Relationship Id="rId26" Type="http://schemas.openxmlformats.org/officeDocument/2006/relationships/hyperlink" Target="https://t.me/postypashki_old/1800" TargetMode="External"/><Relationship Id="rId25" Type="http://schemas.openxmlformats.org/officeDocument/2006/relationships/hyperlink" Target="https://t.me/postypashki_old/1799" TargetMode="External"/><Relationship Id="rId28" Type="http://schemas.openxmlformats.org/officeDocument/2006/relationships/hyperlink" Target="https://t.me/postypashki_old/1802" TargetMode="External"/><Relationship Id="rId27" Type="http://schemas.openxmlformats.org/officeDocument/2006/relationships/hyperlink" Target="https://t.me/postypashki_old/1801" TargetMode="External"/><Relationship Id="rId29" Type="http://schemas.openxmlformats.org/officeDocument/2006/relationships/hyperlink" Target="https://t.me/postypashki_old/1804" TargetMode="External"/><Relationship Id="rId11" Type="http://schemas.openxmlformats.org/officeDocument/2006/relationships/hyperlink" Target="https://t.me/postypashki_old/1777" TargetMode="External"/><Relationship Id="rId10" Type="http://schemas.openxmlformats.org/officeDocument/2006/relationships/hyperlink" Target="https://t.me/postypashki_old/1774" TargetMode="External"/><Relationship Id="rId13" Type="http://schemas.openxmlformats.org/officeDocument/2006/relationships/hyperlink" Target="https://t.me/postypashki_old/1780" TargetMode="External"/><Relationship Id="rId12" Type="http://schemas.openxmlformats.org/officeDocument/2006/relationships/hyperlink" Target="https://t.me/postypashki_old/1779" TargetMode="External"/><Relationship Id="rId15" Type="http://schemas.openxmlformats.org/officeDocument/2006/relationships/hyperlink" Target="https://t.me/postypashki_old/1784" TargetMode="External"/><Relationship Id="rId198" Type="http://schemas.openxmlformats.org/officeDocument/2006/relationships/hyperlink" Target="https://t.me/ProdAnalysis/149" TargetMode="External"/><Relationship Id="rId14" Type="http://schemas.openxmlformats.org/officeDocument/2006/relationships/hyperlink" Target="https://t.me/postypashki_old/1782" TargetMode="External"/><Relationship Id="rId197" Type="http://schemas.openxmlformats.org/officeDocument/2006/relationships/hyperlink" Target="https://t.me/ProdAnalysis/149" TargetMode="External"/><Relationship Id="rId17" Type="http://schemas.openxmlformats.org/officeDocument/2006/relationships/hyperlink" Target="https://t.me/postypashki_old/1787" TargetMode="External"/><Relationship Id="rId196" Type="http://schemas.openxmlformats.org/officeDocument/2006/relationships/hyperlink" Target="https://t.me/postypashki_old/1835" TargetMode="External"/><Relationship Id="rId16" Type="http://schemas.openxmlformats.org/officeDocument/2006/relationships/hyperlink" Target="https://t.me/postypashki_old/1785" TargetMode="External"/><Relationship Id="rId195" Type="http://schemas.openxmlformats.org/officeDocument/2006/relationships/hyperlink" Target="https://t.me/ProdAnalysis/148" TargetMode="External"/><Relationship Id="rId19" Type="http://schemas.openxmlformats.org/officeDocument/2006/relationships/hyperlink" Target="https://t.me/postypashki_old/1789" TargetMode="External"/><Relationship Id="rId18" Type="http://schemas.openxmlformats.org/officeDocument/2006/relationships/hyperlink" Target="https://t.me/postypashki_old/1788" TargetMode="External"/><Relationship Id="rId199" Type="http://schemas.openxmlformats.org/officeDocument/2006/relationships/hyperlink" Target="https://t.me/ProdAnalysis/150" TargetMode="External"/><Relationship Id="rId84" Type="http://schemas.openxmlformats.org/officeDocument/2006/relationships/hyperlink" Target="https://t.me/postypashki_old/1877" TargetMode="External"/><Relationship Id="rId83" Type="http://schemas.openxmlformats.org/officeDocument/2006/relationships/hyperlink" Target="https://t.me/postypashki_old/1876" TargetMode="External"/><Relationship Id="rId86" Type="http://schemas.openxmlformats.org/officeDocument/2006/relationships/hyperlink" Target="https://t.me/postypashki_old/1880" TargetMode="External"/><Relationship Id="rId85" Type="http://schemas.openxmlformats.org/officeDocument/2006/relationships/hyperlink" Target="https://t.me/postypashki_old/1878" TargetMode="External"/><Relationship Id="rId88" Type="http://schemas.openxmlformats.org/officeDocument/2006/relationships/hyperlink" Target="https://t.me/postypashki_old/1882" TargetMode="External"/><Relationship Id="rId150" Type="http://schemas.openxmlformats.org/officeDocument/2006/relationships/hyperlink" Target="https://t.me/chad_protocol/501" TargetMode="External"/><Relationship Id="rId271" Type="http://schemas.openxmlformats.org/officeDocument/2006/relationships/hyperlink" Target="https://t.me/algoses/615" TargetMode="External"/><Relationship Id="rId87" Type="http://schemas.openxmlformats.org/officeDocument/2006/relationships/hyperlink" Target="https://t.me/postypashki_old/1881" TargetMode="External"/><Relationship Id="rId270" Type="http://schemas.openxmlformats.org/officeDocument/2006/relationships/hyperlink" Target="https://t.me/algoses/615" TargetMode="External"/><Relationship Id="rId89" Type="http://schemas.openxmlformats.org/officeDocument/2006/relationships/hyperlink" Target="https://t.me/postypashki_old/1883" TargetMode="External"/><Relationship Id="rId80" Type="http://schemas.openxmlformats.org/officeDocument/2006/relationships/hyperlink" Target="https://t.me/postypashki_old/1872" TargetMode="External"/><Relationship Id="rId82" Type="http://schemas.openxmlformats.org/officeDocument/2006/relationships/hyperlink" Target="https://t.me/postypashki_old/1875" TargetMode="External"/><Relationship Id="rId81" Type="http://schemas.openxmlformats.org/officeDocument/2006/relationships/hyperlink" Target="https://t.me/postypashki_old/1874" TargetMode="External"/><Relationship Id="rId1" Type="http://schemas.openxmlformats.org/officeDocument/2006/relationships/comments" Target="../comments1.xml"/><Relationship Id="rId2" Type="http://schemas.openxmlformats.org/officeDocument/2006/relationships/hyperlink" Target="https://t.me/postypashki_old/1764" TargetMode="External"/><Relationship Id="rId3" Type="http://schemas.openxmlformats.org/officeDocument/2006/relationships/hyperlink" Target="https://t.me/postypashki_old/1765" TargetMode="External"/><Relationship Id="rId149" Type="http://schemas.openxmlformats.org/officeDocument/2006/relationships/hyperlink" Target="https://t.me/chad_protocol/501" TargetMode="External"/><Relationship Id="rId4" Type="http://schemas.openxmlformats.org/officeDocument/2006/relationships/hyperlink" Target="https://t.me/postypashki_old/1767" TargetMode="External"/><Relationship Id="rId148" Type="http://schemas.openxmlformats.org/officeDocument/2006/relationships/hyperlink" Target="https://t.me/ProdAnalysis/137" TargetMode="External"/><Relationship Id="rId269" Type="http://schemas.openxmlformats.org/officeDocument/2006/relationships/hyperlink" Target="https://t.me/ProdAnalysis/154" TargetMode="External"/><Relationship Id="rId9" Type="http://schemas.openxmlformats.org/officeDocument/2006/relationships/hyperlink" Target="https://t.me/postypashki_old/1773" TargetMode="External"/><Relationship Id="rId143" Type="http://schemas.openxmlformats.org/officeDocument/2006/relationships/hyperlink" Target="https://t.me/postypashki_mems/1350" TargetMode="External"/><Relationship Id="rId264" Type="http://schemas.openxmlformats.org/officeDocument/2006/relationships/hyperlink" Target="https://t.me/codeof_art/315" TargetMode="External"/><Relationship Id="rId142" Type="http://schemas.openxmlformats.org/officeDocument/2006/relationships/hyperlink" Target="https://t.me/postypashki_mems/1350" TargetMode="External"/><Relationship Id="rId263" Type="http://schemas.openxmlformats.org/officeDocument/2006/relationships/hyperlink" Target="https://t.me/chad_protocol/527" TargetMode="External"/><Relationship Id="rId141" Type="http://schemas.openxmlformats.org/officeDocument/2006/relationships/hyperlink" Target="https://t.me/chad_protocol/497" TargetMode="External"/><Relationship Id="rId262" Type="http://schemas.openxmlformats.org/officeDocument/2006/relationships/hyperlink" Target="https://t.me/chad_protocol/527" TargetMode="External"/><Relationship Id="rId140" Type="http://schemas.openxmlformats.org/officeDocument/2006/relationships/hyperlink" Target="https://t.me/chad_protocol/497" TargetMode="External"/><Relationship Id="rId261" Type="http://schemas.openxmlformats.org/officeDocument/2006/relationships/hyperlink" Target="https://t.me/zadachi_ds/406" TargetMode="External"/><Relationship Id="rId5" Type="http://schemas.openxmlformats.org/officeDocument/2006/relationships/hyperlink" Target="https://t.me/postypashki_old/1768" TargetMode="External"/><Relationship Id="rId147" Type="http://schemas.openxmlformats.org/officeDocument/2006/relationships/hyperlink" Target="https://t.me/ProdAnalysis/137" TargetMode="External"/><Relationship Id="rId268" Type="http://schemas.openxmlformats.org/officeDocument/2006/relationships/hyperlink" Target="https://t.me/ProdAnalysis/154" TargetMode="External"/><Relationship Id="rId6" Type="http://schemas.openxmlformats.org/officeDocument/2006/relationships/hyperlink" Target="https://t.me/postypashki_old/1770" TargetMode="External"/><Relationship Id="rId146" Type="http://schemas.openxmlformats.org/officeDocument/2006/relationships/hyperlink" Target="https://t.me/postypashki_old/1417" TargetMode="External"/><Relationship Id="rId267" Type="http://schemas.openxmlformats.org/officeDocument/2006/relationships/hyperlink" Target="https://t.me/zadachi_ds/408" TargetMode="External"/><Relationship Id="rId7" Type="http://schemas.openxmlformats.org/officeDocument/2006/relationships/hyperlink" Target="https://t.me/postypashki_old/1771" TargetMode="External"/><Relationship Id="rId145" Type="http://schemas.openxmlformats.org/officeDocument/2006/relationships/hyperlink" Target="https://t.me/ProdAnalysis/134" TargetMode="External"/><Relationship Id="rId266" Type="http://schemas.openxmlformats.org/officeDocument/2006/relationships/hyperlink" Target="https://t.me/zadachi_ds/408" TargetMode="External"/><Relationship Id="rId8" Type="http://schemas.openxmlformats.org/officeDocument/2006/relationships/hyperlink" Target="https://t.me/postypashki_old/1772" TargetMode="External"/><Relationship Id="rId144" Type="http://schemas.openxmlformats.org/officeDocument/2006/relationships/hyperlink" Target="https://t.me/ProdAnalysis/134" TargetMode="External"/><Relationship Id="rId265" Type="http://schemas.openxmlformats.org/officeDocument/2006/relationships/hyperlink" Target="https://t.me/codeof_art/315" TargetMode="External"/><Relationship Id="rId73" Type="http://schemas.openxmlformats.org/officeDocument/2006/relationships/hyperlink" Target="https://t.me/postypashki_old/1864" TargetMode="External"/><Relationship Id="rId72" Type="http://schemas.openxmlformats.org/officeDocument/2006/relationships/hyperlink" Target="https://t.me/postypashki_old/1863" TargetMode="External"/><Relationship Id="rId75" Type="http://schemas.openxmlformats.org/officeDocument/2006/relationships/hyperlink" Target="https://t.me/postypashki_old/1866" TargetMode="External"/><Relationship Id="rId74" Type="http://schemas.openxmlformats.org/officeDocument/2006/relationships/hyperlink" Target="https://t.me/postypashki_old/1865" TargetMode="External"/><Relationship Id="rId77" Type="http://schemas.openxmlformats.org/officeDocument/2006/relationships/hyperlink" Target="https://t.me/postypashki_old/1868" TargetMode="External"/><Relationship Id="rId260" Type="http://schemas.openxmlformats.org/officeDocument/2006/relationships/hyperlink" Target="https://t.me/zadachi_ds/406" TargetMode="External"/><Relationship Id="rId76" Type="http://schemas.openxmlformats.org/officeDocument/2006/relationships/hyperlink" Target="https://t.me/postypashki_old/1867" TargetMode="External"/><Relationship Id="rId79" Type="http://schemas.openxmlformats.org/officeDocument/2006/relationships/hyperlink" Target="https://t.me/postypashki_old/1870" TargetMode="External"/><Relationship Id="rId78" Type="http://schemas.openxmlformats.org/officeDocument/2006/relationships/hyperlink" Target="https://t.me/postypashki_old/1869" TargetMode="External"/><Relationship Id="rId71" Type="http://schemas.openxmlformats.org/officeDocument/2006/relationships/hyperlink" Target="https://t.me/postypashki_old/1861" TargetMode="External"/><Relationship Id="rId70" Type="http://schemas.openxmlformats.org/officeDocument/2006/relationships/hyperlink" Target="https://t.me/postypashki_old/1860" TargetMode="External"/><Relationship Id="rId139" Type="http://schemas.openxmlformats.org/officeDocument/2006/relationships/hyperlink" Target="https://t.me/algoses/581" TargetMode="External"/><Relationship Id="rId138" Type="http://schemas.openxmlformats.org/officeDocument/2006/relationships/hyperlink" Target="https://t.me/algoses/581" TargetMode="External"/><Relationship Id="rId259" Type="http://schemas.openxmlformats.org/officeDocument/2006/relationships/hyperlink" Target="https://t.me/postypashki_old/1859" TargetMode="External"/><Relationship Id="rId137" Type="http://schemas.openxmlformats.org/officeDocument/2006/relationships/hyperlink" Target="https://t.me/postypashki_old/1808" TargetMode="External"/><Relationship Id="rId258" Type="http://schemas.openxmlformats.org/officeDocument/2006/relationships/hyperlink" Target="https://t.me/zadachi_ds/405" TargetMode="External"/><Relationship Id="rId132" Type="http://schemas.openxmlformats.org/officeDocument/2006/relationships/hyperlink" Target="https://t.me/codeof_art/298" TargetMode="External"/><Relationship Id="rId253" Type="http://schemas.openxmlformats.org/officeDocument/2006/relationships/hyperlink" Target="https://t.me/codeof_art/314" TargetMode="External"/><Relationship Id="rId131" Type="http://schemas.openxmlformats.org/officeDocument/2006/relationships/hyperlink" Target="https://t.me/codeof_art/298" TargetMode="External"/><Relationship Id="rId252" Type="http://schemas.openxmlformats.org/officeDocument/2006/relationships/hyperlink" Target="https://t.me/postypashki_old/1859" TargetMode="External"/><Relationship Id="rId130" Type="http://schemas.openxmlformats.org/officeDocument/2006/relationships/hyperlink" Target="https://t.me/chad_protocol/495" TargetMode="External"/><Relationship Id="rId251" Type="http://schemas.openxmlformats.org/officeDocument/2006/relationships/hyperlink" Target="https://t.me/chad_protocol/524" TargetMode="External"/><Relationship Id="rId250" Type="http://schemas.openxmlformats.org/officeDocument/2006/relationships/hyperlink" Target="https://t.me/chad_protocol/524" TargetMode="External"/><Relationship Id="rId136" Type="http://schemas.openxmlformats.org/officeDocument/2006/relationships/hyperlink" Target="https://t.me/ProdAnalysis/133" TargetMode="External"/><Relationship Id="rId257" Type="http://schemas.openxmlformats.org/officeDocument/2006/relationships/hyperlink" Target="https://t.me/zadachi_ds/405" TargetMode="External"/><Relationship Id="rId135" Type="http://schemas.openxmlformats.org/officeDocument/2006/relationships/hyperlink" Target="https://t.me/ProdAnalysis/133" TargetMode="External"/><Relationship Id="rId256" Type="http://schemas.openxmlformats.org/officeDocument/2006/relationships/hyperlink" Target="https://t.me/matesha_shad/381" TargetMode="External"/><Relationship Id="rId134" Type="http://schemas.openxmlformats.org/officeDocument/2006/relationships/hyperlink" Target="https://t.me/postypashki_mems/1347" TargetMode="External"/><Relationship Id="rId255" Type="http://schemas.openxmlformats.org/officeDocument/2006/relationships/hyperlink" Target="https://t.me/matesha_shad/381" TargetMode="External"/><Relationship Id="rId133" Type="http://schemas.openxmlformats.org/officeDocument/2006/relationships/hyperlink" Target="https://t.me/postypashki_mems/1347" TargetMode="External"/><Relationship Id="rId254" Type="http://schemas.openxmlformats.org/officeDocument/2006/relationships/hyperlink" Target="https://t.me/codeof_art/314" TargetMode="External"/><Relationship Id="rId62" Type="http://schemas.openxmlformats.org/officeDocument/2006/relationships/hyperlink" Target="https://t.me/postypashki_old/1849" TargetMode="External"/><Relationship Id="rId61" Type="http://schemas.openxmlformats.org/officeDocument/2006/relationships/hyperlink" Target="https://t.me/postypashki_old/1848" TargetMode="External"/><Relationship Id="rId64" Type="http://schemas.openxmlformats.org/officeDocument/2006/relationships/hyperlink" Target="https://t.me/postypashki_old/1853" TargetMode="External"/><Relationship Id="rId63" Type="http://schemas.openxmlformats.org/officeDocument/2006/relationships/hyperlink" Target="https://t.me/postypashki_old/1852" TargetMode="External"/><Relationship Id="rId66" Type="http://schemas.openxmlformats.org/officeDocument/2006/relationships/hyperlink" Target="https://t.me/postypashki_old/1855" TargetMode="External"/><Relationship Id="rId172" Type="http://schemas.openxmlformats.org/officeDocument/2006/relationships/hyperlink" Target="https://t.me/postypashki_old/1827" TargetMode="External"/><Relationship Id="rId293" Type="http://schemas.openxmlformats.org/officeDocument/2006/relationships/hyperlink" Target="https://t.me/chad_protocol/535" TargetMode="External"/><Relationship Id="rId65" Type="http://schemas.openxmlformats.org/officeDocument/2006/relationships/hyperlink" Target="https://t.me/postypashki_old/1854" TargetMode="External"/><Relationship Id="rId171" Type="http://schemas.openxmlformats.org/officeDocument/2006/relationships/hyperlink" Target="https://t.me/postypashki_mems/1361" TargetMode="External"/><Relationship Id="rId292" Type="http://schemas.openxmlformats.org/officeDocument/2006/relationships/hyperlink" Target="https://t.me/codeof_art/321" TargetMode="External"/><Relationship Id="rId68" Type="http://schemas.openxmlformats.org/officeDocument/2006/relationships/hyperlink" Target="https://t.me/postypashki_old/1857" TargetMode="External"/><Relationship Id="rId170" Type="http://schemas.openxmlformats.org/officeDocument/2006/relationships/hyperlink" Target="https://t.me/postypashki_mems/1361" TargetMode="External"/><Relationship Id="rId291" Type="http://schemas.openxmlformats.org/officeDocument/2006/relationships/hyperlink" Target="https://t.me/codeof_art/321" TargetMode="External"/><Relationship Id="rId67" Type="http://schemas.openxmlformats.org/officeDocument/2006/relationships/hyperlink" Target="https://t.me/postypashki_old/1856" TargetMode="External"/><Relationship Id="rId290" Type="http://schemas.openxmlformats.org/officeDocument/2006/relationships/hyperlink" Target="https://t.me/chad_protocol/531" TargetMode="External"/><Relationship Id="rId60" Type="http://schemas.openxmlformats.org/officeDocument/2006/relationships/hyperlink" Target="https://t.me/postypashki_old/1847" TargetMode="External"/><Relationship Id="rId165" Type="http://schemas.openxmlformats.org/officeDocument/2006/relationships/hyperlink" Target="https://t.me/zadachi_ds/385" TargetMode="External"/><Relationship Id="rId286" Type="http://schemas.openxmlformats.org/officeDocument/2006/relationships/hyperlink" Target="https://t.me/ProdAnalysis/156" TargetMode="External"/><Relationship Id="rId69" Type="http://schemas.openxmlformats.org/officeDocument/2006/relationships/hyperlink" Target="https://t.me/postypashki_old/1859" TargetMode="External"/><Relationship Id="rId164" Type="http://schemas.openxmlformats.org/officeDocument/2006/relationships/hyperlink" Target="https://t.me/zadachi_ds/385" TargetMode="External"/><Relationship Id="rId285" Type="http://schemas.openxmlformats.org/officeDocument/2006/relationships/hyperlink" Target="https://t.me/codeof_art/317" TargetMode="External"/><Relationship Id="rId163" Type="http://schemas.openxmlformats.org/officeDocument/2006/relationships/hyperlink" Target="https://t.me/postypashki_old/1827" TargetMode="External"/><Relationship Id="rId284" Type="http://schemas.openxmlformats.org/officeDocument/2006/relationships/hyperlink" Target="https://t.me/codeof_art/317" TargetMode="External"/><Relationship Id="rId162" Type="http://schemas.openxmlformats.org/officeDocument/2006/relationships/hyperlink" Target="https://t.me/codeof_art/304" TargetMode="External"/><Relationship Id="rId283" Type="http://schemas.openxmlformats.org/officeDocument/2006/relationships/hyperlink" Target="https://t.me/chad_protocol/529" TargetMode="External"/><Relationship Id="rId169" Type="http://schemas.openxmlformats.org/officeDocument/2006/relationships/hyperlink" Target="https://t.me/postypashki_old/1827" TargetMode="External"/><Relationship Id="rId168" Type="http://schemas.openxmlformats.org/officeDocument/2006/relationships/hyperlink" Target="https://t.me/ProdAnalysis/141" TargetMode="External"/><Relationship Id="rId289" Type="http://schemas.openxmlformats.org/officeDocument/2006/relationships/hyperlink" Target="https://t.me/chad_protocol/531" TargetMode="External"/><Relationship Id="rId167" Type="http://schemas.openxmlformats.org/officeDocument/2006/relationships/hyperlink" Target="https://t.me/ProdAnalysis/141" TargetMode="External"/><Relationship Id="rId288" Type="http://schemas.openxmlformats.org/officeDocument/2006/relationships/hyperlink" Target="https://t.me/postypashki_old/1872" TargetMode="External"/><Relationship Id="rId166" Type="http://schemas.openxmlformats.org/officeDocument/2006/relationships/hyperlink" Target="https://t.me/postypashki_old/1827" TargetMode="External"/><Relationship Id="rId287" Type="http://schemas.openxmlformats.org/officeDocument/2006/relationships/hyperlink" Target="https://t.me/ProdAnalysis/156" TargetMode="External"/><Relationship Id="rId51" Type="http://schemas.openxmlformats.org/officeDocument/2006/relationships/hyperlink" Target="https://t.me/postypashki_old/1838" TargetMode="External"/><Relationship Id="rId50" Type="http://schemas.openxmlformats.org/officeDocument/2006/relationships/hyperlink" Target="https://t.me/postypashki_old/1837" TargetMode="External"/><Relationship Id="rId53" Type="http://schemas.openxmlformats.org/officeDocument/2006/relationships/hyperlink" Target="https://t.me/postypashki_old/1840" TargetMode="External"/><Relationship Id="rId52" Type="http://schemas.openxmlformats.org/officeDocument/2006/relationships/hyperlink" Target="https://t.me/postypashki_old/1839" TargetMode="External"/><Relationship Id="rId55" Type="http://schemas.openxmlformats.org/officeDocument/2006/relationships/hyperlink" Target="https://t.me/postypashki_old/1842" TargetMode="External"/><Relationship Id="rId161" Type="http://schemas.openxmlformats.org/officeDocument/2006/relationships/hyperlink" Target="https://t.me/codeof_art/304" TargetMode="External"/><Relationship Id="rId282" Type="http://schemas.openxmlformats.org/officeDocument/2006/relationships/hyperlink" Target="https://t.me/chad_protocol/529" TargetMode="External"/><Relationship Id="rId54" Type="http://schemas.openxmlformats.org/officeDocument/2006/relationships/hyperlink" Target="https://t.me/postypashki_old/1841" TargetMode="External"/><Relationship Id="rId160" Type="http://schemas.openxmlformats.org/officeDocument/2006/relationships/hyperlink" Target="https://t.me/postypashki_old/1827" TargetMode="External"/><Relationship Id="rId281" Type="http://schemas.openxmlformats.org/officeDocument/2006/relationships/hyperlink" Target="https://t.me/zadachi_ds/414" TargetMode="External"/><Relationship Id="rId57" Type="http://schemas.openxmlformats.org/officeDocument/2006/relationships/hyperlink" Target="https://t.me/postypashki_old/1844" TargetMode="External"/><Relationship Id="rId280" Type="http://schemas.openxmlformats.org/officeDocument/2006/relationships/hyperlink" Target="https://t.me/zadachi_ds/414" TargetMode="External"/><Relationship Id="rId56" Type="http://schemas.openxmlformats.org/officeDocument/2006/relationships/hyperlink" Target="https://t.me/postypashki_old/1843" TargetMode="External"/><Relationship Id="rId159" Type="http://schemas.openxmlformats.org/officeDocument/2006/relationships/hyperlink" Target="https://t.me/chad_protocol/504" TargetMode="External"/><Relationship Id="rId59" Type="http://schemas.openxmlformats.org/officeDocument/2006/relationships/hyperlink" Target="https://t.me/postypashki_old/1846" TargetMode="External"/><Relationship Id="rId154" Type="http://schemas.openxmlformats.org/officeDocument/2006/relationships/hyperlink" Target="https://t.me/postypashki_old" TargetMode="External"/><Relationship Id="rId275" Type="http://schemas.openxmlformats.org/officeDocument/2006/relationships/hyperlink" Target="https://t.me/chad_protocol/528" TargetMode="External"/><Relationship Id="rId58" Type="http://schemas.openxmlformats.org/officeDocument/2006/relationships/hyperlink" Target="https://t.me/postypashki_old/1845" TargetMode="External"/><Relationship Id="rId153" Type="http://schemas.openxmlformats.org/officeDocument/2006/relationships/hyperlink" Target="https://t.me/postypashki_mems/1355" TargetMode="External"/><Relationship Id="rId274" Type="http://schemas.openxmlformats.org/officeDocument/2006/relationships/hyperlink" Target="https://t.me/chad_protocol/528" TargetMode="External"/><Relationship Id="rId152" Type="http://schemas.openxmlformats.org/officeDocument/2006/relationships/hyperlink" Target="https://t.me/postypashki_mems/1355" TargetMode="External"/><Relationship Id="rId273" Type="http://schemas.openxmlformats.org/officeDocument/2006/relationships/hyperlink" Target="https://t.me/postypashki_mems/1398" TargetMode="External"/><Relationship Id="rId151" Type="http://schemas.openxmlformats.org/officeDocument/2006/relationships/hyperlink" Target="https://old.postypashki.ru/%D0%BA%D0%B0%D1%80%D1%8C%D0%B5%D1%80%D0%BD%D1%8B%D0%B5-%D0%BA%D1%83%D1%80%D1%81%D1%8B/" TargetMode="External"/><Relationship Id="rId272" Type="http://schemas.openxmlformats.org/officeDocument/2006/relationships/hyperlink" Target="https://t.me/postypashki_mems/1398" TargetMode="External"/><Relationship Id="rId158" Type="http://schemas.openxmlformats.org/officeDocument/2006/relationships/hyperlink" Target="https://t.me/chad_protocol/504" TargetMode="External"/><Relationship Id="rId279" Type="http://schemas.openxmlformats.org/officeDocument/2006/relationships/hyperlink" Target="https://t.me/ProdAnalysis/155" TargetMode="External"/><Relationship Id="rId157" Type="http://schemas.openxmlformats.org/officeDocument/2006/relationships/hyperlink" Target="https://t.me/postypashki_old/1757" TargetMode="External"/><Relationship Id="rId278" Type="http://schemas.openxmlformats.org/officeDocument/2006/relationships/hyperlink" Target="https://t.me/ProdAnalysis/155" TargetMode="External"/><Relationship Id="rId156" Type="http://schemas.openxmlformats.org/officeDocument/2006/relationships/hyperlink" Target="https://t.me/zadachi_ds/376" TargetMode="External"/><Relationship Id="rId277" Type="http://schemas.openxmlformats.org/officeDocument/2006/relationships/hyperlink" Target="https://t.me/zadachi_ds/411" TargetMode="External"/><Relationship Id="rId155" Type="http://schemas.openxmlformats.org/officeDocument/2006/relationships/hyperlink" Target="https://t.me/zadachi_ds/376" TargetMode="External"/><Relationship Id="rId276" Type="http://schemas.openxmlformats.org/officeDocument/2006/relationships/hyperlink" Target="https://t.me/zadachi_ds/411" TargetMode="External"/><Relationship Id="rId107" Type="http://schemas.openxmlformats.org/officeDocument/2006/relationships/hyperlink" Target="https://t.me/postypashki_old/1789" TargetMode="External"/><Relationship Id="rId228" Type="http://schemas.openxmlformats.org/officeDocument/2006/relationships/hyperlink" Target="https://t.me/postypashki_mems/1380" TargetMode="External"/><Relationship Id="rId349" Type="http://schemas.openxmlformats.org/officeDocument/2006/relationships/hyperlink" Target="https://t.me/zadachi_ds/422" TargetMode="External"/><Relationship Id="rId106" Type="http://schemas.openxmlformats.org/officeDocument/2006/relationships/hyperlink" Target="https://t.me/chad_protocol/482" TargetMode="External"/><Relationship Id="rId227" Type="http://schemas.openxmlformats.org/officeDocument/2006/relationships/hyperlink" Target="https://t.me/postypashki_mems/1380" TargetMode="External"/><Relationship Id="rId348" Type="http://schemas.openxmlformats.org/officeDocument/2006/relationships/hyperlink" Target="https://t.me/zadachi_ds/422" TargetMode="External"/><Relationship Id="rId105" Type="http://schemas.openxmlformats.org/officeDocument/2006/relationships/hyperlink" Target="https://t.me/chad_protocol/482" TargetMode="External"/><Relationship Id="rId226" Type="http://schemas.openxmlformats.org/officeDocument/2006/relationships/hyperlink" Target="https://t.me/postypashki_mems/1378" TargetMode="External"/><Relationship Id="rId347" Type="http://schemas.openxmlformats.org/officeDocument/2006/relationships/hyperlink" Target="https://t.me/postypashki_old/1887" TargetMode="External"/><Relationship Id="rId104" Type="http://schemas.openxmlformats.org/officeDocument/2006/relationships/hyperlink" Target="https://t.me/postypashki_old/1789" TargetMode="External"/><Relationship Id="rId225" Type="http://schemas.openxmlformats.org/officeDocument/2006/relationships/hyperlink" Target="https://t.me/postypashki_mems/1378" TargetMode="External"/><Relationship Id="rId346" Type="http://schemas.openxmlformats.org/officeDocument/2006/relationships/hyperlink" Target="https://t.me/postypashki_mems/1416" TargetMode="External"/><Relationship Id="rId109" Type="http://schemas.openxmlformats.org/officeDocument/2006/relationships/hyperlink" Target="https://t.me/algoses/576" TargetMode="External"/><Relationship Id="rId108" Type="http://schemas.openxmlformats.org/officeDocument/2006/relationships/hyperlink" Target="https://t.me/algoses/576" TargetMode="External"/><Relationship Id="rId229" Type="http://schemas.openxmlformats.org/officeDocument/2006/relationships/hyperlink" Target="https://t.me/postypashki_mems/1381" TargetMode="External"/><Relationship Id="rId220" Type="http://schemas.openxmlformats.org/officeDocument/2006/relationships/hyperlink" Target="https://t.me/matesha_shad/374" TargetMode="External"/><Relationship Id="rId341" Type="http://schemas.openxmlformats.org/officeDocument/2006/relationships/hyperlink" Target="https://t.me/codeof_art/329" TargetMode="External"/><Relationship Id="rId340" Type="http://schemas.openxmlformats.org/officeDocument/2006/relationships/hyperlink" Target="https://t.me/codeof_art/329" TargetMode="External"/><Relationship Id="rId103" Type="http://schemas.openxmlformats.org/officeDocument/2006/relationships/hyperlink" Target="https://t.me/algoses/570" TargetMode="External"/><Relationship Id="rId224" Type="http://schemas.openxmlformats.org/officeDocument/2006/relationships/hyperlink" Target="https://t.me/postypashki_old/1841" TargetMode="External"/><Relationship Id="rId345" Type="http://schemas.openxmlformats.org/officeDocument/2006/relationships/hyperlink" Target="https://t.me/postypashki_mems/1416" TargetMode="External"/><Relationship Id="rId102" Type="http://schemas.openxmlformats.org/officeDocument/2006/relationships/hyperlink" Target="https://t.me/algoses/570" TargetMode="External"/><Relationship Id="rId223" Type="http://schemas.openxmlformats.org/officeDocument/2006/relationships/hyperlink" Target="https://t.me/matesha_shad/375" TargetMode="External"/><Relationship Id="rId344" Type="http://schemas.openxmlformats.org/officeDocument/2006/relationships/hyperlink" Target="https://t.me/m/p94YcePXNjcy" TargetMode="External"/><Relationship Id="rId101" Type="http://schemas.openxmlformats.org/officeDocument/2006/relationships/hyperlink" Target="https://t.me/postypashki_old/1766" TargetMode="External"/><Relationship Id="rId222" Type="http://schemas.openxmlformats.org/officeDocument/2006/relationships/hyperlink" Target="https://t.me/matesha_shad/375" TargetMode="External"/><Relationship Id="rId343" Type="http://schemas.openxmlformats.org/officeDocument/2006/relationships/hyperlink" Target="https://t.me/matesha_shad/388" TargetMode="External"/><Relationship Id="rId100" Type="http://schemas.openxmlformats.org/officeDocument/2006/relationships/hyperlink" Target="https://t.me/zadachi_ds/362" TargetMode="External"/><Relationship Id="rId221" Type="http://schemas.openxmlformats.org/officeDocument/2006/relationships/hyperlink" Target="https://t.me/matesha_shad/374" TargetMode="External"/><Relationship Id="rId342" Type="http://schemas.openxmlformats.org/officeDocument/2006/relationships/hyperlink" Target="https://t.me/matesha_shad/388" TargetMode="External"/><Relationship Id="rId217" Type="http://schemas.openxmlformats.org/officeDocument/2006/relationships/hyperlink" Target="https://t.me/codeof_art/309" TargetMode="External"/><Relationship Id="rId338" Type="http://schemas.openxmlformats.org/officeDocument/2006/relationships/hyperlink" Target="https://t.me/codeof_art/328" TargetMode="External"/><Relationship Id="rId216" Type="http://schemas.openxmlformats.org/officeDocument/2006/relationships/hyperlink" Target="https://t.me/codeof_art/308" TargetMode="External"/><Relationship Id="rId337" Type="http://schemas.openxmlformats.org/officeDocument/2006/relationships/hyperlink" Target="https://t.me/postypashki_old/1887" TargetMode="External"/><Relationship Id="rId215" Type="http://schemas.openxmlformats.org/officeDocument/2006/relationships/hyperlink" Target="https://t.me/codeof_art/308" TargetMode="External"/><Relationship Id="rId336" Type="http://schemas.openxmlformats.org/officeDocument/2006/relationships/hyperlink" Target="https://t.me/chad_protocol/537" TargetMode="External"/><Relationship Id="rId214" Type="http://schemas.openxmlformats.org/officeDocument/2006/relationships/hyperlink" Target="https://t.me/codeof_art/307" TargetMode="External"/><Relationship Id="rId335" Type="http://schemas.openxmlformats.org/officeDocument/2006/relationships/hyperlink" Target="https://t.me/chad_protocol/537" TargetMode="External"/><Relationship Id="rId219" Type="http://schemas.openxmlformats.org/officeDocument/2006/relationships/hyperlink" Target="https://t.me/postypashki_old/1841" TargetMode="External"/><Relationship Id="rId218" Type="http://schemas.openxmlformats.org/officeDocument/2006/relationships/hyperlink" Target="https://t.me/codeof_art/309" TargetMode="External"/><Relationship Id="rId339" Type="http://schemas.openxmlformats.org/officeDocument/2006/relationships/hyperlink" Target="https://t.me/codeof_art/328" TargetMode="External"/><Relationship Id="rId330" Type="http://schemas.openxmlformats.org/officeDocument/2006/relationships/hyperlink" Target="https://t.me/ProdAnalysis/172" TargetMode="External"/><Relationship Id="rId213" Type="http://schemas.openxmlformats.org/officeDocument/2006/relationships/hyperlink" Target="https://t.me/codeof_art/307" TargetMode="External"/><Relationship Id="rId334" Type="http://schemas.openxmlformats.org/officeDocument/2006/relationships/hyperlink" Target="https://t.me/ProdAnalysis/174" TargetMode="External"/><Relationship Id="rId212" Type="http://schemas.openxmlformats.org/officeDocument/2006/relationships/hyperlink" Target="https://t.me/chad_protocol/513" TargetMode="External"/><Relationship Id="rId333" Type="http://schemas.openxmlformats.org/officeDocument/2006/relationships/hyperlink" Target="https://t.me/ProdAnalysis/174" TargetMode="External"/><Relationship Id="rId211" Type="http://schemas.openxmlformats.org/officeDocument/2006/relationships/hyperlink" Target="https://t.me/chad_protocol/513" TargetMode="External"/><Relationship Id="rId332" Type="http://schemas.openxmlformats.org/officeDocument/2006/relationships/hyperlink" Target="https://t.me/postypashki_old/1887" TargetMode="External"/><Relationship Id="rId210" Type="http://schemas.openxmlformats.org/officeDocument/2006/relationships/hyperlink" Target="https://t.me/chad_protocol/512" TargetMode="External"/><Relationship Id="rId331" Type="http://schemas.openxmlformats.org/officeDocument/2006/relationships/hyperlink" Target="https://t.me/ProdAnalysis/172" TargetMode="External"/><Relationship Id="rId129" Type="http://schemas.openxmlformats.org/officeDocument/2006/relationships/hyperlink" Target="https://t.me/chad_protocol/495" TargetMode="External"/><Relationship Id="rId128" Type="http://schemas.openxmlformats.org/officeDocument/2006/relationships/hyperlink" Target="https://t.me/postypashki_old/1805" TargetMode="External"/><Relationship Id="rId249" Type="http://schemas.openxmlformats.org/officeDocument/2006/relationships/hyperlink" Target="https://t.me/algoses/614" TargetMode="External"/><Relationship Id="rId127" Type="http://schemas.openxmlformats.org/officeDocument/2006/relationships/hyperlink" Target="https://t.me/algoses/579" TargetMode="External"/><Relationship Id="rId248" Type="http://schemas.openxmlformats.org/officeDocument/2006/relationships/hyperlink" Target="https://t.me/algoses/614" TargetMode="External"/><Relationship Id="rId126" Type="http://schemas.openxmlformats.org/officeDocument/2006/relationships/hyperlink" Target="https://t.me/algoses/579" TargetMode="External"/><Relationship Id="rId247" Type="http://schemas.openxmlformats.org/officeDocument/2006/relationships/hyperlink" Target="https://t.me/zadachi_ds/404" TargetMode="External"/><Relationship Id="rId121" Type="http://schemas.openxmlformats.org/officeDocument/2006/relationships/hyperlink" Target="https://t.me/matesha_shad/365" TargetMode="External"/><Relationship Id="rId242" Type="http://schemas.openxmlformats.org/officeDocument/2006/relationships/hyperlink" Target="https://t.me/zadachi_ds/394" TargetMode="External"/><Relationship Id="rId363" Type="http://schemas.openxmlformats.org/officeDocument/2006/relationships/hyperlink" Target="https://t.me/postypashki_old/1887" TargetMode="External"/><Relationship Id="rId120" Type="http://schemas.openxmlformats.org/officeDocument/2006/relationships/hyperlink" Target="https://t.me/matesha_shad/365" TargetMode="External"/><Relationship Id="rId241" Type="http://schemas.openxmlformats.org/officeDocument/2006/relationships/hyperlink" Target="https://old.postypashki.ru/%D0%BA%D1%83%D1%80%D1%81%D1%8B/" TargetMode="External"/><Relationship Id="rId362" Type="http://schemas.openxmlformats.org/officeDocument/2006/relationships/hyperlink" Target="https://t.me/ProdAnalysis/176" TargetMode="External"/><Relationship Id="rId240" Type="http://schemas.openxmlformats.org/officeDocument/2006/relationships/hyperlink" Target="https://t.me/matesha_shad/376" TargetMode="External"/><Relationship Id="rId361" Type="http://schemas.openxmlformats.org/officeDocument/2006/relationships/hyperlink" Target="https://t.me/ProdAnalysis/176" TargetMode="External"/><Relationship Id="rId360" Type="http://schemas.openxmlformats.org/officeDocument/2006/relationships/hyperlink" Target="https://t.me/postypashki_old/1859" TargetMode="External"/><Relationship Id="rId125" Type="http://schemas.openxmlformats.org/officeDocument/2006/relationships/hyperlink" Target="https://t.me/zadachi_ds/371" TargetMode="External"/><Relationship Id="rId246" Type="http://schemas.openxmlformats.org/officeDocument/2006/relationships/hyperlink" Target="https://t.me/zadachi_ds/404" TargetMode="External"/><Relationship Id="rId124" Type="http://schemas.openxmlformats.org/officeDocument/2006/relationships/hyperlink" Target="https://t.me/zadachi_ds/371" TargetMode="External"/><Relationship Id="rId245" Type="http://schemas.openxmlformats.org/officeDocument/2006/relationships/hyperlink" Target="https://t.me/ProdAnalysis/152" TargetMode="External"/><Relationship Id="rId123" Type="http://schemas.openxmlformats.org/officeDocument/2006/relationships/hyperlink" Target="https://t.me/chad_protocol/490" TargetMode="External"/><Relationship Id="rId244" Type="http://schemas.openxmlformats.org/officeDocument/2006/relationships/hyperlink" Target="https://t.me/ProdAnalysis/152" TargetMode="External"/><Relationship Id="rId365" Type="http://schemas.openxmlformats.org/officeDocument/2006/relationships/vmlDrawing" Target="../drawings/vmlDrawing1.vml"/><Relationship Id="rId122" Type="http://schemas.openxmlformats.org/officeDocument/2006/relationships/hyperlink" Target="https://t.me/chad_protocol/490" TargetMode="External"/><Relationship Id="rId243" Type="http://schemas.openxmlformats.org/officeDocument/2006/relationships/hyperlink" Target="https://t.me/zadachi_ds/394" TargetMode="External"/><Relationship Id="rId364" Type="http://schemas.openxmlformats.org/officeDocument/2006/relationships/drawing" Target="../drawings/drawing1.xml"/><Relationship Id="rId95" Type="http://schemas.openxmlformats.org/officeDocument/2006/relationships/hyperlink" Target="https://t.me/postypashki_old/1895" TargetMode="External"/><Relationship Id="rId94" Type="http://schemas.openxmlformats.org/officeDocument/2006/relationships/hyperlink" Target="https://t.me/postypashki_old/1894" TargetMode="External"/><Relationship Id="rId97" Type="http://schemas.openxmlformats.org/officeDocument/2006/relationships/hyperlink" Target="https://t.me/postypashki_old/1898" TargetMode="External"/><Relationship Id="rId96" Type="http://schemas.openxmlformats.org/officeDocument/2006/relationships/hyperlink" Target="https://t.me/postypashki_old/1897" TargetMode="External"/><Relationship Id="rId99" Type="http://schemas.openxmlformats.org/officeDocument/2006/relationships/hyperlink" Target="https://t.me/zadachi_ds/362" TargetMode="External"/><Relationship Id="rId98" Type="http://schemas.openxmlformats.org/officeDocument/2006/relationships/hyperlink" Target="https://t.me/postypashki_old/1899" TargetMode="External"/><Relationship Id="rId91" Type="http://schemas.openxmlformats.org/officeDocument/2006/relationships/hyperlink" Target="https://t.me/postypashki_old/1887" TargetMode="External"/><Relationship Id="rId90" Type="http://schemas.openxmlformats.org/officeDocument/2006/relationships/hyperlink" Target="https://t.me/postypashki_old/1886" TargetMode="External"/><Relationship Id="rId93" Type="http://schemas.openxmlformats.org/officeDocument/2006/relationships/hyperlink" Target="https://t.me/postypashki_old/1893" TargetMode="External"/><Relationship Id="rId92" Type="http://schemas.openxmlformats.org/officeDocument/2006/relationships/hyperlink" Target="https://t.me/postypashki_old/1892" TargetMode="External"/><Relationship Id="rId118" Type="http://schemas.openxmlformats.org/officeDocument/2006/relationships/hyperlink" Target="https://t.me/chad_protocol/489" TargetMode="External"/><Relationship Id="rId239" Type="http://schemas.openxmlformats.org/officeDocument/2006/relationships/hyperlink" Target="https://t.me/matesha_shad/376" TargetMode="External"/><Relationship Id="rId117" Type="http://schemas.openxmlformats.org/officeDocument/2006/relationships/hyperlink" Target="https://t.me/chad_protocol/489" TargetMode="External"/><Relationship Id="rId238" Type="http://schemas.openxmlformats.org/officeDocument/2006/relationships/hyperlink" Target="https://t.me/postypashki_old/1841" TargetMode="External"/><Relationship Id="rId359" Type="http://schemas.openxmlformats.org/officeDocument/2006/relationships/hyperlink" Target="https://t.me/postypashki_mems/1424" TargetMode="External"/><Relationship Id="rId116" Type="http://schemas.openxmlformats.org/officeDocument/2006/relationships/hyperlink" Target="https://t.me/postypashki_mems/1341" TargetMode="External"/><Relationship Id="rId237" Type="http://schemas.openxmlformats.org/officeDocument/2006/relationships/hyperlink" Target="https://t.me/zadachi_ds/393" TargetMode="External"/><Relationship Id="rId358" Type="http://schemas.openxmlformats.org/officeDocument/2006/relationships/hyperlink" Target="https://t.me/postypashki_mems/1424" TargetMode="External"/><Relationship Id="rId115" Type="http://schemas.openxmlformats.org/officeDocument/2006/relationships/hyperlink" Target="https://t.me/postypashki_mems/1341" TargetMode="External"/><Relationship Id="rId236" Type="http://schemas.openxmlformats.org/officeDocument/2006/relationships/hyperlink" Target="https://t.me/zadachi_ds/393" TargetMode="External"/><Relationship Id="rId357" Type="http://schemas.openxmlformats.org/officeDocument/2006/relationships/hyperlink" Target="https://t.me/chad_protocol/543" TargetMode="External"/><Relationship Id="rId119" Type="http://schemas.openxmlformats.org/officeDocument/2006/relationships/hyperlink" Target="https://t.me/postypashki_old/1789" TargetMode="External"/><Relationship Id="rId110" Type="http://schemas.openxmlformats.org/officeDocument/2006/relationships/hyperlink" Target="https://t.me/chad_protocol/488" TargetMode="External"/><Relationship Id="rId231" Type="http://schemas.openxmlformats.org/officeDocument/2006/relationships/hyperlink" Target="https://t.me/postypashki_old/1841" TargetMode="External"/><Relationship Id="rId352" Type="http://schemas.openxmlformats.org/officeDocument/2006/relationships/hyperlink" Target="https://t.me/postypashki_mems/1423" TargetMode="External"/><Relationship Id="rId230" Type="http://schemas.openxmlformats.org/officeDocument/2006/relationships/hyperlink" Target="https://t.me/postypashki_mems/1381" TargetMode="External"/><Relationship Id="rId351" Type="http://schemas.openxmlformats.org/officeDocument/2006/relationships/hyperlink" Target="https://t.me/ProdAnalysis/175" TargetMode="External"/><Relationship Id="rId350" Type="http://schemas.openxmlformats.org/officeDocument/2006/relationships/hyperlink" Target="https://t.me/ProdAnalysis/175" TargetMode="External"/><Relationship Id="rId114" Type="http://schemas.openxmlformats.org/officeDocument/2006/relationships/hyperlink" Target="https://t.me/codeof_art/297" TargetMode="External"/><Relationship Id="rId235" Type="http://schemas.openxmlformats.org/officeDocument/2006/relationships/hyperlink" Target="https://t.me/zadachi_ds/392" TargetMode="External"/><Relationship Id="rId356" Type="http://schemas.openxmlformats.org/officeDocument/2006/relationships/hyperlink" Target="https://t.me/chad_protocol/543" TargetMode="External"/><Relationship Id="rId113" Type="http://schemas.openxmlformats.org/officeDocument/2006/relationships/hyperlink" Target="https://t.me/codeof_art/297" TargetMode="External"/><Relationship Id="rId234" Type="http://schemas.openxmlformats.org/officeDocument/2006/relationships/hyperlink" Target="https://t.me/zadachi_ds/392" TargetMode="External"/><Relationship Id="rId355" Type="http://schemas.openxmlformats.org/officeDocument/2006/relationships/hyperlink" Target="https://t.me/algoses/626" TargetMode="External"/><Relationship Id="rId112" Type="http://schemas.openxmlformats.org/officeDocument/2006/relationships/hyperlink" Target="https://t.me/postypashki_old/1797" TargetMode="External"/><Relationship Id="rId233" Type="http://schemas.openxmlformats.org/officeDocument/2006/relationships/hyperlink" Target="https://t.me/zadachi_ds/391" TargetMode="External"/><Relationship Id="rId354" Type="http://schemas.openxmlformats.org/officeDocument/2006/relationships/hyperlink" Target="https://t.me/algoses/626" TargetMode="External"/><Relationship Id="rId111" Type="http://schemas.openxmlformats.org/officeDocument/2006/relationships/hyperlink" Target="https://t.me/chad_protocol/488" TargetMode="External"/><Relationship Id="rId232" Type="http://schemas.openxmlformats.org/officeDocument/2006/relationships/hyperlink" Target="https://t.me/zadachi_ds/391" TargetMode="External"/><Relationship Id="rId353" Type="http://schemas.openxmlformats.org/officeDocument/2006/relationships/hyperlink" Target="https://t.me/postypashki_mems/1423" TargetMode="External"/><Relationship Id="rId305" Type="http://schemas.openxmlformats.org/officeDocument/2006/relationships/hyperlink" Target="https://t.me/ProdAnalysis/161" TargetMode="External"/><Relationship Id="rId304" Type="http://schemas.openxmlformats.org/officeDocument/2006/relationships/hyperlink" Target="https://t.me/zadachi_ds/417" TargetMode="External"/><Relationship Id="rId303" Type="http://schemas.openxmlformats.org/officeDocument/2006/relationships/hyperlink" Target="https://t.me/zadachi_ds/417" TargetMode="External"/><Relationship Id="rId302" Type="http://schemas.openxmlformats.org/officeDocument/2006/relationships/hyperlink" Target="https://t.me/codeof_art/324" TargetMode="External"/><Relationship Id="rId309" Type="http://schemas.openxmlformats.org/officeDocument/2006/relationships/hyperlink" Target="https://t.me/matesha_shad/385" TargetMode="External"/><Relationship Id="rId308" Type="http://schemas.openxmlformats.org/officeDocument/2006/relationships/hyperlink" Target="https://t.me/codeof_art/325" TargetMode="External"/><Relationship Id="rId307" Type="http://schemas.openxmlformats.org/officeDocument/2006/relationships/hyperlink" Target="https://t.me/codeof_art/325" TargetMode="External"/><Relationship Id="rId306" Type="http://schemas.openxmlformats.org/officeDocument/2006/relationships/hyperlink" Target="https://t.me/ProdAnalysis/161" TargetMode="External"/><Relationship Id="rId301" Type="http://schemas.openxmlformats.org/officeDocument/2006/relationships/hyperlink" Target="https://t.me/codeof_art/324" TargetMode="External"/><Relationship Id="rId300" Type="http://schemas.openxmlformats.org/officeDocument/2006/relationships/hyperlink" Target="https://t.me/algoses/620" TargetMode="External"/><Relationship Id="rId206" Type="http://schemas.openxmlformats.org/officeDocument/2006/relationships/hyperlink" Target="https://t.me/algoses/597" TargetMode="External"/><Relationship Id="rId327" Type="http://schemas.openxmlformats.org/officeDocument/2006/relationships/hyperlink" Target="https://t.me/ProdAnalysis/167" TargetMode="External"/><Relationship Id="rId205" Type="http://schemas.openxmlformats.org/officeDocument/2006/relationships/hyperlink" Target="https://t.me/algoses/596" TargetMode="External"/><Relationship Id="rId326" Type="http://schemas.openxmlformats.org/officeDocument/2006/relationships/hyperlink" Target="https://t.me/postypashki_old/1881" TargetMode="External"/><Relationship Id="rId204" Type="http://schemas.openxmlformats.org/officeDocument/2006/relationships/hyperlink" Target="https://t.me/algoses/596" TargetMode="External"/><Relationship Id="rId325" Type="http://schemas.openxmlformats.org/officeDocument/2006/relationships/hyperlink" Target="https://t.me/postypashki_mems/1414" TargetMode="External"/><Relationship Id="rId203" Type="http://schemas.openxmlformats.org/officeDocument/2006/relationships/hyperlink" Target="https://t.me/algoses/595" TargetMode="External"/><Relationship Id="rId324" Type="http://schemas.openxmlformats.org/officeDocument/2006/relationships/hyperlink" Target="https://t.me/postypashki_mems/1414" TargetMode="External"/><Relationship Id="rId209" Type="http://schemas.openxmlformats.org/officeDocument/2006/relationships/hyperlink" Target="https://t.me/chad_protocol/512" TargetMode="External"/><Relationship Id="rId208" Type="http://schemas.openxmlformats.org/officeDocument/2006/relationships/hyperlink" Target="https://t.me/postypashki_old/1841" TargetMode="External"/><Relationship Id="rId329" Type="http://schemas.openxmlformats.org/officeDocument/2006/relationships/hyperlink" Target="https://t.me/postypashki_old/1887" TargetMode="External"/><Relationship Id="rId207" Type="http://schemas.openxmlformats.org/officeDocument/2006/relationships/hyperlink" Target="https://t.me/algoses/597" TargetMode="External"/><Relationship Id="rId328" Type="http://schemas.openxmlformats.org/officeDocument/2006/relationships/hyperlink" Target="https://t.me/ProdAnalysis/167" TargetMode="External"/><Relationship Id="rId202" Type="http://schemas.openxmlformats.org/officeDocument/2006/relationships/hyperlink" Target="https://t.me/algoses/595" TargetMode="External"/><Relationship Id="rId323" Type="http://schemas.openxmlformats.org/officeDocument/2006/relationships/hyperlink" Target="https://t.me/ProdAnalysis/164" TargetMode="External"/><Relationship Id="rId201" Type="http://schemas.openxmlformats.org/officeDocument/2006/relationships/hyperlink" Target="https://t.me/postypashki_old/1841" TargetMode="External"/><Relationship Id="rId322" Type="http://schemas.openxmlformats.org/officeDocument/2006/relationships/hyperlink" Target="https://t.me/ProdAnalysis/164" TargetMode="External"/><Relationship Id="rId200" Type="http://schemas.openxmlformats.org/officeDocument/2006/relationships/hyperlink" Target="https://t.me/ProdAnalysis/150" TargetMode="External"/><Relationship Id="rId321" Type="http://schemas.openxmlformats.org/officeDocument/2006/relationships/hyperlink" Target="https://t.me/postypashki_old/1881" TargetMode="External"/><Relationship Id="rId320" Type="http://schemas.openxmlformats.org/officeDocument/2006/relationships/hyperlink" Target="https://t.me/ProdAnalysis/163" TargetMode="External"/><Relationship Id="rId316" Type="http://schemas.openxmlformats.org/officeDocument/2006/relationships/hyperlink" Target="https://t.me/matesha_shad/386" TargetMode="External"/><Relationship Id="rId315" Type="http://schemas.openxmlformats.org/officeDocument/2006/relationships/hyperlink" Target="https://t.me/matesha_shad/386" TargetMode="External"/><Relationship Id="rId314" Type="http://schemas.openxmlformats.org/officeDocument/2006/relationships/hyperlink" Target="https://t.me/zadachi_ds/420" TargetMode="External"/><Relationship Id="rId313" Type="http://schemas.openxmlformats.org/officeDocument/2006/relationships/hyperlink" Target="https://t.me/zadachi_ds/420" TargetMode="External"/><Relationship Id="rId319" Type="http://schemas.openxmlformats.org/officeDocument/2006/relationships/hyperlink" Target="https://t.me/ProdAnalysis/163" TargetMode="External"/><Relationship Id="rId318" Type="http://schemas.openxmlformats.org/officeDocument/2006/relationships/hyperlink" Target="https://t.me/postypashki_mems/1412" TargetMode="External"/><Relationship Id="rId317" Type="http://schemas.openxmlformats.org/officeDocument/2006/relationships/hyperlink" Target="https://t.me/postypashki_mems/1412" TargetMode="External"/><Relationship Id="rId312" Type="http://schemas.openxmlformats.org/officeDocument/2006/relationships/hyperlink" Target="https://t.me/postypashki_mems/1410" TargetMode="External"/><Relationship Id="rId311" Type="http://schemas.openxmlformats.org/officeDocument/2006/relationships/hyperlink" Target="https://t.me/postypashki_mems/1410" TargetMode="External"/><Relationship Id="rId310" Type="http://schemas.openxmlformats.org/officeDocument/2006/relationships/hyperlink" Target="https://t.me/matesha_shad/385" TargetMode="Externa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1" Type="http://schemas.openxmlformats.org/officeDocument/2006/relationships/vmlDrawing" Target="../drawings/vmlDrawing3.vml"/><Relationship Id="rId10" Type="http://schemas.openxmlformats.org/officeDocument/2006/relationships/drawing" Target="../drawings/drawing3.xml"/><Relationship Id="rId1" Type="http://schemas.openxmlformats.org/officeDocument/2006/relationships/comments" Target="../comments3.xml"/><Relationship Id="rId2" Type="http://schemas.openxmlformats.org/officeDocument/2006/relationships/hyperlink" Target="https://t.me/postypashki_old" TargetMode="External"/><Relationship Id="rId3" Type="http://schemas.openxmlformats.org/officeDocument/2006/relationships/hyperlink" Target="https://t.me/algoses" TargetMode="External"/><Relationship Id="rId4" Type="http://schemas.openxmlformats.org/officeDocument/2006/relationships/hyperlink" Target="https://t.me/codeof_art" TargetMode="External"/><Relationship Id="rId9" Type="http://schemas.openxmlformats.org/officeDocument/2006/relationships/hyperlink" Target="https://t.me/matesha_shad" TargetMode="External"/><Relationship Id="rId5" Type="http://schemas.openxmlformats.org/officeDocument/2006/relationships/hyperlink" Target="https://t.me/postypashki_mems" TargetMode="External"/><Relationship Id="rId6" Type="http://schemas.openxmlformats.org/officeDocument/2006/relationships/hyperlink" Target="https://t.me/chad_protocol" TargetMode="External"/><Relationship Id="rId7" Type="http://schemas.openxmlformats.org/officeDocument/2006/relationships/hyperlink" Target="https://t.me/zadachi_ds" TargetMode="External"/><Relationship Id="rId8" Type="http://schemas.openxmlformats.org/officeDocument/2006/relationships/hyperlink" Target="https://t.me/ProdAnalysis" TargetMode="Externa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hyperlink" Target="https://t.me/..." TargetMode="External"/><Relationship Id="rId3" Type="http://schemas.openxmlformats.org/officeDocument/2006/relationships/drawing" Target="../drawings/drawing4.xml"/><Relationship Id="rId4"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73.38"/>
    <col customWidth="1" min="2" max="2" width="9.0"/>
    <col customWidth="1" min="3" max="3" width="12.38"/>
    <col customWidth="1" min="4" max="4" width="10.38"/>
    <col customWidth="1" min="5" max="6" width="11.13"/>
    <col customWidth="1" min="7" max="7" width="12.5"/>
    <col customWidth="1" min="8" max="8" width="10.25"/>
    <col customWidth="1" min="9" max="9" width="12.63"/>
    <col customWidth="1" min="10" max="10" width="12.13"/>
    <col customWidth="1" min="11" max="11" width="11.75"/>
    <col customWidth="1" min="12" max="12" width="7.75"/>
    <col customWidth="1" min="13" max="13" width="10.0"/>
    <col customWidth="1" min="14" max="14" width="10.13"/>
    <col customWidth="1" min="15" max="15" width="12.75"/>
    <col customWidth="1" min="16" max="16" width="10.13"/>
    <col customWidth="1" min="17" max="17" width="38.38"/>
  </cols>
  <sheetData>
    <row r="1">
      <c r="A1" s="1" t="s">
        <v>1</v>
      </c>
      <c r="AI1" s="1"/>
      <c r="AJ1" s="1"/>
      <c r="AK1" s="1"/>
      <c r="AL1" s="1"/>
      <c r="AM1" s="1"/>
      <c r="AN1" s="1"/>
      <c r="AO1" s="1"/>
      <c r="AP1" s="1"/>
      <c r="AQ1" s="1"/>
      <c r="AR1" s="1"/>
      <c r="AS1" s="1"/>
    </row>
    <row r="2" ht="31.5" customHeight="1">
      <c r="A2" s="2" t="s">
        <v>20</v>
      </c>
      <c r="B2" s="2" t="s">
        <v>23</v>
      </c>
      <c r="C2" s="2" t="s">
        <v>25</v>
      </c>
      <c r="D2" s="2" t="s">
        <v>28</v>
      </c>
      <c r="E2" s="2" t="s">
        <v>7</v>
      </c>
      <c r="F2" s="2" t="s">
        <v>34</v>
      </c>
      <c r="G2" s="2" t="s">
        <v>37</v>
      </c>
      <c r="H2" s="2" t="s">
        <v>40</v>
      </c>
      <c r="I2" s="2" t="s">
        <v>42</v>
      </c>
      <c r="J2" s="2" t="s">
        <v>44</v>
      </c>
      <c r="K2" s="2" t="s">
        <v>46</v>
      </c>
      <c r="L2" s="2" t="s">
        <v>49</v>
      </c>
      <c r="M2" s="2" t="s">
        <v>52</v>
      </c>
      <c r="N2" s="2" t="s">
        <v>53</v>
      </c>
      <c r="O2" s="2" t="s">
        <v>55</v>
      </c>
      <c r="P2" s="2" t="s">
        <v>56</v>
      </c>
      <c r="Q2" s="2" t="s">
        <v>19</v>
      </c>
      <c r="R2" s="5" t="s">
        <v>59</v>
      </c>
      <c r="S2" s="5" t="s">
        <v>61</v>
      </c>
      <c r="T2" s="4" t="s">
        <v>62</v>
      </c>
      <c r="U2" s="4" t="s">
        <v>63</v>
      </c>
      <c r="V2" s="4" t="s">
        <v>64</v>
      </c>
      <c r="W2" s="4" t="s">
        <v>65</v>
      </c>
      <c r="X2" s="4" t="s">
        <v>66</v>
      </c>
      <c r="Y2" s="4" t="s">
        <v>67</v>
      </c>
      <c r="Z2" s="4" t="s">
        <v>69</v>
      </c>
      <c r="AA2" s="4" t="s">
        <v>72</v>
      </c>
      <c r="AB2" s="4" t="s">
        <v>73</v>
      </c>
      <c r="AC2" s="4" t="s">
        <v>77</v>
      </c>
      <c r="AD2" s="4" t="s">
        <v>79</v>
      </c>
      <c r="AE2" s="4" t="s">
        <v>82</v>
      </c>
      <c r="AF2" s="4" t="s">
        <v>84</v>
      </c>
      <c r="AG2" s="4" t="s">
        <v>86</v>
      </c>
      <c r="AH2" s="4" t="s">
        <v>87</v>
      </c>
      <c r="AI2" s="4"/>
      <c r="AJ2" s="9" t="s">
        <v>89</v>
      </c>
      <c r="AK2" s="9" t="s">
        <v>90</v>
      </c>
      <c r="AL2" s="9" t="s">
        <v>91</v>
      </c>
      <c r="AM2" s="9" t="s">
        <v>92</v>
      </c>
      <c r="AN2" s="4" t="s">
        <v>93</v>
      </c>
      <c r="AO2" s="4"/>
      <c r="AP2" s="4"/>
      <c r="AQ2" s="4"/>
      <c r="AR2" s="4"/>
      <c r="AS2" s="4"/>
    </row>
    <row r="3" ht="31.5" customHeight="1">
      <c r="A3" s="3" t="s">
        <v>97</v>
      </c>
      <c r="B3" s="3" t="s">
        <v>101</v>
      </c>
      <c r="C3" s="3" t="s">
        <v>102</v>
      </c>
      <c r="D3" s="3" t="s">
        <v>104</v>
      </c>
      <c r="E3" s="3" t="s">
        <v>29</v>
      </c>
      <c r="F3" s="3" t="s">
        <v>116</v>
      </c>
      <c r="G3" s="3" t="s">
        <v>117</v>
      </c>
      <c r="H3" s="3" t="s">
        <v>118</v>
      </c>
      <c r="I3" s="3" t="s">
        <v>121</v>
      </c>
      <c r="J3" s="3" t="s">
        <v>123</v>
      </c>
      <c r="K3" s="3" t="s">
        <v>126</v>
      </c>
      <c r="L3" s="3" t="s">
        <v>128</v>
      </c>
      <c r="M3" s="3" t="s">
        <v>129</v>
      </c>
      <c r="N3" s="3" t="s">
        <v>131</v>
      </c>
      <c r="O3" s="3" t="s">
        <v>133</v>
      </c>
      <c r="P3" s="3" t="s">
        <v>134</v>
      </c>
      <c r="Q3" s="3" t="s">
        <v>33</v>
      </c>
      <c r="R3" s="3" t="s">
        <v>138</v>
      </c>
      <c r="S3" s="3" t="s">
        <v>142</v>
      </c>
      <c r="T3" s="4" t="s">
        <v>143</v>
      </c>
      <c r="U3" s="4" t="s">
        <v>144</v>
      </c>
      <c r="V3" s="4" t="s">
        <v>145</v>
      </c>
      <c r="W3" s="4" t="s">
        <v>147</v>
      </c>
      <c r="X3" s="4" t="s">
        <v>148</v>
      </c>
      <c r="Y3" s="4" t="s">
        <v>149</v>
      </c>
      <c r="Z3" s="4" t="s">
        <v>151</v>
      </c>
      <c r="AA3" s="4" t="s">
        <v>152</v>
      </c>
      <c r="AB3" s="4" t="s">
        <v>153</v>
      </c>
      <c r="AC3" s="4" t="s">
        <v>154</v>
      </c>
      <c r="AD3" s="4" t="s">
        <v>155</v>
      </c>
      <c r="AE3" s="4" t="s">
        <v>156</v>
      </c>
      <c r="AF3" s="4" t="s">
        <v>158</v>
      </c>
      <c r="AG3" s="4" t="s">
        <v>161</v>
      </c>
      <c r="AH3" s="4" t="s">
        <v>163</v>
      </c>
      <c r="AI3" s="4"/>
      <c r="AJ3" s="9" t="s">
        <v>165</v>
      </c>
      <c r="AK3" s="9" t="s">
        <v>167</v>
      </c>
      <c r="AL3" s="9" t="s">
        <v>168</v>
      </c>
      <c r="AM3" s="9" t="s">
        <v>169</v>
      </c>
      <c r="AN3" s="4" t="s">
        <v>170</v>
      </c>
      <c r="AO3" s="4"/>
      <c r="AP3" s="4"/>
      <c r="AQ3" s="4"/>
      <c r="AR3" s="4"/>
      <c r="AS3" s="4"/>
    </row>
    <row r="4">
      <c r="A4" s="4" t="str">
        <f>IFERROR(__xludf.DUMMYFUNCTION("LET(int,IMPORTRANGE(""1r5iJpE6WzZHZ_zE-awicYvFmmuUOGB26y4Fx6jO1n_I"",""'Посты'!A2:V98""),ext,IMPORTRANGE(""1aauCY1IQsVdCD1LTM1CONxSNZInPZPpvu7rGyIogkv0"",""'Реестр внешних постов'!A2:T114""),ik,CHOOSECOLS(int,1),ek,CHOOSECOLS(ext,1),ib,ARRAYFORMULA(IF(ik&lt;"&amp;"&gt;"""","""","""")),eb,ARRAYFORMULA(IF(ek&lt;&gt;"""","""","""")),VSTACK(HSTACK(ARRAYFORMULA(""INT-""&amp;ik),CHOOSECOLS(int,2),ARRAYFORMULA(IF(ik&lt;&gt;"""",""@postypashki_old"","""")),CHOOSECOLS(int,6),CHOOSECOLS(int,11),ib,ARRAYFORMULA(""postypashki_old/""&amp;ik),CHOOSECO"&amp;"LS(int,18),ARRAYFORMULA(IF(ik&lt;&gt;"""",""internal"","""")),CHOOSECOLS(int,4),CHOOSECOLS(int,8),CHOOSECOLS(int,9),ib,ARRAYFORMULA(IF(ik&lt;&gt;"""",""Telegram"","""")),ARRAYFORMULA(IF(ik&lt;&gt;"""",""raw"","""")),ARRAYFORMULA(IF(ik&lt;&gt;"""",""Codex"","""")),CHOOSECOLS(int,"&amp;"5),ARRAYFORMULA(IF(ik&lt;&gt;"""",""internal"","""")),ARRAYFORMULA(IF(ik&lt;&gt;"""",""unknown"","""")),ARRAYFORMULA(IF(ik&lt;&gt;"""",""telegram_internal"","""")),CHOOSECOLS(int,6),CHOOSECOLS(int,3),CHOOSECOLS(int,16),CHOOSECOLS(int,19),ib,ib,CHOOSECOLS(int,12),CHOOSECOLS"&amp;"(int,13),CHOOSECOLS(int,14),CHOOSECOLS(int,15),CHOOSECOLS(int,20),CHOOSECOLS(int,21),CHOOSECOLS(int,22),ib),HSTACK(ARRAYFORMULA(""EXT-""&amp;SEQUENCE(ROWS(ext))),CHOOSECOLS(ext,2),ARRAYFORMULA(""@""&amp;CHOOSECOLS(ext,1)),CHOOSECOLS(ext,4),eb,eb,CHOOSECOLS(ext,3)"&amp;",CHOOSECOLS(ext,15),ARRAYFORMULA(IF(ek&lt;&gt;"""",""external"","""")),CHOOSECOLS(ext,3),CHOOSECOLS(ext,12),CHOOSECOLS(ext,13),CHOOSECOLS(ext,18),ARRAYFORMULA(IF(ek&lt;&gt;"""",""Telegram"","""")),ARRAYFORMULA(IF(ek&lt;&gt;"""",""raw"","""")),ARRAYFORMULA(IF(ek&lt;&gt;"""",""Cod"&amp;"ex"","""")),CHOOSECOLS(ext,7),ARRAYFORMULA(IF(ek&lt;&gt;"""",""unknown"","""")),ARRAYFORMULA(IF(ek&lt;&gt;"""",""unknown"","""")),ARRAYFORMULA(IF(ek&lt;&gt;"""",""telegram_external"","""")),CHOOSECOLS(ext,4),eb,eb,CHOOSECOLS(ext,16),CHOOSECOLS(ext,9),CHOOSECOLS(ext,6),eb,e"&amp;"b,eb,eb,eb,CHOOSECOLS(ext,17),eb,CHOOSECOLS(ext,19),CHOOSECOLS(ext,20))))"),"INT-1764")</f>
        <v>INT-1764</v>
      </c>
      <c r="B4" s="4" t="str">
        <f>IFERROR(__xludf.DUMMYFUNCTION("""COMPUTED_VALUE"""),"2026-07-01 18:10:49")</f>
        <v>2026-07-01 18:10:49</v>
      </c>
      <c r="C4" s="4" t="str">
        <f>IFERROR(__xludf.DUMMYFUNCTION("""COMPUTED_VALUE"""),"@postypashki_old")</f>
        <v>@postypashki_old</v>
      </c>
      <c r="D4" s="4" t="str">
        <f>IFERROR(__xludf.DUMMYFUNCTION("""COMPUTED_VALUE"""),"Контент с предложением курсов")</f>
        <v>Контент с предложением курсов</v>
      </c>
      <c r="E4" s="4" t="str">
        <f>IFERROR(__xludf.DUMMYFUNCTION("""COMPUTED_VALUE"""),"ML старт | Data Science")</f>
        <v>ML старт | Data Science</v>
      </c>
      <c r="F4" s="4" t="str">
        <f>IFERROR(__xludf.DUMMYFUNCTION("""COMPUTED_VALUE"""),"")</f>
        <v/>
      </c>
      <c r="G4" s="4" t="str">
        <f>IFERROR(__xludf.DUMMYFUNCTION("""COMPUTED_VALUE"""),"postypashki_old/1764")</f>
        <v>postypashki_old/1764</v>
      </c>
      <c r="H4" s="4" t="str">
        <f>IFERROR(__xludf.DUMMYFUNCTION("""COMPUTED_VALUE"""),"Самые интересные события в ближайшее время.
Все подобное вы можете обсудить в комментариях под этим постом или в нашем чате.
1. Стажировка Т-банк
Донабор, для участия нужно заполнить анкету и решить экзамены 29 июня - 5 июля на ограниченное время.  Если "&amp;"подавались в основной набор, то просто создайте второй аккаунт и подайтесь на донабор. Задания лежат здесь, а их разбор соответствующих направлений выложен на соответствующих курсах. 
Как пройти на стажировку обязательно смотрим здесь.
➡️ Записаться. 
2."&amp;" Стажировка Яндекс
Продолжается главная стажировка сезона (задания тут). Для участия нужно решить вступительных контест, обычно достаточно 2/3, задания и материалы тут. Разбор заданий уже выложен на наших курсах
➡️ Записаться. 
Как гарантировано пройти на"&amp;" стажировку обязательно смотрим здесь.
3. Стажировка Авито
На DS. Для участия нужно подать заявку до 9 июля, выполнить тест, видеоинтервью, разбор теста будет на нашем курсе МЛ старт. 
➡️ Записаться. 
Просьба от админа к организаторам: сделайте пожалуйс"&amp;"та централизованные отборы на все направления по примеру Т-банка. 
4. Сбер
Для участия нужно заполнить анкету, через какое-то время придет тестовое (пример тут) или свяжется HR и задаст стандартные вопросы по мотивации и технической части: в духе, скольк"&amp;"о в гигабайте килобайт. Как пройти на стажировку обязательно смотрим здесь.
5. VK 
В самом начале выбираете вакансию: не только направление, но и команду. Можно выбрать до двух вакансий. Далее ждет тестовое задание, на каждую вакансию оно разное. Отметим"&amp;", что много вакансий с гибким графиком. Отзыв о ВК здесь.
6. Райффайзенбанк
Вакансий обычно немного, поэтому не печальтесь, если сразу придет реджект. Попытаться стоит, но как всегда заполняем анкету с умом: пишем старшие курсы, город Москва и тд.
7. Ак"&amp;"адемия Аналитиков Авито
Нужно подать заявку до 2 июля. Цель программы: вырастить классный специалистов и встроить в Авито. Топовые преподаватели, курсы на реальной инфраструктуре и задачи Авито. Первый этап будет разобран на нашем интенсиве к АА. 
➡️ Запи"&amp;"саться. 
8. Ozon Route
Курсы для go-разработчиков и Data Scientistов, обещают стажировку уже в процессе прохождения. Для участия нужно подать заявку до 23 июля и попасть в топ по контесту. 
Как попасть на стажировку в Озон обязательно смотрим здесь.
Так"&amp;"же не забываем мониторить вакансии по компаниям, которые указаны тут. 
Еще помним про сезонные школы, за которыми удобно следить тоже на нашем сайте.
@postypashki_old")</f>
        <v>Самые интересные события в ближайшее время.
Все подобное вы можете обсудить в комментариях под этим постом или в нашем чате.
1. Стажировка Т-банк
Донабор, для участия нужно заполнить анкету и решить экзамены 29 июня - 5 июля на ограниченное время.  Если подавались в основной набор, то просто создайте второй аккаунт и подайтесь на донабор. Задания лежат здесь, а их разбор соответствующих направлений выложен на соответствующих курсах. 
Как пройти на стажировку обязательно смотрим здесь.
➡️ Записаться. 
2. Стажировка Яндекс
Продолжается главная стажировка сезона (задания тут). Для участия нужно решить вступительных контест, обычно достаточно 2/3, задания и материалы тут. Разбор заданий уже выложен на наших курсах
➡️ Записаться. 
Как гарантировано пройти на стажировку обязательно смотрим здесь.
3. Стажировка Авито
На DS. Для участия нужно подать заявку до 9 июля, выполнить тест, видеоинтервью, разбор теста будет на нашем курсе МЛ старт. 
➡️ Записаться. 
Просьба от админа к организаторам: сделайте пожалуйста централизованные отборы на все направления по примеру Т-банка. 
4. Сбер
Для участия нужно заполнить анкету, через какое-то время придет тестовое (пример тут) или свяжется HR и задаст стандартные вопросы по мотивации и технической части: в духе, сколько в гигабайте килобайт. Как пройти на стажировку обязательно смотрим здесь.
5. VK 
В самом начале выбираете вакансию: не только направление, но и команду. Можно выбрать до двух вакансий. Далее ждет тестовое задание, на каждую вакансию оно разное. Отметим, что много вакансий с гибким графиком. Отзыв о ВК здесь.
6. Райффайзенбанк
Вакансий обычно немного, поэтому не печальтесь, если сразу придет реджект. Попытаться стоит, но как всегда заполняем анкету с умом: пишем старшие курсы, город Москва и тд.
7. Академия Аналитиков Авито
Нужно подать заявку до 2 июля. Цель программы: вырастить классный специалистов и встроить в Авито. Топовые преподаватели, курсы на реальной инфраструктуре и задачи Авито. Первый этап будет разобран на нашем интенсиве к АА. 
➡️ Записаться. 
8. Ozon Route
Курсы для go-разработчиков и Data Scientistов, обещают стажировку уже в процессе прохождения. Для участия нужно подать заявку до 23 июля и попасть в топ по контесту. 
Как попасть на стажировку в Озон обязательно смотрим здесь.
Также не забываем мониторить вакансии по компаниям, которые указаны тут. 
Еще помним про сезонные школы, за которыми удобно следить тоже на нашем сайте.
@postypashki_old</v>
      </c>
      <c r="I4" s="4" t="str">
        <f>IFERROR(__xludf.DUMMYFUNCTION("""COMPUTED_VALUE"""),"internal")</f>
        <v>internal</v>
      </c>
      <c r="J4" s="7" t="str">
        <f>IFERROR(__xludf.DUMMYFUNCTION("""COMPUTED_VALUE"""),"https://t.me/postypashki_old/1764")</f>
        <v>https://t.me/postypashki_old/1764</v>
      </c>
      <c r="K4" s="4">
        <f>IFERROR(__xludf.DUMMYFUNCTION("""COMPUTED_VALUE"""),21200.0)</f>
        <v>21200</v>
      </c>
      <c r="L4" s="4">
        <f>IFERROR(__xludf.DUMMYFUNCTION("""COMPUTED_VALUE"""),42.0)</f>
        <v>42</v>
      </c>
      <c r="M4" s="4" t="str">
        <f>IFERROR(__xludf.DUMMYFUNCTION("""COMPUTED_VALUE"""),"")</f>
        <v/>
      </c>
      <c r="N4" s="4" t="str">
        <f>IFERROR(__xludf.DUMMYFUNCTION("""COMPUTED_VALUE"""),"Telegram")</f>
        <v>Telegram</v>
      </c>
      <c r="O4" s="4" t="str">
        <f>IFERROR(__xludf.DUMMYFUNCTION("""COMPUTED_VALUE"""),"raw")</f>
        <v>raw</v>
      </c>
      <c r="P4" s="4" t="str">
        <f>IFERROR(__xludf.DUMMYFUNCTION("""COMPUTED_VALUE"""),"Codex")</f>
        <v>Codex</v>
      </c>
      <c r="Q4" s="4" t="str">
        <f>IFERROR(__xludf.DUMMYFUNCTION("""COMPUTED_VALUE"""),"Самые интересные события в ближайшее время. Все подобное вы можете обсудить в комментариях под этим постом или в нашем чате. 1. Стажировка Т-банк Донабор, для участия нужно заполни")</f>
        <v>Самые интересные события в ближайшее время. Все подобное вы можете обсудить в комментариях под этим постом или в нашем чате. 1. Стажировка Т-банк Донабор, для участия нужно заполни</v>
      </c>
      <c r="R4" s="4" t="str">
        <f>IFERROR(__xludf.DUMMYFUNCTION("""COMPUTED_VALUE"""),"internal")</f>
        <v>internal</v>
      </c>
      <c r="S4" s="4" t="str">
        <f>IFERROR(__xludf.DUMMYFUNCTION("""COMPUTED_VALUE"""),"unknown")</f>
        <v>unknown</v>
      </c>
      <c r="T4" s="6" t="str">
        <f>IFERROR(__xludf.DUMMYFUNCTION("""COMPUTED_VALUE"""),"telegram_internal")</f>
        <v>telegram_internal</v>
      </c>
      <c r="U4" s="6" t="str">
        <f>IFERROR(__xludf.DUMMYFUNCTION("""COMPUTED_VALUE"""),"Контент с предложением курсов")</f>
        <v>Контент с предложением курсов</v>
      </c>
      <c r="V4" s="6" t="str">
        <f>IFERROR(__xludf.DUMMYFUNCTION("""COMPUTED_VALUE"""),"Предыстория")</f>
        <v>Предыстория</v>
      </c>
      <c r="W4" s="6"/>
      <c r="X4" s="6"/>
      <c r="Y4" s="6" t="str">
        <f>IFERROR(__xludf.DUMMYFUNCTION("""COMPUTED_VALUE"""),"")</f>
        <v/>
      </c>
      <c r="Z4" s="6" t="str">
        <f>IFERROR(__xludf.DUMMYFUNCTION("""COMPUTED_VALUE"""),"")</f>
        <v/>
      </c>
      <c r="AA4" s="6" t="b">
        <f>IFERROR(__xludf.DUMMYFUNCTION("""COMPUTED_VALUE"""),TRUE)</f>
        <v>1</v>
      </c>
      <c r="AB4" s="6" t="b">
        <f>IFERROR(__xludf.DUMMYFUNCTION("""COMPUTED_VALUE"""),FALSE)</f>
        <v>0</v>
      </c>
      <c r="AC4" s="6" t="b">
        <f>IFERROR(__xludf.DUMMYFUNCTION("""COMPUTED_VALUE"""),FALSE)</f>
        <v>0</v>
      </c>
      <c r="AD4" s="6" t="b">
        <f>IFERROR(__xludf.DUMMYFUNCTION("""COMPUTED_VALUE"""),FALSE)</f>
        <v>0</v>
      </c>
      <c r="AE4" s="6"/>
      <c r="AF4" s="6" t="b">
        <f>IFERROR(__xludf.DUMMYFUNCTION("""COMPUTED_VALUE"""),FALSE)</f>
        <v>0</v>
      </c>
      <c r="AG4" s="6" t="str">
        <f>IFERROR(__xludf.DUMMYFUNCTION("""COMPUTED_VALUE"""),"2026-07-01T15:10:49+00:00")</f>
        <v>2026-07-01T15:10:49+00:00</v>
      </c>
      <c r="AH4" s="6" t="str">
        <f>IFERROR(__xludf.DUMMYFUNCTION("""COMPUTED_VALUE"""),"")</f>
        <v/>
      </c>
      <c r="AI4" s="6" t="str">
        <f>IFERROR(__xludf.DUMMYFUNCTION("""COMPUTED_VALUE"""),"#N/A")</f>
        <v>#N/A</v>
      </c>
      <c r="AJ4" s="9" t="s">
        <v>223</v>
      </c>
      <c r="AK4" s="9" t="s">
        <v>213</v>
      </c>
      <c r="AM4" s="9" t="s">
        <v>219</v>
      </c>
      <c r="AN4" s="4" t="str">
        <f>IFERROR(__xludf.DUMMYFUNCTION("IF(OR(AJ4=""general_brand"",AJ4=""external"",AJ4=""unknown""),"""",IF(AJ4=""product_line"",IF(AK4=""START"",""Аналитика старт | Алгоритмы старт | Backend старт | ML старт"",IF(AK4=""PRO"",""AI-агенты про | Алгоритмы про | Аналитика про | ML про | Backend "&amp;"про"",IF(AK4=""START | PRO"",""Аналитика старт | Алгоритмы старт | Backend старт | ML старт | AI-агенты про | Алгоритмы про | Аналитика про | ML про | Backend про"",""""))),TEXTJOIN("" | "",TRUE,IF(REGEXMATCH(LOWER(AL4&amp;"" | ""&amp;E4),""аналитика старт""),""А"&amp;"налитика старт"",""""),IF(REGEXMATCH(LOWER(AL4&amp;"" | ""&amp;E4),""алгоритмы старт""),""Алгоритмы старт"",""""),IF(REGEXMATCH(LOWER(AL4&amp;"" | ""&amp;E4),""backend старт""),""Backend старт"",""""),IF(REGEXMATCH(LOWER(AL4&amp;"" | ""&amp;E4),""ml старт""),""ML старт"",""""),I"&amp;"F(REGEXMATCH(LOWER(AL4&amp;"" | ""&amp;E4),""ai[ -]?агент""),""AI-агенты про"",""""),IF(REGEXMATCH(LOWER(AL4&amp;"" | ""&amp;E4),""алгоритмы про""),""Алгоритмы про"",""""),IF(REGEXMATCH(LOWER(AL4&amp;"" | ""&amp;E4),""аналитика про""),""Аналитика про"",""""),IF(REGEXMATCH(LOWER("&amp;"AL4&amp;"" | ""&amp;E4),""ml про""),""ML про"",""""),IF(REGEXMATCH(LOWER(AL4&amp;"" | ""&amp;E4),""backend про""),""Backend про"",""""),IF(REGEXMATCH(LOWER(AL4&amp;"" | ""&amp;E4),""(а/в|ав|а в|ab)[ -]?тест""),""А/В-тесты"",""""),IF(REGEXMATCH(LOWER(AL4&amp;"" | ""&amp;E4),""data scienc"&amp;"e""),""Data science"",""""),IF(REGEXMATCH(LOWER(AL4&amp;"" | ""&amp;E4),""data[- ]?инжен""),""Data-инженер"",""""),IF(REGEXMATCH(LOWER(AL4&amp;"" | ""&amp;E4),""frontend""),""Frontend"",""""))))"),"ML старт | Data science")</f>
        <v>ML старт | Data science</v>
      </c>
    </row>
    <row r="5">
      <c r="A5" s="4" t="str">
        <f>IFERROR(__xludf.DUMMYFUNCTION("""COMPUTED_VALUE"""),"INT-1765")</f>
        <v>INT-1765</v>
      </c>
      <c r="B5" s="4" t="str">
        <f>IFERROR(__xludf.DUMMYFUNCTION("""COMPUTED_VALUE"""),"2026-07-02 18:31:22")</f>
        <v>2026-07-02 18:31:22</v>
      </c>
      <c r="C5" s="4" t="str">
        <f>IFERROR(__xludf.DUMMYFUNCTION("""COMPUTED_VALUE"""),"@postypashki_old")</f>
        <v>@postypashki_old</v>
      </c>
      <c r="D5" s="4" t="str">
        <f>IFERROR(__xludf.DUMMYFUNCTION("""COMPUTED_VALUE"""),"Прочий контент")</f>
        <v>Прочий контент</v>
      </c>
      <c r="E5" s="4"/>
      <c r="F5" s="4" t="str">
        <f>IFERROR(__xludf.DUMMYFUNCTION("""COMPUTED_VALUE"""),"")</f>
        <v/>
      </c>
      <c r="G5" s="4" t="str">
        <f>IFERROR(__xludf.DUMMYFUNCTION("""COMPUTED_VALUE"""),"postypashki_old/1765")</f>
        <v>postypashki_old/1765</v>
      </c>
      <c r="H5" s="4" t="str">
        <f>IFERROR(__xludf.DUMMYFUNCTION("""COMPUTED_VALUE"""),"В новом ролике обсудим, что с вашей психикой сделает работа в Сбере и Иннотехе: рабство, кастрация и принуждение к... Осторожно, факты вас шокируют! Смотрим! Смотрим!
https://www.youtube.com/watch?v=m9sz3u_lfcE")</f>
        <v>В новом ролике обсудим, что с вашей психикой сделает работа в Сбере и Иннотехе: рабство, кастрация и принуждение к... Осторожно, факты вас шокируют! Смотрим! Смотрим!
https://www.youtube.com/watch?v=m9sz3u_lfcE</v>
      </c>
      <c r="I5" s="4" t="str">
        <f>IFERROR(__xludf.DUMMYFUNCTION("""COMPUTED_VALUE"""),"internal")</f>
        <v>internal</v>
      </c>
      <c r="J5" s="7" t="str">
        <f>IFERROR(__xludf.DUMMYFUNCTION("""COMPUTED_VALUE"""),"https://t.me/postypashki_old/1765")</f>
        <v>https://t.me/postypashki_old/1765</v>
      </c>
      <c r="K5" s="6">
        <f>IFERROR(__xludf.DUMMYFUNCTION("""COMPUTED_VALUE"""),17500.0)</f>
        <v>17500</v>
      </c>
      <c r="L5" s="6">
        <f>IFERROR(__xludf.DUMMYFUNCTION("""COMPUTED_VALUE"""),50.0)</f>
        <v>50</v>
      </c>
      <c r="M5" s="6" t="str">
        <f>IFERROR(__xludf.DUMMYFUNCTION("""COMPUTED_VALUE"""),"")</f>
        <v/>
      </c>
      <c r="N5" s="4" t="str">
        <f>IFERROR(__xludf.DUMMYFUNCTION("""COMPUTED_VALUE"""),"Telegram")</f>
        <v>Telegram</v>
      </c>
      <c r="O5" s="4" t="str">
        <f>IFERROR(__xludf.DUMMYFUNCTION("""COMPUTED_VALUE"""),"raw")</f>
        <v>raw</v>
      </c>
      <c r="P5" s="4" t="str">
        <f>IFERROR(__xludf.DUMMYFUNCTION("""COMPUTED_VALUE"""),"Codex")</f>
        <v>Codex</v>
      </c>
      <c r="Q5" s="4" t="str">
        <f>IFERROR(__xludf.DUMMYFUNCTION("""COMPUTED_VALUE"""),"В новом ролике обсудим, что с вашей психикой сделает работа в Сбере и Иннотехе: рабство, кастрация и принуждение к... Осторожно, факты вас шокируют! Смотрим! Смотрим! https://www.y")</f>
        <v>В новом ролике обсудим, что с вашей психикой сделает работа в Сбере и Иннотехе: рабство, кастрация и принуждение к... Осторожно, факты вас шокируют! Смотрим! Смотрим! https://www.y</v>
      </c>
      <c r="R5" s="4" t="str">
        <f>IFERROR(__xludf.DUMMYFUNCTION("""COMPUTED_VALUE"""),"internal")</f>
        <v>internal</v>
      </c>
      <c r="S5" s="4" t="str">
        <f>IFERROR(__xludf.DUMMYFUNCTION("""COMPUTED_VALUE"""),"unknown")</f>
        <v>unknown</v>
      </c>
      <c r="T5" s="6" t="str">
        <f>IFERROR(__xludf.DUMMYFUNCTION("""COMPUTED_VALUE"""),"telegram_internal")</f>
        <v>telegram_internal</v>
      </c>
      <c r="U5" s="6" t="str">
        <f>IFERROR(__xludf.DUMMYFUNCTION("""COMPUTED_VALUE"""),"Прочий контент")</f>
        <v>Прочий контент</v>
      </c>
      <c r="V5" s="6" t="str">
        <f>IFERROR(__xludf.DUMMYFUNCTION("""COMPUTED_VALUE"""),"Предыстория")</f>
        <v>Предыстория</v>
      </c>
      <c r="W5" s="6"/>
      <c r="X5" s="6"/>
      <c r="Y5" s="6" t="str">
        <f>IFERROR(__xludf.DUMMYFUNCTION("""COMPUTED_VALUE"""),"")</f>
        <v/>
      </c>
      <c r="Z5" s="6" t="str">
        <f>IFERROR(__xludf.DUMMYFUNCTION("""COMPUTED_VALUE"""),"")</f>
        <v/>
      </c>
      <c r="AA5" s="6" t="b">
        <f>IFERROR(__xludf.DUMMYFUNCTION("""COMPUTED_VALUE"""),FALSE)</f>
        <v>0</v>
      </c>
      <c r="AB5" s="6" t="b">
        <f>IFERROR(__xludf.DUMMYFUNCTION("""COMPUTED_VALUE"""),FALSE)</f>
        <v>0</v>
      </c>
      <c r="AC5" s="6" t="b">
        <f>IFERROR(__xludf.DUMMYFUNCTION("""COMPUTED_VALUE"""),FALSE)</f>
        <v>0</v>
      </c>
      <c r="AD5" s="6" t="b">
        <f>IFERROR(__xludf.DUMMYFUNCTION("""COMPUTED_VALUE"""),FALSE)</f>
        <v>0</v>
      </c>
      <c r="AE5" s="6"/>
      <c r="AF5" s="6" t="b">
        <f>IFERROR(__xludf.DUMMYFUNCTION("""COMPUTED_VALUE"""),FALSE)</f>
        <v>0</v>
      </c>
      <c r="AG5" s="6" t="str">
        <f>IFERROR(__xludf.DUMMYFUNCTION("""COMPUTED_VALUE"""),"2026-07-02T15:31:22+00:00")</f>
        <v>2026-07-02T15:31:22+00:00</v>
      </c>
      <c r="AH5" s="6" t="str">
        <f>IFERROR(__xludf.DUMMYFUNCTION("""COMPUTED_VALUE"""),"")</f>
        <v/>
      </c>
      <c r="AI5" s="6" t="str">
        <f>IFERROR(__xludf.DUMMYFUNCTION("""COMPUTED_VALUE"""),"#N/A")</f>
        <v>#N/A</v>
      </c>
      <c r="AJ5" s="9" t="s">
        <v>208</v>
      </c>
      <c r="AM5" s="9" t="s">
        <v>219</v>
      </c>
      <c r="AN5" s="6" t="str">
        <f>IFERROR(__xludf.DUMMYFUNCTION("IF(OR(AJ5=""general_brand"",AJ5=""external"",AJ5=""unknown""),"""",IF(AJ5=""product_line"",IF(AK5=""START"",""Аналитика старт | Алгоритмы старт | Backend старт | ML старт"",IF(AK5=""PRO"",""AI-агенты про | Алгоритмы про | Аналитика про | ML про | Backend "&amp;"про"",IF(AK5=""START | PRO"",""Аналитика старт | Алгоритмы старт | Backend старт | ML старт | AI-агенты про | Алгоритмы про | Аналитика про | ML про | Backend про"",""""))),TEXTJOIN("" | "",TRUE,IF(REGEXMATCH(LOWER(AL5&amp;"" | ""&amp;E5),""аналитика старт""),""А"&amp;"налитика старт"",""""),IF(REGEXMATCH(LOWER(AL5&amp;"" | ""&amp;E5),""алгоритмы старт""),""Алгоритмы старт"",""""),IF(REGEXMATCH(LOWER(AL5&amp;"" | ""&amp;E5),""backend старт""),""Backend старт"",""""),IF(REGEXMATCH(LOWER(AL5&amp;"" | ""&amp;E5),""ml старт""),""ML старт"",""""),I"&amp;"F(REGEXMATCH(LOWER(AL5&amp;"" | ""&amp;E5),""ai[ -]?агент""),""AI-агенты про"",""""),IF(REGEXMATCH(LOWER(AL5&amp;"" | ""&amp;E5),""алгоритмы про""),""Алгоритмы про"",""""),IF(REGEXMATCH(LOWER(AL5&amp;"" | ""&amp;E5),""аналитика про""),""Аналитика про"",""""),IF(REGEXMATCH(LOWER("&amp;"AL5&amp;"" | ""&amp;E5),""ml про""),""ML про"",""""),IF(REGEXMATCH(LOWER(AL5&amp;"" | ""&amp;E5),""backend про""),""Backend про"",""""),IF(REGEXMATCH(LOWER(AL5&amp;"" | ""&amp;E5),""(а/в|ав|а в|ab)[ -]?тест""),""А/В-тесты"",""""),IF(REGEXMATCH(LOWER(AL5&amp;"" | ""&amp;E5),""data scienc"&amp;"e""),""Data science"",""""),IF(REGEXMATCH(LOWER(AL5&amp;"" | ""&amp;E5),""data[- ]?инжен""),""Data-инженер"",""""),IF(REGEXMATCH(LOWER(AL5&amp;"" | ""&amp;E5),""frontend""),""Frontend"",""""))))"),"")</f>
        <v/>
      </c>
    </row>
    <row r="6">
      <c r="A6" s="4" t="str">
        <f>IFERROR(__xludf.DUMMYFUNCTION("""COMPUTED_VALUE"""),"INT-1767")</f>
        <v>INT-1767</v>
      </c>
      <c r="B6" s="4" t="str">
        <f>IFERROR(__xludf.DUMMYFUNCTION("""COMPUTED_VALUE"""),"2026-07-04 12:03:55")</f>
        <v>2026-07-04 12:03:55</v>
      </c>
      <c r="C6" s="4" t="str">
        <f>IFERROR(__xludf.DUMMYFUNCTION("""COMPUTED_VALUE"""),"@postypashki_old")</f>
        <v>@postypashki_old</v>
      </c>
      <c r="D6" s="4" t="str">
        <f>IFERROR(__xludf.DUMMYFUNCTION("""COMPUTED_VALUE"""),"Промо со скидкой")</f>
        <v>Промо со скидкой</v>
      </c>
      <c r="E6" s="4"/>
      <c r="F6" s="4" t="str">
        <f>IFERROR(__xludf.DUMMYFUNCTION("""COMPUTED_VALUE"""),"")</f>
        <v/>
      </c>
      <c r="G6" s="4" t="str">
        <f>IFERROR(__xludf.DUMMYFUNCTION("""COMPUTED_VALUE"""),"postypashki_old/1767")</f>
        <v>postypashki_old/1767</v>
      </c>
      <c r="H6" s="4" t="str">
        <f>IFERROR(__xludf.DUMMYFUNCTION("""COMPUTED_VALUE"""),"❗️ Завтра заканчивается донабор на стажировку в Т-банк
В честь этого события объявляем скидку до 5 июля на наши карьерные курсы старт.
➡️ Записаться
➡️ Обязательно подаемся
И не сомневаемся, это одна из лучших опций для получения первого опыта в индустр"&amp;"ии: можно совмещать с учебой, загрузка от 20 часов в неделю, после нее легко залететь в штат и да, вам даже будут платить за нее! Для участия нужно просто заполнить анкету и решить отбор до 5 июля. Задания на этот раз несложные (чекаем вот тут), но больше"&amp;" задач, где можно запросто ошибиться, специально сделали такие задачи, чтобы chatgpt путался с условиями и выдавал неправильные ответы и тех, кто спишет эти ответы, просто забанят в системе Т-банка. Сессия закончилась и это то самое время, которое нужно п"&amp;"освятить карьере и активному боту. У топов собесы начнутся в конце июля, а у работяг в августе.
➡️ Пишем качественную анкету
Проходной на собес везде разный и зависит от популярности специальности и кол-во выделенных мест, региона. Где-то проход 350, а г"&amp;"де-то 600 за контест. Далее отбор идет по анкете. Командам и HR очень важна ваша мотивация и погруженность в специальность. Будет обидно набрать полный балл за контест, но не заполнить анкету (подробный совет тоже даем участникам наших курсов). Общие сове"&amp;"ты такие: пишем про курсы, которые проходили и не проходили, фокусируем внимание на курсах от Т-банка. Только помните, что на собесе нужно будет не запутаться в этих выдумках. Обязательно пишем про олимпиадный опыт, даже школьный, от олимпиадников все про"&amp;"сто сходят с ума. Пишем образование. Про свои стартапы и телеграмм каналы советую писать осторожно: это может отпугнуть. Подумают, что после года работы в штате вы уйдете строить свой мега успешный бизнес, а работодатель хочет, чтобы вы росли и развивалис"&amp;"ь внутри компании и стали приносить пользу именной ей.
Сразу создаем второй телеграмм канал для работы и учебы с настоящим именем и фамилией, без неоднозначных статусов и аниме на аватаре. Это может оттолкнуть рекрутеров. Также с этого аккаунта не пишем "&amp;"никому и некуда никакие неоднозначные тезисы, которая может стать народным достоянием и вас скомпрометировать. Работодателю важно, чтобы вы разделяли корпоративные ценности. Касаемо составления анкеты и резюме более подробно рассказывал в ролике, обязател"&amp;"ьно посмотрите. 
➡️ Собеседование
Раньше большинство собесов было похоже на смотрины: команда рассказывала про себя, а вы про себя. Спрашивали мотивацию, бизнес кейс и может немного теории, задачи давали только на какого-нибудь риск аналитика. Сейчас все"&amp;" по-другому: контест не катает только ленивый, поэтому собесе почти всегда дают задачи. На аналитику и мл могут спросить матешу, скл, питон, а на разработчика и мл простенькие алгоритмы. Некоторые из этих заданий можно чекнуть тут, и тут, и тут, и тут, а "&amp;"если вы хотите разбор всех тасков с собесов - бегом на наши курсы.
➡️ Подробности
Более подробно обо всем этом можно посмотреть в видео. Главное помните, что шанс выиграть в этой игре &gt; 90% (по крайней мере, в прошлом году именно таким был процент взятых"&amp;" на стажировку среди наших учеников), если знать правила игры. Серьезно, прошлым летом выпускница нашего курса по аналитике прошла отбор и стала стажером-аналитиком едва закончив 11-ый класс.
@postypashki_old")</f>
        <v>❗️ Завтра заканчивается донабор на стажировку в Т-банк
В честь этого события объявляем скидку до 5 июля на наши карьерные курсы старт.
➡️ Записаться
➡️ Обязательно подаемся
И не сомневаемся, это одна из лучших опций для получения первого опыта в индустрии: можно совмещать с учебой, загрузка от 20 часов в неделю, после нее легко залететь в штат и да, вам даже будут платить за нее! Для участия нужно просто заполнить анкету и решить отбор до 5 июля. Задания на этот раз несложные (чекаем вот тут), но больше задач, где можно запросто ошибиться, специально сделали такие задачи, чтобы chatgpt путался с условиями и выдавал неправильные ответы и тех, кто спишет эти ответы, просто забанят в системе Т-банка. Сессия закончилась и это то самое время, которое нужно посвятить карьере и активному боту. У топов собесы начнутся в конце июля, а у работяг в августе.
➡️ Пишем качественную анкету
Проходной на собес везде разный и зависит от популярности специальности и кол-во выделенных мест, региона. Где-то проход 350, а где-то 600 за контест. Далее отбор идет по анкете. Командам и HR очень важна ваша мотивация и погруженность в специальность. Будет обидно набрать полный балл за контест, но не заполнить анкету (подробный совет тоже даем участникам наших курсов). Общие советы такие: пишем про курсы, которые проходили и не проходили, фокусируем внимание на курсах от Т-банка. Только помните, что на собесе нужно будет не запутаться в этих выдумках. Обязательно пишем про олимпиадный опыт, даже школьный, от олимпиадников все просто сходят с ума. Пишем образование. Про свои стартапы и телеграмм каналы советую писать осторожно: это может отпугнуть. Подумают, что после года работы в штате вы уйдете строить свой мега успешный бизнес, а работодатель хочет, чтобы вы росли и развивались внутри компании и стали приносить пользу именной ей.
Сразу создаем второй телеграмм канал для работы и учебы с настоящим именем и фамилией, без неоднозначных статусов и аниме на аватаре. Это может оттолкнуть рекрутеров. Также с этого аккаунта не пишем никому и некуда никакие неоднозначные тезисы, которая может стать народным достоянием и вас скомпрометировать. Работодателю важно, чтобы вы разделяли корпоративные ценности. Касаемо составления анкеты и резюме более подробно рассказывал в ролике, обязательно посмотрите. 
➡️ Собеседование
Раньше большинство собесов было похоже на смотрины: команда рассказывала про себя, а вы про себя. Спрашивали мотивацию, бизнес кейс и может немного теории, задачи давали только на какого-нибудь риск аналитика. Сейчас все по-другому: контест не катает только ленивый, поэтому собесе почти всегда дают задачи. На аналитику и мл могут спросить матешу, скл, питон, а на разработчика и мл простенькие алгоритмы. Некоторые из этих заданий можно чекнуть тут, и тут, и тут, и тут, а если вы хотите разбор всех тасков с собесов - бегом на наши курсы.
➡️ Подробности
Более подробно обо всем этом можно посмотреть в видео. Главное помните, что шанс выиграть в этой игре &gt; 90% (по крайней мере, в прошлом году именно таким был процент взятых на стажировку среди наших учеников), если знать правила игры. Серьезно, прошлым летом выпускница нашего курса по аналитике прошла отбор и стала стажером-аналитиком едва закончив 11-ый класс.
@postypashki_old</v>
      </c>
      <c r="I6" s="4" t="str">
        <f>IFERROR(__xludf.DUMMYFUNCTION("""COMPUTED_VALUE"""),"internal")</f>
        <v>internal</v>
      </c>
      <c r="J6" s="7" t="str">
        <f>IFERROR(__xludf.DUMMYFUNCTION("""COMPUTED_VALUE"""),"https://t.me/postypashki_old/1767")</f>
        <v>https://t.me/postypashki_old/1767</v>
      </c>
      <c r="K6" s="6">
        <f>IFERROR(__xludf.DUMMYFUNCTION("""COMPUTED_VALUE"""),18600.0)</f>
        <v>18600</v>
      </c>
      <c r="L6" s="6">
        <f>IFERROR(__xludf.DUMMYFUNCTION("""COMPUTED_VALUE"""),25.0)</f>
        <v>25</v>
      </c>
      <c r="M6" s="6" t="str">
        <f>IFERROR(__xludf.DUMMYFUNCTION("""COMPUTED_VALUE"""),"")</f>
        <v/>
      </c>
      <c r="N6" s="4" t="str">
        <f>IFERROR(__xludf.DUMMYFUNCTION("""COMPUTED_VALUE"""),"Telegram")</f>
        <v>Telegram</v>
      </c>
      <c r="O6" s="4" t="str">
        <f>IFERROR(__xludf.DUMMYFUNCTION("""COMPUTED_VALUE"""),"raw")</f>
        <v>raw</v>
      </c>
      <c r="P6" s="4" t="str">
        <f>IFERROR(__xludf.DUMMYFUNCTION("""COMPUTED_VALUE"""),"Codex")</f>
        <v>Codex</v>
      </c>
      <c r="Q6" s="4" t="str">
        <f>IFERROR(__xludf.DUMMYFUNCTION("""COMPUTED_VALUE"""),"❗️ Завтра заканчивается донабор на стажировку в Т-банк В честь этого события объявляем скидку до 5 июля на наши карьерные курсы старт. ➡️ Записаться ➡️ Обязательно подаемся И не со")</f>
        <v>❗️ Завтра заканчивается донабор на стажировку в Т-банк В честь этого события объявляем скидку до 5 июля на наши карьерные курсы старт. ➡️ Записаться ➡️ Обязательно подаемся И не со</v>
      </c>
      <c r="R6" s="4" t="str">
        <f>IFERROR(__xludf.DUMMYFUNCTION("""COMPUTED_VALUE"""),"internal")</f>
        <v>internal</v>
      </c>
      <c r="S6" s="4" t="str">
        <f>IFERROR(__xludf.DUMMYFUNCTION("""COMPUTED_VALUE"""),"unknown")</f>
        <v>unknown</v>
      </c>
      <c r="T6" s="6" t="str">
        <f>IFERROR(__xludf.DUMMYFUNCTION("""COMPUTED_VALUE"""),"telegram_internal")</f>
        <v>telegram_internal</v>
      </c>
      <c r="U6" s="6" t="str">
        <f>IFERROR(__xludf.DUMMYFUNCTION("""COMPUTED_VALUE"""),"Промо со скидкой")</f>
        <v>Промо со скидкой</v>
      </c>
      <c r="V6" s="6" t="str">
        <f>IFERROR(__xludf.DUMMYFUNCTION("""COMPUTED_VALUE"""),"Предыстория")</f>
        <v>Предыстория</v>
      </c>
      <c r="W6" s="6"/>
      <c r="X6" s="6"/>
      <c r="Y6" s="6" t="str">
        <f>IFERROR(__xludf.DUMMYFUNCTION("""COMPUTED_VALUE"""),"")</f>
        <v/>
      </c>
      <c r="Z6" s="6" t="str">
        <f>IFERROR(__xludf.DUMMYFUNCTION("""COMPUTED_VALUE"""),"")</f>
        <v/>
      </c>
      <c r="AA6" s="6" t="b">
        <f>IFERROR(__xludf.DUMMYFUNCTION("""COMPUTED_VALUE"""),TRUE)</f>
        <v>1</v>
      </c>
      <c r="AB6" s="6" t="b">
        <f>IFERROR(__xludf.DUMMYFUNCTION("""COMPUTED_VALUE"""),TRUE)</f>
        <v>1</v>
      </c>
      <c r="AC6" s="6" t="b">
        <f>IFERROR(__xludf.DUMMYFUNCTION("""COMPUTED_VALUE"""),FALSE)</f>
        <v>0</v>
      </c>
      <c r="AD6" s="6" t="b">
        <f>IFERROR(__xludf.DUMMYFUNCTION("""COMPUTED_VALUE"""),FALSE)</f>
        <v>0</v>
      </c>
      <c r="AE6" s="6"/>
      <c r="AF6" s="6" t="b">
        <f>IFERROR(__xludf.DUMMYFUNCTION("""COMPUTED_VALUE"""),FALSE)</f>
        <v>0</v>
      </c>
      <c r="AG6" s="6" t="str">
        <f>IFERROR(__xludf.DUMMYFUNCTION("""COMPUTED_VALUE"""),"2026-07-04T09:03:55+00:00")</f>
        <v>2026-07-04T09:03:55+00:00</v>
      </c>
      <c r="AH6" s="6" t="str">
        <f>IFERROR(__xludf.DUMMYFUNCTION("""COMPUTED_VALUE"""),"")</f>
        <v/>
      </c>
      <c r="AI6" s="6" t="str">
        <f>IFERROR(__xludf.DUMMYFUNCTION("""COMPUTED_VALUE"""),"#N/A")</f>
        <v>#N/A</v>
      </c>
      <c r="AJ6" s="9" t="s">
        <v>167</v>
      </c>
      <c r="AK6" s="9" t="s">
        <v>213</v>
      </c>
      <c r="AM6" s="9" t="s">
        <v>219</v>
      </c>
      <c r="AN6" s="4" t="str">
        <f>IFERROR(__xludf.DUMMYFUNCTION("IF(OR(AJ6=""general_brand"",AJ6=""external"",AJ6=""unknown""),"""",IF(AJ6=""product_line"",IF(AK6=""START"",""Аналитика старт | Алгоритмы старт | Backend старт | ML старт"",IF(AK6=""PRO"",""AI-агенты про | Алгоритмы про | Аналитика про | ML про | Backend "&amp;"про"",IF(AK6=""START | PRO"",""Аналитика старт | Алгоритмы старт | Backend старт | ML старт | AI-агенты про | Алгоритмы про | Аналитика про | ML про | Backend про"",""""))),TEXTJOIN("" | "",TRUE,IF(REGEXMATCH(LOWER(AL6&amp;"" | ""&amp;E6),""аналитика старт""),""А"&amp;"налитика старт"",""""),IF(REGEXMATCH(LOWER(AL6&amp;"" | ""&amp;E6),""алгоритмы старт""),""Алгоритмы старт"",""""),IF(REGEXMATCH(LOWER(AL6&amp;"" | ""&amp;E6),""backend старт""),""Backend старт"",""""),IF(REGEXMATCH(LOWER(AL6&amp;"" | ""&amp;E6),""ml старт""),""ML старт"",""""),I"&amp;"F(REGEXMATCH(LOWER(AL6&amp;"" | ""&amp;E6),""ai[ -]?агент""),""AI-агенты про"",""""),IF(REGEXMATCH(LOWER(AL6&amp;"" | ""&amp;E6),""алгоритмы про""),""Алгоритмы про"",""""),IF(REGEXMATCH(LOWER(AL6&amp;"" | ""&amp;E6),""аналитика про""),""Аналитика про"",""""),IF(REGEXMATCH(LOWER("&amp;"AL6&amp;"" | ""&amp;E6),""ml про""),""ML про"",""""),IF(REGEXMATCH(LOWER(AL6&amp;"" | ""&amp;E6),""backend про""),""Backend про"",""""),IF(REGEXMATCH(LOWER(AL6&amp;"" | ""&amp;E6),""(а/в|ав|а в|ab)[ -]?тест""),""А/В-тесты"",""""),IF(REGEXMATCH(LOWER(AL6&amp;"" | ""&amp;E6),""data scienc"&amp;"e""),""Data science"",""""),IF(REGEXMATCH(LOWER(AL6&amp;"" | ""&amp;E6),""data[- ]?инжен""),""Data-инженер"",""""),IF(REGEXMATCH(LOWER(AL6&amp;"" | ""&amp;E6),""frontend""),""Frontend"",""""))))"),"Аналитика старт | Алгоритмы старт | Backend старт | ML старт")</f>
        <v>Аналитика старт | Алгоритмы старт | Backend старт | ML старт</v>
      </c>
    </row>
    <row r="7">
      <c r="A7" s="4" t="str">
        <f>IFERROR(__xludf.DUMMYFUNCTION("""COMPUTED_VALUE"""),"INT-1768")</f>
        <v>INT-1768</v>
      </c>
      <c r="B7" s="4" t="str">
        <f>IFERROR(__xludf.DUMMYFUNCTION("""COMPUTED_VALUE"""),"2026-07-04 15:35:53")</f>
        <v>2026-07-04 15:35:53</v>
      </c>
      <c r="C7" s="4" t="str">
        <f>IFERROR(__xludf.DUMMYFUNCTION("""COMPUTED_VALUE"""),"@postypashki_old")</f>
        <v>@postypashki_old</v>
      </c>
      <c r="D7" s="4" t="str">
        <f>IFERROR(__xludf.DUMMYFUNCTION("""COMPUTED_VALUE"""),"Контент с предложением курсов")</f>
        <v>Контент с предложением курсов</v>
      </c>
      <c r="E7" s="4" t="str">
        <f>IFERROR(__xludf.DUMMYFUNCTION("""COMPUTED_VALUE"""),"ML старт")</f>
        <v>ML старт</v>
      </c>
      <c r="F7" s="4" t="str">
        <f>IFERROR(__xludf.DUMMYFUNCTION("""COMPUTED_VALUE"""),"")</f>
        <v/>
      </c>
      <c r="G7" s="4" t="str">
        <f>IFERROR(__xludf.DUMMYFUNCTION("""COMPUTED_VALUE"""),"postypashki_old/1768")</f>
        <v>postypashki_old/1768</v>
      </c>
      <c r="H7" s="4" t="str">
        <f>IFERROR(__xludf.DUMMYFUNCTION("""COMPUTED_VALUE"""),"Академия Авито и Буткем Авито 
Сегодня прошел первый этап отбора в Академию Авито. За час мы решили все задачи и разбор на нашем курсе, благодаря которому все ребята успешно сдали тест. Дальше продолжаем усиленно ботать к экзамену. Конспект разбора вылож"&amp;"ен здесь. 
Также до 9 июля нужно подать заявку на Авито буткем DS. Сам отбор стандартный: тест, задание и собес. Интерес представляет собес. Его записал наш выпускник, транскрибировав видео через ИИ-ку. Советую для самоанализа делать также, ибо все собес"&amp;"ы не запомнить. 
Кстати, первый этап буткемпа DS будет разобран на нашем курсе мл старт.
➡️ Записаться
Общие вопросы по опыту
1. Расскажи, чем ты занимаешься? Какие сферы тебе особенно удаются?
2. Можешь подробнее рассказать про задачи, которые ты выпол"&amp;"нял?
3. В чат-боте: какая сектора использовалась, какая моделька, и какие этапы обработки запросов?
4. А моделька какая? Почему выбрали вихрь, а не Qwen?
5. Чем вы разворачивали модель? Использовали OEM или что-то другое?
6. У тебя агентная система или пр"&amp;"осто одна LLM?
7. Как вы учитывали контекст диалога пользователя с LLM?
Архитектура и компоненты RAG-системы
1. Какой эмбеддер вы использовали?
2. Как организован ваш retrieval (BM25, FAISS и т.п.)?
3. Что использовали в качестве реранкера? Дообучали ли "&amp;"вы его?
4. Какие лоссы применялись при обучении эмбеддера и реранкера?
5. Какие метрики вы использовали для оценки качества retrieval и ранжирования?
6. Как замеряли качество генерации LLM?
Оптимизация и ускорение инференса
1. Какая скорость инференса бы"&amp;"ла?
2. Рассчитывали ли вы нагрузку на систему?
3. Какие подходы ты бы использовал для ускорения инференса?
4. Включали ли вы KV cache?
5. Расскажи, как работает квантизация и дистилляция? Чем они отличаются?
Fine-tuning и PEFT
1. Какие методы тюнинга сущ"&amp;"ествуют? Чем они отличаются?
2. Что такое LoRA, QLoRA, Prompt Tuning, P-Tuning?
3. Как устроена LoRA и как она встраивается в LLM?
4. Чем отличается QLoRA от обычной LoRA?
Моделирование и системный дизайн (разрешительная документация)
1. Как бы ты решал "&amp;"задачу сопоставления карточки товара и разрешительной документации?
2. Что на выходе должно быть? Что сказать модератору?
3. Что делать, если в разрешительной документации много строк?
4. Как обработать названия и параметры шин?
5. Как бы ты находил маски"&amp;" (форматы) параметров шин?
6. Какой preprocessing ты бы использовал?
7. Как построить pipeline, где маски уже извлечены?
8. Как построить бинарный фильтр для соответствия товарной группы документации?
9. Как бы ты агрегировал финальное решение?
Классичес"&amp;"кое ML
1. Занимался ли ты классическим ML? Какие задачи решал?
2. Как строится решающее дерево?
3. Какие критерии ветвления и остановки знаешь?
4. Какие методы ансамблирования моделей знаешь?
5. Чем отличается Random Forest от бустинга?
6. Что произойдет,"&amp;" если удалить одно дерево в бустинге и в Random Forest?
7. Что такое теорема Байеса? Как выглядит её формула?
И приглашаем всех на наш завтрашний вебинар по МЛ: обсудим рыночек, собесы и перспективы развития области — будет интересно и полезно, приходите"&amp;"! 
Подписываемся: @postypashki_old")</f>
        <v>Академия Авито и Буткем Авито 
Сегодня прошел первый этап отбора в Академию Авито. За час мы решили все задачи и разбор на нашем курсе, благодаря которому все ребята успешно сдали тест. Дальше продолжаем усиленно ботать к экзамену. Конспект разбора выложен здесь. 
Также до 9 июля нужно подать заявку на Авито буткем DS. Сам отбор стандартный: тест, задание и собес. Интерес представляет собес. Его записал наш выпускник, транскрибировав видео через ИИ-ку. Советую для самоанализа делать также, ибо все собесы не запомнить. 
Кстати, первый этап буткемпа DS будет разобран на нашем курсе мл старт.
➡️ Записаться
Общие вопросы по опыту
1. Расскажи, чем ты занимаешься? Какие сферы тебе особенно удаются?
2. Можешь подробнее рассказать про задачи, которые ты выполнял?
3. В чат-боте: какая сектора использовалась, какая моделька, и какие этапы обработки запросов?
4. А моделька какая? Почему выбрали вихрь, а не Qwen?
5. Чем вы разворачивали модель? Использовали OEM или что-то другое?
6. У тебя агентная система или просто одна LLM?
7. Как вы учитывали контекст диалога пользователя с LLM?
Архитектура и компоненты RAG-системы
1. Какой эмбеддер вы использовали?
2. Как организован ваш retrieval (BM25, FAISS и т.п.)?
3. Что использовали в качестве реранкера? Дообучали ли вы его?
4. Какие лоссы применялись при обучении эмбеддера и реранкера?
5. Какие метрики вы использовали для оценки качества retrieval и ранжирования?
6. Как замеряли качество генерации LLM?
Оптимизация и ускорение инференса
1. Какая скорость инференса была?
2. Рассчитывали ли вы нагрузку на систему?
3. Какие подходы ты бы использовал для ускорения инференса?
4. Включали ли вы KV cache?
5. Расскажи, как работает квантизация и дистилляция? Чем они отличаются?
Fine-tuning и PEFT
1. Какие методы тюнинга существуют? Чем они отличаются?
2. Что такое LoRA, QLoRA, Prompt Tuning, P-Tuning?
3. Как устроена LoRA и как она встраивается в LLM?
4. Чем отличается QLoRA от обычной LoRA?
Моделирование и системный дизайн (разрешительная документация)
1. Как бы ты решал задачу сопоставления карточки товара и разрешительной документации?
2. Что на выходе должно быть? Что сказать модератору?
3. Что делать, если в разрешительной документации много строк?
4. Как обработать названия и параметры шин?
5. Как бы ты находил маски (форматы) параметров шин?
6. Какой preprocessing ты бы использовал?
7. Как построить pipeline, где маски уже извлечены?
8. Как построить бинарный фильтр для соответствия товарной группы документации?
9. Как бы ты агрегировал финальное решение?
Классическое ML
1. Занимался ли ты классическим ML? Какие задачи решал?
2. Как строится решающее дерево?
3. Какие критерии ветвления и остановки знаешь?
4. Какие методы ансамблирования моделей знаешь?
5. Чем отличается Random Forest от бустинга?
6. Что произойдет, если удалить одно дерево в бустинге и в Random Forest?
7. Что такое теорема Байеса? Как выглядит её формула?
И приглашаем всех на наш завтрашний вебинар по МЛ: обсудим рыночек, собесы и перспективы развития области — будет интересно и полезно, приходите! 
Подписываемся: @postypashki_old</v>
      </c>
      <c r="I7" s="4" t="str">
        <f>IFERROR(__xludf.DUMMYFUNCTION("""COMPUTED_VALUE"""),"internal")</f>
        <v>internal</v>
      </c>
      <c r="J7" s="7" t="str">
        <f>IFERROR(__xludf.DUMMYFUNCTION("""COMPUTED_VALUE"""),"https://t.me/postypashki_old/1768")</f>
        <v>https://t.me/postypashki_old/1768</v>
      </c>
      <c r="K7" s="6">
        <f>IFERROR(__xludf.DUMMYFUNCTION("""COMPUTED_VALUE"""),20400.0)</f>
        <v>20400</v>
      </c>
      <c r="L7" s="6">
        <f>IFERROR(__xludf.DUMMYFUNCTION("""COMPUTED_VALUE"""),26.0)</f>
        <v>26</v>
      </c>
      <c r="M7" s="6" t="str">
        <f>IFERROR(__xludf.DUMMYFUNCTION("""COMPUTED_VALUE"""),"")</f>
        <v/>
      </c>
      <c r="N7" s="4" t="str">
        <f>IFERROR(__xludf.DUMMYFUNCTION("""COMPUTED_VALUE"""),"Telegram")</f>
        <v>Telegram</v>
      </c>
      <c r="O7" s="4" t="str">
        <f>IFERROR(__xludf.DUMMYFUNCTION("""COMPUTED_VALUE"""),"raw")</f>
        <v>raw</v>
      </c>
      <c r="P7" s="4" t="str">
        <f>IFERROR(__xludf.DUMMYFUNCTION("""COMPUTED_VALUE"""),"Codex")</f>
        <v>Codex</v>
      </c>
      <c r="Q7" s="4" t="str">
        <f>IFERROR(__xludf.DUMMYFUNCTION("""COMPUTED_VALUE"""),"Академия Авито и Буткем Авито Сегодня прошел первый этап отбора в Академию Авито. За час мы решили все задачи и разбор на нашем курсе, благодаря которому все ребята успешно сдали т")</f>
        <v>Академия Авито и Буткем Авито Сегодня прошел первый этап отбора в Академию Авито. За час мы решили все задачи и разбор на нашем курсе, благодаря которому все ребята успешно сдали т</v>
      </c>
      <c r="R7" s="4" t="str">
        <f>IFERROR(__xludf.DUMMYFUNCTION("""COMPUTED_VALUE"""),"internal")</f>
        <v>internal</v>
      </c>
      <c r="S7" s="4" t="str">
        <f>IFERROR(__xludf.DUMMYFUNCTION("""COMPUTED_VALUE"""),"unknown")</f>
        <v>unknown</v>
      </c>
      <c r="T7" s="6" t="str">
        <f>IFERROR(__xludf.DUMMYFUNCTION("""COMPUTED_VALUE"""),"telegram_internal")</f>
        <v>telegram_internal</v>
      </c>
      <c r="U7" s="6" t="str">
        <f>IFERROR(__xludf.DUMMYFUNCTION("""COMPUTED_VALUE"""),"Контент с предложением курсов")</f>
        <v>Контент с предложением курсов</v>
      </c>
      <c r="V7" s="6" t="str">
        <f>IFERROR(__xludf.DUMMYFUNCTION("""COMPUTED_VALUE"""),"Предыстория")</f>
        <v>Предыстория</v>
      </c>
      <c r="W7" s="6"/>
      <c r="X7" s="6"/>
      <c r="Y7" s="6" t="str">
        <f>IFERROR(__xludf.DUMMYFUNCTION("""COMPUTED_VALUE"""),"")</f>
        <v/>
      </c>
      <c r="Z7" s="6" t="str">
        <f>IFERROR(__xludf.DUMMYFUNCTION("""COMPUTED_VALUE"""),"")</f>
        <v/>
      </c>
      <c r="AA7" s="6" t="b">
        <f>IFERROR(__xludf.DUMMYFUNCTION("""COMPUTED_VALUE"""),TRUE)</f>
        <v>1</v>
      </c>
      <c r="AB7" s="6" t="b">
        <f>IFERROR(__xludf.DUMMYFUNCTION("""COMPUTED_VALUE"""),FALSE)</f>
        <v>0</v>
      </c>
      <c r="AC7" s="6" t="b">
        <f>IFERROR(__xludf.DUMMYFUNCTION("""COMPUTED_VALUE"""),FALSE)</f>
        <v>0</v>
      </c>
      <c r="AD7" s="6" t="b">
        <f>IFERROR(__xludf.DUMMYFUNCTION("""COMPUTED_VALUE"""),FALSE)</f>
        <v>0</v>
      </c>
      <c r="AE7" s="6"/>
      <c r="AF7" s="6" t="b">
        <f>IFERROR(__xludf.DUMMYFUNCTION("""COMPUTED_VALUE"""),FALSE)</f>
        <v>0</v>
      </c>
      <c r="AG7" s="6" t="str">
        <f>IFERROR(__xludf.DUMMYFUNCTION("""COMPUTED_VALUE"""),"2026-07-04T12:35:53+00:00")</f>
        <v>2026-07-04T12:35:53+00:00</v>
      </c>
      <c r="AH7" s="6" t="str">
        <f>IFERROR(__xludf.DUMMYFUNCTION("""COMPUTED_VALUE"""),"")</f>
        <v/>
      </c>
      <c r="AI7" s="6" t="str">
        <f>IFERROR(__xludf.DUMMYFUNCTION("""COMPUTED_VALUE"""),"#N/A")</f>
        <v>#N/A</v>
      </c>
      <c r="AJ7" s="9" t="s">
        <v>224</v>
      </c>
      <c r="AK7" s="9" t="s">
        <v>213</v>
      </c>
      <c r="AL7" s="4" t="s">
        <v>225</v>
      </c>
      <c r="AM7" s="9" t="s">
        <v>226</v>
      </c>
      <c r="AN7" s="4" t="str">
        <f>IFERROR(__xludf.DUMMYFUNCTION("IF(OR(AJ7=""general_brand"",AJ7=""external"",AJ7=""unknown""),"""",IF(AJ7=""product_line"",IF(AK7=""START"",""Аналитика старт | Алгоритмы старт | Backend старт | ML старт"",IF(AK7=""PRO"",""AI-агенты про | Алгоритмы про | Аналитика про | ML про | Backend "&amp;"про"",IF(AK7=""START | PRO"",""Аналитика старт | Алгоритмы старт | Backend старт | ML старт | AI-агенты про | Алгоритмы про | Аналитика про | ML про | Backend про"",""""))),TEXTJOIN("" | "",TRUE,IF(REGEXMATCH(LOWER(AL7&amp;"" | ""&amp;E7),""аналитика старт""),""А"&amp;"налитика старт"",""""),IF(REGEXMATCH(LOWER(AL7&amp;"" | ""&amp;E7),""алгоритмы старт""),""Алгоритмы старт"",""""),IF(REGEXMATCH(LOWER(AL7&amp;"" | ""&amp;E7),""backend старт""),""Backend старт"",""""),IF(REGEXMATCH(LOWER(AL7&amp;"" | ""&amp;E7),""ml старт""),""ML старт"",""""),I"&amp;"F(REGEXMATCH(LOWER(AL7&amp;"" | ""&amp;E7),""ai[ -]?агент""),""AI-агенты про"",""""),IF(REGEXMATCH(LOWER(AL7&amp;"" | ""&amp;E7),""алгоритмы про""),""Алгоритмы про"",""""),IF(REGEXMATCH(LOWER(AL7&amp;"" | ""&amp;E7),""аналитика про""),""Аналитика про"",""""),IF(REGEXMATCH(LOWER("&amp;"AL7&amp;"" | ""&amp;E7),""ml про""),""ML про"",""""),IF(REGEXMATCH(LOWER(AL7&amp;"" | ""&amp;E7),""backend про""),""Backend про"",""""),IF(REGEXMATCH(LOWER(AL7&amp;"" | ""&amp;E7),""(а/в|ав|а в|ab)[ -]?тест""),""А/В-тесты"",""""),IF(REGEXMATCH(LOWER(AL7&amp;"" | ""&amp;E7),""data scienc"&amp;"e""),""Data science"",""""),IF(REGEXMATCH(LOWER(AL7&amp;"" | ""&amp;E7),""data[- ]?инжен""),""Data-инженер"",""""),IF(REGEXMATCH(LOWER(AL7&amp;"" | ""&amp;E7),""frontend""),""Frontend"",""""))))"),"ML старт")</f>
        <v>ML старт</v>
      </c>
    </row>
    <row r="8">
      <c r="A8" s="4" t="str">
        <f>IFERROR(__xludf.DUMMYFUNCTION("""COMPUTED_VALUE"""),"INT-1770")</f>
        <v>INT-1770</v>
      </c>
      <c r="B8" s="4" t="str">
        <f>IFERROR(__xludf.DUMMYFUNCTION("""COMPUTED_VALUE"""),"2026-07-05 16:51:14")</f>
        <v>2026-07-05 16:51:14</v>
      </c>
      <c r="C8" s="4" t="str">
        <f>IFERROR(__xludf.DUMMYFUNCTION("""COMPUTED_VALUE"""),"@postypashki_old")</f>
        <v>@postypashki_old</v>
      </c>
      <c r="D8" s="4" t="str">
        <f>IFERROR(__xludf.DUMMYFUNCTION("""COMPUTED_VALUE"""),"Промо со скидкой")</f>
        <v>Промо со скидкой</v>
      </c>
      <c r="E8" s="4" t="str">
        <f>IFERROR(__xludf.DUMMYFUNCTION("""COMPUTED_VALUE"""),"ML старт")</f>
        <v>ML старт</v>
      </c>
      <c r="F8" s="4" t="str">
        <f>IFERROR(__xludf.DUMMYFUNCTION("""COMPUTED_VALUE"""),"")</f>
        <v/>
      </c>
      <c r="G8" s="4" t="str">
        <f>IFERROR(__xludf.DUMMYFUNCTION("""COMPUTED_VALUE"""),"postypashki_old/1770")</f>
        <v>postypashki_old/1770</v>
      </c>
      <c r="H8" s="4" t="str">
        <f>IFERROR(__xludf.DUMMYFUNCTION("""COMPUTED_VALUE"""),"Как затащить МЛ собеседование в 2026 году 
В вебинаре разобрали, что сегодня ждут от начинающего ML-специалиста: какие темы проверяют на технических интервью, как выглядят реальные кейсы и почему одного умения обучить модель в ноутбуке уже недостаточно. "&amp;"Смотрим! Смотрим! 
https://www.youtube.com/watch?v=yeUlEzZO_qk
И да: в конце записи спрятан промокод на скидку на курс «ML Старт». Ищите 👀")</f>
        <v>Как затащить МЛ собеседование в 2026 году 
В вебинаре разобрали, что сегодня ждут от начинающего ML-специалиста: какие темы проверяют на технических интервью, как выглядят реальные кейсы и почему одного умения обучить модель в ноутбуке уже недостаточно. Смотрим! Смотрим! 
https://www.youtube.com/watch?v=yeUlEzZO_qk
И да: в конце записи спрятан промокод на скидку на курс «ML Старт». Ищите 👀</v>
      </c>
      <c r="I8" s="4" t="str">
        <f>IFERROR(__xludf.DUMMYFUNCTION("""COMPUTED_VALUE"""),"internal")</f>
        <v>internal</v>
      </c>
      <c r="J8" s="7" t="str">
        <f>IFERROR(__xludf.DUMMYFUNCTION("""COMPUTED_VALUE"""),"https://t.me/postypashki_old/1770")</f>
        <v>https://t.me/postypashki_old/1770</v>
      </c>
      <c r="K8" s="6">
        <f>IFERROR(__xludf.DUMMYFUNCTION("""COMPUTED_VALUE"""),19000.0)</f>
        <v>19000</v>
      </c>
      <c r="L8" s="6">
        <f>IFERROR(__xludf.DUMMYFUNCTION("""COMPUTED_VALUE"""),36.0)</f>
        <v>36</v>
      </c>
      <c r="M8" s="6" t="str">
        <f>IFERROR(__xludf.DUMMYFUNCTION("""COMPUTED_VALUE"""),"")</f>
        <v/>
      </c>
      <c r="N8" s="4" t="str">
        <f>IFERROR(__xludf.DUMMYFUNCTION("""COMPUTED_VALUE"""),"Telegram")</f>
        <v>Telegram</v>
      </c>
      <c r="O8" s="4" t="str">
        <f>IFERROR(__xludf.DUMMYFUNCTION("""COMPUTED_VALUE"""),"raw")</f>
        <v>raw</v>
      </c>
      <c r="P8" s="4" t="str">
        <f>IFERROR(__xludf.DUMMYFUNCTION("""COMPUTED_VALUE"""),"Codex")</f>
        <v>Codex</v>
      </c>
      <c r="Q8" s="4" t="str">
        <f>IFERROR(__xludf.DUMMYFUNCTION("""COMPUTED_VALUE"""),"Как затащить МЛ собеседование в 2026 году В вебинаре разобрали, что сегодня ждут от начинающего ML-специалиста: какие темы проверяют на технических интервью, как выглядят реальные ")</f>
        <v>Как затащить МЛ собеседование в 2026 году В вебинаре разобрали, что сегодня ждут от начинающего ML-специалиста: какие темы проверяют на технических интервью, как выглядят реальные </v>
      </c>
      <c r="R8" s="4" t="str">
        <f>IFERROR(__xludf.DUMMYFUNCTION("""COMPUTED_VALUE"""),"internal")</f>
        <v>internal</v>
      </c>
      <c r="S8" s="4" t="str">
        <f>IFERROR(__xludf.DUMMYFUNCTION("""COMPUTED_VALUE"""),"unknown")</f>
        <v>unknown</v>
      </c>
      <c r="T8" s="6" t="str">
        <f>IFERROR(__xludf.DUMMYFUNCTION("""COMPUTED_VALUE"""),"telegram_internal")</f>
        <v>telegram_internal</v>
      </c>
      <c r="U8" s="6" t="str">
        <f>IFERROR(__xludf.DUMMYFUNCTION("""COMPUTED_VALUE"""),"Промо со скидкой")</f>
        <v>Промо со скидкой</v>
      </c>
      <c r="V8" s="6" t="str">
        <f>IFERROR(__xludf.DUMMYFUNCTION("""COMPUTED_VALUE"""),"Предыстория")</f>
        <v>Предыстория</v>
      </c>
      <c r="W8" s="6"/>
      <c r="X8" s="6"/>
      <c r="Y8" s="6" t="str">
        <f>IFERROR(__xludf.DUMMYFUNCTION("""COMPUTED_VALUE"""),"")</f>
        <v/>
      </c>
      <c r="Z8" s="6" t="str">
        <f>IFERROR(__xludf.DUMMYFUNCTION("""COMPUTED_VALUE"""),"")</f>
        <v/>
      </c>
      <c r="AA8" s="6" t="b">
        <f>IFERROR(__xludf.DUMMYFUNCTION("""COMPUTED_VALUE"""),FALSE)</f>
        <v>0</v>
      </c>
      <c r="AB8" s="6" t="b">
        <f>IFERROR(__xludf.DUMMYFUNCTION("""COMPUTED_VALUE"""),TRUE)</f>
        <v>1</v>
      </c>
      <c r="AC8" s="6" t="b">
        <f>IFERROR(__xludf.DUMMYFUNCTION("""COMPUTED_VALUE"""),FALSE)</f>
        <v>0</v>
      </c>
      <c r="AD8" s="6" t="b">
        <f>IFERROR(__xludf.DUMMYFUNCTION("""COMPUTED_VALUE"""),FALSE)</f>
        <v>0</v>
      </c>
      <c r="AE8" s="6"/>
      <c r="AF8" s="6" t="b">
        <f>IFERROR(__xludf.DUMMYFUNCTION("""COMPUTED_VALUE"""),FALSE)</f>
        <v>0</v>
      </c>
      <c r="AG8" s="6" t="str">
        <f>IFERROR(__xludf.DUMMYFUNCTION("""COMPUTED_VALUE"""),"2026-07-05T13:51:14+00:00")</f>
        <v>2026-07-05T13:51:14+00:00</v>
      </c>
      <c r="AH8" s="6" t="str">
        <f>IFERROR(__xludf.DUMMYFUNCTION("""COMPUTED_VALUE"""),"")</f>
        <v/>
      </c>
      <c r="AI8" s="6" t="str">
        <f>IFERROR(__xludf.DUMMYFUNCTION("""COMPUTED_VALUE"""),"#N/A")</f>
        <v>#N/A</v>
      </c>
      <c r="AJ8" s="9" t="s">
        <v>224</v>
      </c>
      <c r="AK8" s="9" t="s">
        <v>213</v>
      </c>
      <c r="AL8" s="4" t="s">
        <v>225</v>
      </c>
      <c r="AM8" s="9" t="s">
        <v>226</v>
      </c>
      <c r="AN8" s="4" t="str">
        <f>IFERROR(__xludf.DUMMYFUNCTION("IF(OR(AJ8=""general_brand"",AJ8=""external"",AJ8=""unknown""),"""",IF(AJ8=""product_line"",IF(AK8=""START"",""Аналитика старт | Алгоритмы старт | Backend старт | ML старт"",IF(AK8=""PRO"",""AI-агенты про | Алгоритмы про | Аналитика про | ML про | Backend "&amp;"про"",IF(AK8=""START | PRO"",""Аналитика старт | Алгоритмы старт | Backend старт | ML старт | AI-агенты про | Алгоритмы про | Аналитика про | ML про | Backend про"",""""))),TEXTJOIN("" | "",TRUE,IF(REGEXMATCH(LOWER(AL8&amp;"" | ""&amp;E8),""аналитика старт""),""А"&amp;"налитика старт"",""""),IF(REGEXMATCH(LOWER(AL8&amp;"" | ""&amp;E8),""алгоритмы старт""),""Алгоритмы старт"",""""),IF(REGEXMATCH(LOWER(AL8&amp;"" | ""&amp;E8),""backend старт""),""Backend старт"",""""),IF(REGEXMATCH(LOWER(AL8&amp;"" | ""&amp;E8),""ml старт""),""ML старт"",""""),I"&amp;"F(REGEXMATCH(LOWER(AL8&amp;"" | ""&amp;E8),""ai[ -]?агент""),""AI-агенты про"",""""),IF(REGEXMATCH(LOWER(AL8&amp;"" | ""&amp;E8),""алгоритмы про""),""Алгоритмы про"",""""),IF(REGEXMATCH(LOWER(AL8&amp;"" | ""&amp;E8),""аналитика про""),""Аналитика про"",""""),IF(REGEXMATCH(LOWER("&amp;"AL8&amp;"" | ""&amp;E8),""ml про""),""ML про"",""""),IF(REGEXMATCH(LOWER(AL8&amp;"" | ""&amp;E8),""backend про""),""Backend про"",""""),IF(REGEXMATCH(LOWER(AL8&amp;"" | ""&amp;E8),""(а/в|ав|а в|ab)[ -]?тест""),""А/В-тесты"",""""),IF(REGEXMATCH(LOWER(AL8&amp;"" | ""&amp;E8),""data scienc"&amp;"e""),""Data science"",""""),IF(REGEXMATCH(LOWER(AL8&amp;"" | ""&amp;E8),""data[- ]?инжен""),""Data-инженер"",""""),IF(REGEXMATCH(LOWER(AL8&amp;"" | ""&amp;E8),""frontend""),""Frontend"",""""))))"),"ML старт")</f>
        <v>ML старт</v>
      </c>
    </row>
    <row r="9">
      <c r="A9" s="4" t="str">
        <f>IFERROR(__xludf.DUMMYFUNCTION("""COMPUTED_VALUE"""),"INT-1771")</f>
        <v>INT-1771</v>
      </c>
      <c r="B9" s="4" t="str">
        <f>IFERROR(__xludf.DUMMYFUNCTION("""COMPUTED_VALUE"""),"2026-07-05 20:03:02")</f>
        <v>2026-07-05 20:03:02</v>
      </c>
      <c r="C9" s="4" t="str">
        <f>IFERROR(__xludf.DUMMYFUNCTION("""COMPUTED_VALUE"""),"@postypashki_old")</f>
        <v>@postypashki_old</v>
      </c>
      <c r="D9" s="4" t="str">
        <f>IFERROR(__xludf.DUMMYFUNCTION("""COMPUTED_VALUE"""),"Контент с предложением курсов")</f>
        <v>Контент с предложением курсов</v>
      </c>
      <c r="E9" s="4"/>
      <c r="F9" s="4" t="str">
        <f>IFERROR(__xludf.DUMMYFUNCTION("""COMPUTED_VALUE"""),"")</f>
        <v/>
      </c>
      <c r="G9" s="4" t="str">
        <f>IFERROR(__xludf.DUMMYFUNCTION("""COMPUTED_VALUE"""),"postypashki_old/1771")</f>
        <v>postypashki_old/1771</v>
      </c>
      <c r="H9" s="4" t="str">
        <f>IFERROR(__xludf.DUMMYFUNCTION("""COMPUTED_VALUE"""),"❗️ Через 4 часов закончится отбор на стажировку Т-банк!
Разбор всех направлениях выложен только на наших карьерные курсы старт.
➡️ Записаться
Сразу отвечу на самые популярные вопросы: 
➡️Как посмотреть свои баллы после окончания отбора?
1. Заходим в ис"&amp;"торию своего браузера
2. Ищем по preview
3. Переходим на страницу
4. Копируем айди экзамена
5. Вставляем в готовую ссылку
6. Ищем по student_score
https://edu.tbank.ru/api/v1/practice-progress/сюдаВвестиАйди/info?isSelection=true
Если все совсем плохо в "&amp;"контесте, то в личном кабинете появится реджект ""вы не прошли"". Никакого фриза в Т-банке нет, поэтому спокойно ждем следующего сезона (следующий набор на осень будет в августе). На официальную дату объявления результатов ориентироваться не нужно.
➡️Ког"&amp;"да собес?
Первые приглашения начнут рассылать лучшим участникам не раньше середины июля, а до обычных работяг доберутся только в августе. Где-то за неделю до интервью на почту пришлют календарь, где нужно забить удобное время, и ссылку на zoom. Иногда HR "&amp;"могут написать в телегу и поторопить, но лучше мониторить почту, чтобы забить для себя удобное время. 
Рекрутеры обычно идут навстречу, когда не можете пройти собес в выбранные дни и нужно время на подготовку, но лучше этим не злоупотреблять: редко когда"&amp;" приглашают больше одного раза.
➡️Кого позовут?
У меня был пост на эту тему, можно изучить его вот тут.
➡️Как проходит?
Все зависит от направления и команды. Чаще всего команда сама не знает, кого хочет видеть, поэтому чаще всего приходит настоящий конс"&amp;"илиум специалистов и капитально мучают кандидата (все их вопросы разбираем на наших курсе), но иногда может выпасть просто HR-ка, которая прогонит вас по элементарным вопросам с листочка и даст оффер.
Сама структура собеседований похожа: рассказ о себе, "&amp;"задачи / алгосы, кейсы. Можно самому посмотреть на гитхабе Тинькофф, что ожидать. Для аналитиков писал подробную статью здесь. Не забудьте уточнить все свои вопросы у команды, поскольку ваши представления и позиции и реальность могут сильно отличаться. На"&amp;"пример, вы хотите заниматься жесткой продуктовой аналитикой с временными рядами и мл, а команде нужен просто sql писатель. Конечно, вы получите рабочий опыт и возможно в дальнейшем оффер в штат, но ценность такого опыта под вопросом, учитывая альтернативы"&amp;".
➡️Что дальше?
После собеса интервьюер составляет отзыв на кандидата, его идеальный пример здесь. На основе него могут на кандидата забить, предложить другой команде или вернуться с оффером. Обычно оффер получают через день-два после собеса в лс или по "&amp;"телефону. После 10 дней молчания можете смело стучаться рекрутеру в лс, чтобы получить ответ от команды (реджект). Обязательно просим фитбэк, иногда даже пишут что-то внятное и по фактам. 
➡️Оффер?
Пригласят на подписание документов в офис, выдадут все н"&amp;"еобходимое, либо предоставят все через представителя. Далее знакомство с ментором и погружение в проект. Если не будете совсем бить баклуши, то вас без проблем возьмут в штат на постоянную позицию.
Подробнее обо всем этом можно посмотреть в видео. Обязат"&amp;"ельно ставьте огоньки и делитесь с друзьями, если хотите больше подобных постов. 
Обсудить стажировки можно в нашем чате.
@postypashki_old")</f>
        <v>❗️ Через 4 часов закончится отбор на стажировку Т-банк!
Разбор всех направлениях выложен только на наших карьерные курсы старт.
➡️ Записаться
Сразу отвечу на самые популярные вопросы: 
➡️Как посмотреть свои баллы после окончания отбора?
1. Заходим в историю своего браузера
2. Ищем по preview
3. Переходим на страницу
4. Копируем айди экзамена
5. Вставляем в готовую ссылку
6. Ищем по student_score
https://edu.tbank.ru/api/v1/practice-progress/сюдаВвестиАйди/info?isSelection=true
Если все совсем плохо в контесте, то в личном кабинете появится реджект "вы не прошли". Никакого фриза в Т-банке нет, поэтому спокойно ждем следующего сезона (следующий набор на осень будет в августе). На официальную дату объявления результатов ориентироваться не нужно.
➡️Когда собес?
Первые приглашения начнут рассылать лучшим участникам не раньше середины июля, а до обычных работяг доберутся только в августе. Где-то за неделю до интервью на почту пришлют календарь, где нужно забить удобное время, и ссылку на zoom. Иногда HR могут написать в телегу и поторопить, но лучше мониторить почту, чтобы забить для себя удобное время. 
Рекрутеры обычно идут навстречу, когда не можете пройти собес в выбранные дни и нужно время на подготовку, но лучше этим не злоупотреблять: редко когда приглашают больше одного раза.
➡️Кого позовут?
У меня был пост на эту тему, можно изучить его вот тут.
➡️Как проходит?
Все зависит от направления и команды. Чаще всего команда сама не знает, кого хочет видеть, поэтому чаще всего приходит настоящий консилиум специалистов и капитально мучают кандидата (все их вопросы разбираем на наших курсе), но иногда может выпасть просто HR-ка, которая прогонит вас по элементарным вопросам с листочка и даст оффер.
Сама структура собеседований похожа: рассказ о себе, задачи / алгосы, кейсы. Можно самому посмотреть на гитхабе Тинькофф, что ожидать. Для аналитиков писал подробную статью здесь. Не забудьте уточнить все свои вопросы у команды, поскольку ваши представления и позиции и реальность могут сильно отличаться. Например, вы хотите заниматься жесткой продуктовой аналитикой с временными рядами и мл, а команде нужен просто sql писатель. Конечно, вы получите рабочий опыт и возможно в дальнейшем оффер в штат, но ценность такого опыта под вопросом, учитывая альтернативы.
➡️Что дальше?
После собеса интервьюер составляет отзыв на кандидата, его идеальный пример здесь. На основе него могут на кандидата забить, предложить другой команде или вернуться с оффером. Обычно оффер получают через день-два после собеса в лс или по телефону. После 10 дней молчания можете смело стучаться рекрутеру в лс, чтобы получить ответ от команды (реджект). Обязательно просим фитбэк, иногда даже пишут что-то внятное и по фактам. 
➡️Оффер?
Пригласят на подписание документов в офис, выдадут все необходимое, либо предоставят все через представителя. Далее знакомство с ментором и погружение в проект. Если не будете совсем бить баклуши, то вас без проблем возьмут в штат на постоянную позицию.
Подробнее обо всем этом можно посмотреть в видео. Обязательно ставьте огоньки и делитесь с друзьями, если хотите больше подобных постов. 
Обсудить стажировки можно в нашем чате.
@postypashki_old</v>
      </c>
      <c r="I9" s="4" t="str">
        <f>IFERROR(__xludf.DUMMYFUNCTION("""COMPUTED_VALUE"""),"internal")</f>
        <v>internal</v>
      </c>
      <c r="J9" s="7" t="str">
        <f>IFERROR(__xludf.DUMMYFUNCTION("""COMPUTED_VALUE"""),"https://t.me/postypashki_old/1771")</f>
        <v>https://t.me/postypashki_old/1771</v>
      </c>
      <c r="K9" s="6">
        <f>IFERROR(__xludf.DUMMYFUNCTION("""COMPUTED_VALUE"""),21700.0)</f>
        <v>21700</v>
      </c>
      <c r="L9" s="6">
        <f>IFERROR(__xludf.DUMMYFUNCTION("""COMPUTED_VALUE"""),34.0)</f>
        <v>34</v>
      </c>
      <c r="M9" s="6" t="str">
        <f>IFERROR(__xludf.DUMMYFUNCTION("""COMPUTED_VALUE"""),"")</f>
        <v/>
      </c>
      <c r="N9" s="4" t="str">
        <f>IFERROR(__xludf.DUMMYFUNCTION("""COMPUTED_VALUE"""),"Telegram")</f>
        <v>Telegram</v>
      </c>
      <c r="O9" s="4" t="str">
        <f>IFERROR(__xludf.DUMMYFUNCTION("""COMPUTED_VALUE"""),"raw")</f>
        <v>raw</v>
      </c>
      <c r="P9" s="4" t="str">
        <f>IFERROR(__xludf.DUMMYFUNCTION("""COMPUTED_VALUE"""),"Codex")</f>
        <v>Codex</v>
      </c>
      <c r="Q9" s="4" t="str">
        <f>IFERROR(__xludf.DUMMYFUNCTION("""COMPUTED_VALUE"""),"❗️ Через 4 часов закончится отбор на стажировку Т-банк! Разбор всех направлениях выложен только на наших карьерные курсы старт. ➡️ Записаться Сразу отвечу на самые популярные вопро")</f>
        <v>❗️ Через 4 часов закончится отбор на стажировку Т-банк! Разбор всех направлениях выложен только на наших карьерные курсы старт. ➡️ Записаться Сразу отвечу на самые популярные вопро</v>
      </c>
      <c r="R9" s="4" t="str">
        <f>IFERROR(__xludf.DUMMYFUNCTION("""COMPUTED_VALUE"""),"internal")</f>
        <v>internal</v>
      </c>
      <c r="S9" s="4" t="str">
        <f>IFERROR(__xludf.DUMMYFUNCTION("""COMPUTED_VALUE"""),"unknown")</f>
        <v>unknown</v>
      </c>
      <c r="T9" s="6" t="str">
        <f>IFERROR(__xludf.DUMMYFUNCTION("""COMPUTED_VALUE"""),"telegram_internal")</f>
        <v>telegram_internal</v>
      </c>
      <c r="U9" s="6" t="str">
        <f>IFERROR(__xludf.DUMMYFUNCTION("""COMPUTED_VALUE"""),"Контент с предложением курсов")</f>
        <v>Контент с предложением курсов</v>
      </c>
      <c r="V9" s="6" t="str">
        <f>IFERROR(__xludf.DUMMYFUNCTION("""COMPUTED_VALUE"""),"Предыстория")</f>
        <v>Предыстория</v>
      </c>
      <c r="W9" s="6"/>
      <c r="X9" s="6"/>
      <c r="Y9" s="6" t="str">
        <f>IFERROR(__xludf.DUMMYFUNCTION("""COMPUTED_VALUE"""),"")</f>
        <v/>
      </c>
      <c r="Z9" s="6" t="str">
        <f>IFERROR(__xludf.DUMMYFUNCTION("""COMPUTED_VALUE"""),"")</f>
        <v/>
      </c>
      <c r="AA9" s="6" t="b">
        <f>IFERROR(__xludf.DUMMYFUNCTION("""COMPUTED_VALUE"""),TRUE)</f>
        <v>1</v>
      </c>
      <c r="AB9" s="6" t="b">
        <f>IFERROR(__xludf.DUMMYFUNCTION("""COMPUTED_VALUE"""),FALSE)</f>
        <v>0</v>
      </c>
      <c r="AC9" s="6" t="b">
        <f>IFERROR(__xludf.DUMMYFUNCTION("""COMPUTED_VALUE"""),FALSE)</f>
        <v>0</v>
      </c>
      <c r="AD9" s="6" t="b">
        <f>IFERROR(__xludf.DUMMYFUNCTION("""COMPUTED_VALUE"""),FALSE)</f>
        <v>0</v>
      </c>
      <c r="AE9" s="6"/>
      <c r="AF9" s="6" t="b">
        <f>IFERROR(__xludf.DUMMYFUNCTION("""COMPUTED_VALUE"""),FALSE)</f>
        <v>0</v>
      </c>
      <c r="AG9" s="6" t="str">
        <f>IFERROR(__xludf.DUMMYFUNCTION("""COMPUTED_VALUE"""),"2026-07-05T17:03:02+00:00")</f>
        <v>2026-07-05T17:03:02+00:00</v>
      </c>
      <c r="AH9" s="6" t="str">
        <f>IFERROR(__xludf.DUMMYFUNCTION("""COMPUTED_VALUE"""),"")</f>
        <v/>
      </c>
      <c r="AI9" s="6" t="str">
        <f>IFERROR(__xludf.DUMMYFUNCTION("""COMPUTED_VALUE"""),"#N/A")</f>
        <v>#N/A</v>
      </c>
      <c r="AJ9" s="9" t="s">
        <v>167</v>
      </c>
      <c r="AK9" s="9" t="s">
        <v>213</v>
      </c>
      <c r="AM9" s="9" t="s">
        <v>219</v>
      </c>
      <c r="AN9" s="4" t="str">
        <f>IFERROR(__xludf.DUMMYFUNCTION("IF(OR(AJ9=""general_brand"",AJ9=""external"",AJ9=""unknown""),"""",IF(AJ9=""product_line"",IF(AK9=""START"",""Аналитика старт | Алгоритмы старт | Backend старт | ML старт"",IF(AK9=""PRO"",""AI-агенты про | Алгоритмы про | Аналитика про | ML про | Backend "&amp;"про"",IF(AK9=""START | PRO"",""Аналитика старт | Алгоритмы старт | Backend старт | ML старт | AI-агенты про | Алгоритмы про | Аналитика про | ML про | Backend про"",""""))),TEXTJOIN("" | "",TRUE,IF(REGEXMATCH(LOWER(AL9&amp;"" | ""&amp;E9),""аналитика старт""),""А"&amp;"налитика старт"",""""),IF(REGEXMATCH(LOWER(AL9&amp;"" | ""&amp;E9),""алгоритмы старт""),""Алгоритмы старт"",""""),IF(REGEXMATCH(LOWER(AL9&amp;"" | ""&amp;E9),""backend старт""),""Backend старт"",""""),IF(REGEXMATCH(LOWER(AL9&amp;"" | ""&amp;E9),""ml старт""),""ML старт"",""""),I"&amp;"F(REGEXMATCH(LOWER(AL9&amp;"" | ""&amp;E9),""ai[ -]?агент""),""AI-агенты про"",""""),IF(REGEXMATCH(LOWER(AL9&amp;"" | ""&amp;E9),""алгоритмы про""),""Алгоритмы про"",""""),IF(REGEXMATCH(LOWER(AL9&amp;"" | ""&amp;E9),""аналитика про""),""Аналитика про"",""""),IF(REGEXMATCH(LOWER("&amp;"AL9&amp;"" | ""&amp;E9),""ml про""),""ML про"",""""),IF(REGEXMATCH(LOWER(AL9&amp;"" | ""&amp;E9),""backend про""),""Backend про"",""""),IF(REGEXMATCH(LOWER(AL9&amp;"" | ""&amp;E9),""(а/в|ав|а в|ab)[ -]?тест""),""А/В-тесты"",""""),IF(REGEXMATCH(LOWER(AL9&amp;"" | ""&amp;E9),""data scienc"&amp;"e""),""Data science"",""""),IF(REGEXMATCH(LOWER(AL9&amp;"" | ""&amp;E9),""data[- ]?инжен""),""Data-инженер"",""""),IF(REGEXMATCH(LOWER(AL9&amp;"" | ""&amp;E9),""frontend""),""Frontend"",""""))))"),"Аналитика старт | Алгоритмы старт | Backend старт | ML старт")</f>
        <v>Аналитика старт | Алгоритмы старт | Backend старт | ML старт</v>
      </c>
    </row>
    <row r="10">
      <c r="A10" s="4" t="str">
        <f>IFERROR(__xludf.DUMMYFUNCTION("""COMPUTED_VALUE"""),"INT-1772")</f>
        <v>INT-1772</v>
      </c>
      <c r="B10" s="4" t="str">
        <f>IFERROR(__xludf.DUMMYFUNCTION("""COMPUTED_VALUE"""),"2026-07-06 17:41:59")</f>
        <v>2026-07-06 17:41:59</v>
      </c>
      <c r="C10" s="4" t="str">
        <f>IFERROR(__xludf.DUMMYFUNCTION("""COMPUTED_VALUE"""),"@postypashki_old")</f>
        <v>@postypashki_old</v>
      </c>
      <c r="D10" s="4" t="str">
        <f>IFERROR(__xludf.DUMMYFUNCTION("""COMPUTED_VALUE"""),"Прочий контент")</f>
        <v>Прочий контент</v>
      </c>
      <c r="E10" s="4" t="str">
        <f>IFERROR(__xludf.DUMMYFUNCTION("""COMPUTED_VALUE"""),"АВ тестам")</f>
        <v>АВ тестам</v>
      </c>
      <c r="F10" s="4" t="str">
        <f>IFERROR(__xludf.DUMMYFUNCTION("""COMPUTED_VALUE"""),"")</f>
        <v/>
      </c>
      <c r="G10" s="4" t="str">
        <f>IFERROR(__xludf.DUMMYFUNCTION("""COMPUTED_VALUE"""),"postypashki_old/1772")</f>
        <v>postypashki_old/1772</v>
      </c>
      <c r="H10" s="4" t="str">
        <f>IFERROR(__xludf.DUMMYFUNCTION("""COMPUTED_VALUE"""),"Слив ML секции в Т-банк
Сейчас выпускники  наших прошлых потоков активно проходят собесы в бигтехи, делимся с вами вопросами. Далее сохранили оригинальный текст. 
Секция заметно сложнее, чем в Яндексе. Закончил примерно минут за сорок. Запомнилось, что "&amp;"было много вопросов по метрикам классификации
Как считается micro-F1 и чем отличается от macro-F1?
подсказка: micro-F1 агрегирует TP/FP/FN по всем классам перед вычислением precision и recall, а macro-F1 сначала вычисляет F1 для каждого класса, а потом ус"&amp;"редняет
обсудили модели кластеризации, логистическую регрессию
Логистическая регрессия обучена, но метрика F1 на тесте низкая
проверить дисбаланс классов, попробовать изменить threshold
Кластеризация KMeans дала плохие кластеры
протестировать другие k, но"&amp;"рмализовать данные, попробовать DBSCAN
Одна фича, один таргет; обучили модель на трейне, но весь тест лежит правее трейна (вне диапазона по фиче), что произойдёт?
модель будет экстраполировать, если линейна
В выборке 1000 наблюдений. Как проверить, что ра"&amp;"спределение таргета - нормальное?
ML System Design
у банка есть пул вопросов для подтверждения личности клиента
(ex., когда зарегистрировались, сколько тратите в месяц)
некоторые клиенты не помнят ответы, из-за чего оператору приходится задавать много лиш"&amp;"него
задача: спроектировать систему, которая заранее выбирает минимальный, но достаточный набор вопросов с высокой вероятностью получения верных ответов
тут, как я понимаю, проверяют, сможешь ли по истории и признакам клиента оценить вероятность ответа, "&amp;"выбрать минимальный набор вопросов с помощью ML и грамотно описать A/B-тестирование: например, сравнения длины верификации, количества вопросов и успешности
обсудили построение простой рекомендательной системы для интернет-магазина
+ поговорили про ускоре"&amp;"ние инференса моделей
Еще больше подобных собесов и вопросов в нашем открытом банке собесов. 
@postypashki_old")</f>
        <v>Слив ML секции в Т-банк
Сейчас выпускники  наших прошлых потоков активно проходят собесы в бигтехи, делимся с вами вопросами. Далее сохранили оригинальный текст. 
Секция заметно сложнее, чем в Яндексе. Закончил примерно минут за сорок. Запомнилось, что было много вопросов по метрикам классификации
Как считается micro-F1 и чем отличается от macro-F1?
подсказка: micro-F1 агрегирует TP/FP/FN по всем классам перед вычислением precision и recall, а macro-F1 сначала вычисляет F1 для каждого класса, а потом усредняет
обсудили модели кластеризации, логистическую регрессию
Логистическая регрессия обучена, но метрика F1 на тесте низкая
проверить дисбаланс классов, попробовать изменить threshold
Кластеризация KMeans дала плохие кластеры
протестировать другие k, нормализовать данные, попробовать DBSCAN
Одна фича, один таргет; обучили модель на трейне, но весь тест лежит правее трейна (вне диапазона по фиче), что произойдёт?
модель будет экстраполировать, если линейна
В выборке 1000 наблюдений. Как проверить, что распределение таргета - нормальное?
ML System Design
у банка есть пул вопросов для подтверждения личности клиента
(ex., когда зарегистрировались, сколько тратите в месяц)
некоторые клиенты не помнят ответы, из-за чего оператору приходится задавать много лишнего
задача: спроектировать систему, которая заранее выбирает минимальный, но достаточный набор вопросов с высокой вероятностью получения верных ответов
тут, как я понимаю, проверяют, сможешь ли по истории и признакам клиента оценить вероятность ответа, выбрать минимальный набор вопросов с помощью ML и грамотно описать A/B-тестирование: например, сравнения длины верификации, количества вопросов и успешности
обсудили построение простой рекомендательной системы для интернет-магазина
+ поговорили про ускорение инференса моделей
Еще больше подобных собесов и вопросов в нашем открытом банке собесов. 
@postypashki_old</v>
      </c>
      <c r="I10" s="4" t="str">
        <f>IFERROR(__xludf.DUMMYFUNCTION("""COMPUTED_VALUE"""),"internal")</f>
        <v>internal</v>
      </c>
      <c r="J10" s="7" t="str">
        <f>IFERROR(__xludf.DUMMYFUNCTION("""COMPUTED_VALUE"""),"https://t.me/postypashki_old/1772")</f>
        <v>https://t.me/postypashki_old/1772</v>
      </c>
      <c r="K10" s="6">
        <f>IFERROR(__xludf.DUMMYFUNCTION("""COMPUTED_VALUE"""),21200.0)</f>
        <v>21200</v>
      </c>
      <c r="L10" s="6">
        <f>IFERROR(__xludf.DUMMYFUNCTION("""COMPUTED_VALUE"""),24.0)</f>
        <v>24</v>
      </c>
      <c r="M10" s="6" t="str">
        <f>IFERROR(__xludf.DUMMYFUNCTION("""COMPUTED_VALUE"""),"")</f>
        <v/>
      </c>
      <c r="N10" s="4" t="str">
        <f>IFERROR(__xludf.DUMMYFUNCTION("""COMPUTED_VALUE"""),"Telegram")</f>
        <v>Telegram</v>
      </c>
      <c r="O10" s="4" t="str">
        <f>IFERROR(__xludf.DUMMYFUNCTION("""COMPUTED_VALUE"""),"raw")</f>
        <v>raw</v>
      </c>
      <c r="P10" s="4" t="str">
        <f>IFERROR(__xludf.DUMMYFUNCTION("""COMPUTED_VALUE"""),"Codex")</f>
        <v>Codex</v>
      </c>
      <c r="Q10" s="4" t="str">
        <f>IFERROR(__xludf.DUMMYFUNCTION("""COMPUTED_VALUE"""),"Слив ML секции в Т-банк Сейчас выпускники наших прошлых потоков активно проходят собесы в бигтехи, делимся с вами вопросами. Далее сохранили оригинальный текст. Секция заметно слож")</f>
        <v>Слив ML секции в Т-банк Сейчас выпускники наших прошлых потоков активно проходят собесы в бигтехи, делимся с вами вопросами. Далее сохранили оригинальный текст. Секция заметно слож</v>
      </c>
      <c r="R10" s="4" t="str">
        <f>IFERROR(__xludf.DUMMYFUNCTION("""COMPUTED_VALUE"""),"internal")</f>
        <v>internal</v>
      </c>
      <c r="S10" s="4" t="str">
        <f>IFERROR(__xludf.DUMMYFUNCTION("""COMPUTED_VALUE"""),"unknown")</f>
        <v>unknown</v>
      </c>
      <c r="T10" s="6" t="str">
        <f>IFERROR(__xludf.DUMMYFUNCTION("""COMPUTED_VALUE"""),"telegram_internal")</f>
        <v>telegram_internal</v>
      </c>
      <c r="U10" s="6" t="str">
        <f>IFERROR(__xludf.DUMMYFUNCTION("""COMPUTED_VALUE"""),"Прочий контент")</f>
        <v>Прочий контент</v>
      </c>
      <c r="V10" s="6" t="str">
        <f>IFERROR(__xludf.DUMMYFUNCTION("""COMPUTED_VALUE"""),"Предыстория")</f>
        <v>Предыстория</v>
      </c>
      <c r="W10" s="6"/>
      <c r="X10" s="6"/>
      <c r="Y10" s="6" t="str">
        <f>IFERROR(__xludf.DUMMYFUNCTION("""COMPUTED_VALUE"""),"")</f>
        <v/>
      </c>
      <c r="Z10" s="6" t="str">
        <f>IFERROR(__xludf.DUMMYFUNCTION("""COMPUTED_VALUE"""),"")</f>
        <v/>
      </c>
      <c r="AA10" s="6" t="b">
        <f>IFERROR(__xludf.DUMMYFUNCTION("""COMPUTED_VALUE"""),FALSE)</f>
        <v>0</v>
      </c>
      <c r="AB10" s="6" t="b">
        <f>IFERROR(__xludf.DUMMYFUNCTION("""COMPUTED_VALUE"""),FALSE)</f>
        <v>0</v>
      </c>
      <c r="AC10" s="6" t="b">
        <f>IFERROR(__xludf.DUMMYFUNCTION("""COMPUTED_VALUE"""),FALSE)</f>
        <v>0</v>
      </c>
      <c r="AD10" s="6" t="b">
        <f>IFERROR(__xludf.DUMMYFUNCTION("""COMPUTED_VALUE"""),FALSE)</f>
        <v>0</v>
      </c>
      <c r="AE10" s="6"/>
      <c r="AF10" s="6" t="b">
        <f>IFERROR(__xludf.DUMMYFUNCTION("""COMPUTED_VALUE"""),FALSE)</f>
        <v>0</v>
      </c>
      <c r="AG10" s="6" t="str">
        <f>IFERROR(__xludf.DUMMYFUNCTION("""COMPUTED_VALUE"""),"2026-07-06T14:41:59+00:00")</f>
        <v>2026-07-06T14:41:59+00:00</v>
      </c>
      <c r="AH10" s="6" t="str">
        <f>IFERROR(__xludf.DUMMYFUNCTION("""COMPUTED_VALUE"""),"")</f>
        <v/>
      </c>
      <c r="AI10" s="6" t="str">
        <f>IFERROR(__xludf.DUMMYFUNCTION("""COMPUTED_VALUE"""),"#N/A")</f>
        <v>#N/A</v>
      </c>
      <c r="AJ10" s="9" t="s">
        <v>224</v>
      </c>
      <c r="AL10" s="4" t="s">
        <v>227</v>
      </c>
      <c r="AM10" s="9" t="s">
        <v>228</v>
      </c>
      <c r="AN10" s="4" t="str">
        <f>IFERROR(__xludf.DUMMYFUNCTION("IF(OR(AJ10=""general_brand"",AJ10=""external"",AJ10=""unknown""),"""",IF(AJ10=""product_line"",IF(AK10=""START"",""Аналитика старт | Алгоритмы старт | Backend старт | ML старт"",IF(AK10=""PRO"",""AI-агенты про | Алгоритмы про | Аналитика про | ML про | Ba"&amp;"ckend про"",IF(AK10=""START | PRO"",""Аналитика старт | Алгоритмы старт | Backend старт | ML старт | AI-агенты про | Алгоритмы про | Аналитика про | ML про | Backend про"",""""))),TEXTJOIN("" | "",TRUE,IF(REGEXMATCH(LOWER(AL10&amp;"" | ""&amp;E10),""аналитика ста"&amp;"рт""),""Аналитика старт"",""""),IF(REGEXMATCH(LOWER(AL10&amp;"" | ""&amp;E10),""алгоритмы старт""),""Алгоритмы старт"",""""),IF(REGEXMATCH(LOWER(AL10&amp;"" | ""&amp;E10),""backend старт""),""Backend старт"",""""),IF(REGEXMATCH(LOWER(AL10&amp;"" | ""&amp;E10),""ml старт""),""ML "&amp;"старт"",""""),IF(REGEXMATCH(LOWER(AL10&amp;"" | ""&amp;E10),""ai[ -]?агент""),""AI-агенты про"",""""),IF(REGEXMATCH(LOWER(AL10&amp;"" | ""&amp;E10),""алгоритмы про""),""Алгоритмы про"",""""),IF(REGEXMATCH(LOWER(AL10&amp;"" | ""&amp;E10),""аналитика про""),""Аналитика про"","""")"&amp;",IF(REGEXMATCH(LOWER(AL10&amp;"" | ""&amp;E10),""ml про""),""ML про"",""""),IF(REGEXMATCH(LOWER(AL10&amp;"" | ""&amp;E10),""backend про""),""Backend про"",""""),IF(REGEXMATCH(LOWER(AL10&amp;"" | ""&amp;E10),""(а/в|ав|а в|ab)[ -]?тест""),""А/В-тесты"",""""),IF(REGEXMATCH(LOWER(AL"&amp;"10&amp;"" | ""&amp;E10),""data science""),""Data science"",""""),IF(REGEXMATCH(LOWER(AL10&amp;"" | ""&amp;E10),""data[- ]?инжен""),""Data-инженер"",""""),IF(REGEXMATCH(LOWER(AL10&amp;"" | ""&amp;E10),""frontend""),""Frontend"",""""))))"),"А/В-тесты")</f>
        <v>А/В-тесты</v>
      </c>
    </row>
    <row r="11">
      <c r="A11" s="4" t="str">
        <f>IFERROR(__xludf.DUMMYFUNCTION("""COMPUTED_VALUE"""),"INT-1773")</f>
        <v>INT-1773</v>
      </c>
      <c r="B11" s="4" t="str">
        <f>IFERROR(__xludf.DUMMYFUNCTION("""COMPUTED_VALUE"""),"2026-07-06 17:42:02")</f>
        <v>2026-07-06 17:42:02</v>
      </c>
      <c r="C11" s="4" t="str">
        <f>IFERROR(__xludf.DUMMYFUNCTION("""COMPUTED_VALUE"""),"@postypashki_old")</f>
        <v>@postypashki_old</v>
      </c>
      <c r="D11" s="4" t="str">
        <f>IFERROR(__xludf.DUMMYFUNCTION("""COMPUTED_VALUE"""),"Прочий контент")</f>
        <v>Прочий контент</v>
      </c>
      <c r="E11" s="4"/>
      <c r="F11" s="4" t="str">
        <f>IFERROR(__xludf.DUMMYFUNCTION("""COMPUTED_VALUE"""),"")</f>
        <v/>
      </c>
      <c r="G11" s="4" t="str">
        <f>IFERROR(__xludf.DUMMYFUNCTION("""COMPUTED_VALUE"""),"postypashki_old/1773")</f>
        <v>postypashki_old/1773</v>
      </c>
      <c r="H11" s="4"/>
      <c r="I11" s="4" t="str">
        <f>IFERROR(__xludf.DUMMYFUNCTION("""COMPUTED_VALUE"""),"internal")</f>
        <v>internal</v>
      </c>
      <c r="J11" s="7" t="str">
        <f>IFERROR(__xludf.DUMMYFUNCTION("""COMPUTED_VALUE"""),"https://t.me/postypashki_old/1773")</f>
        <v>https://t.me/postypashki_old/1773</v>
      </c>
      <c r="K11" s="4">
        <f>IFERROR(__xludf.DUMMYFUNCTION("""COMPUTED_VALUE"""),18300.0)</f>
        <v>18300</v>
      </c>
      <c r="L11" s="4">
        <f>IFERROR(__xludf.DUMMYFUNCTION("""COMPUTED_VALUE"""),127.0)</f>
        <v>127</v>
      </c>
      <c r="M11" s="6" t="str">
        <f>IFERROR(__xludf.DUMMYFUNCTION("""COMPUTED_VALUE"""),"")</f>
        <v/>
      </c>
      <c r="N11" s="4" t="str">
        <f>IFERROR(__xludf.DUMMYFUNCTION("""COMPUTED_VALUE"""),"Telegram")</f>
        <v>Telegram</v>
      </c>
      <c r="O11" s="4" t="str">
        <f>IFERROR(__xludf.DUMMYFUNCTION("""COMPUTED_VALUE"""),"raw")</f>
        <v>raw</v>
      </c>
      <c r="P11" s="4" t="str">
        <f>IFERROR(__xludf.DUMMYFUNCTION("""COMPUTED_VALUE"""),"Codex")</f>
        <v>Codex</v>
      </c>
      <c r="Q11" s="4" t="str">
        <f>IFERROR(__xludf.DUMMYFUNCTION("""COMPUTED_VALUE"""),"[Медиа без текстовой подписи]")</f>
        <v>[Медиа без текстовой подписи]</v>
      </c>
      <c r="R11" s="4" t="str">
        <f>IFERROR(__xludf.DUMMYFUNCTION("""COMPUTED_VALUE"""),"internal")</f>
        <v>internal</v>
      </c>
      <c r="S11" s="4" t="str">
        <f>IFERROR(__xludf.DUMMYFUNCTION("""COMPUTED_VALUE"""),"unknown")</f>
        <v>unknown</v>
      </c>
      <c r="T11" s="6" t="str">
        <f>IFERROR(__xludf.DUMMYFUNCTION("""COMPUTED_VALUE"""),"telegram_internal")</f>
        <v>telegram_internal</v>
      </c>
      <c r="U11" s="6" t="str">
        <f>IFERROR(__xludf.DUMMYFUNCTION("""COMPUTED_VALUE"""),"Прочий контент")</f>
        <v>Прочий контент</v>
      </c>
      <c r="V11" s="6" t="str">
        <f>IFERROR(__xludf.DUMMYFUNCTION("""COMPUTED_VALUE"""),"Предыстория")</f>
        <v>Предыстория</v>
      </c>
      <c r="W11" s="6" t="str">
        <f>IFERROR(__xludf.DUMMYFUNCTION("""COMPUTED_VALUE"""),"Видео")</f>
        <v>Видео</v>
      </c>
      <c r="X11" s="6"/>
      <c r="Y11" s="6" t="str">
        <f>IFERROR(__xludf.DUMMYFUNCTION("""COMPUTED_VALUE"""),"")</f>
        <v/>
      </c>
      <c r="Z11" s="6" t="str">
        <f>IFERROR(__xludf.DUMMYFUNCTION("""COMPUTED_VALUE"""),"")</f>
        <v/>
      </c>
      <c r="AA11" s="6" t="b">
        <f>IFERROR(__xludf.DUMMYFUNCTION("""COMPUTED_VALUE"""),FALSE)</f>
        <v>0</v>
      </c>
      <c r="AB11" s="6" t="b">
        <f>IFERROR(__xludf.DUMMYFUNCTION("""COMPUTED_VALUE"""),FALSE)</f>
        <v>0</v>
      </c>
      <c r="AC11" s="6" t="b">
        <f>IFERROR(__xludf.DUMMYFUNCTION("""COMPUTED_VALUE"""),FALSE)</f>
        <v>0</v>
      </c>
      <c r="AD11" s="6" t="b">
        <f>IFERROR(__xludf.DUMMYFUNCTION("""COMPUTED_VALUE"""),FALSE)</f>
        <v>0</v>
      </c>
      <c r="AE11" s="6"/>
      <c r="AF11" s="6" t="b">
        <f>IFERROR(__xludf.DUMMYFUNCTION("""COMPUTED_VALUE"""),FALSE)</f>
        <v>0</v>
      </c>
      <c r="AG11" s="6" t="str">
        <f>IFERROR(__xludf.DUMMYFUNCTION("""COMPUTED_VALUE"""),"2026-07-06T14:42:02+00:00")</f>
        <v>2026-07-06T14:42:02+00:00</v>
      </c>
      <c r="AH11" s="6" t="str">
        <f>IFERROR(__xludf.DUMMYFUNCTION("""COMPUTED_VALUE"""),"")</f>
        <v/>
      </c>
      <c r="AI11" s="6" t="str">
        <f>IFERROR(__xludf.DUMMYFUNCTION("""COMPUTED_VALUE"""),"#N/A")</f>
        <v>#N/A</v>
      </c>
      <c r="AJ11" s="9" t="s">
        <v>208</v>
      </c>
      <c r="AM11" s="9" t="s">
        <v>229</v>
      </c>
      <c r="AN11" s="6" t="str">
        <f>IFERROR(__xludf.DUMMYFUNCTION("IF(OR(AJ11=""general_brand"",AJ11=""external"",AJ11=""unknown""),"""",IF(AJ11=""product_line"",IF(AK11=""START"",""Аналитика старт | Алгоритмы старт | Backend старт | ML старт"",IF(AK11=""PRO"",""AI-агенты про | Алгоритмы про | Аналитика про | ML про | Ba"&amp;"ckend про"",IF(AK11=""START | PRO"",""Аналитика старт | Алгоритмы старт | Backend старт | ML старт | AI-агенты про | Алгоритмы про | Аналитика про | ML про | Backend про"",""""))),TEXTJOIN("" | "",TRUE,IF(REGEXMATCH(LOWER(AL11&amp;"" | ""&amp;E11),""аналитика ста"&amp;"рт""),""Аналитика старт"",""""),IF(REGEXMATCH(LOWER(AL11&amp;"" | ""&amp;E11),""алгоритмы старт""),""Алгоритмы старт"",""""),IF(REGEXMATCH(LOWER(AL11&amp;"" | ""&amp;E11),""backend старт""),""Backend старт"",""""),IF(REGEXMATCH(LOWER(AL11&amp;"" | ""&amp;E11),""ml старт""),""ML "&amp;"старт"",""""),IF(REGEXMATCH(LOWER(AL11&amp;"" | ""&amp;E11),""ai[ -]?агент""),""AI-агенты про"",""""),IF(REGEXMATCH(LOWER(AL11&amp;"" | ""&amp;E11),""алгоритмы про""),""Алгоритмы про"",""""),IF(REGEXMATCH(LOWER(AL11&amp;"" | ""&amp;E11),""аналитика про""),""Аналитика про"","""")"&amp;",IF(REGEXMATCH(LOWER(AL11&amp;"" | ""&amp;E11),""ml про""),""ML про"",""""),IF(REGEXMATCH(LOWER(AL11&amp;"" | ""&amp;E11),""backend про""),""Backend про"",""""),IF(REGEXMATCH(LOWER(AL11&amp;"" | ""&amp;E11),""(а/в|ав|а в|ab)[ -]?тест""),""А/В-тесты"",""""),IF(REGEXMATCH(LOWER(AL"&amp;"11&amp;"" | ""&amp;E11),""data science""),""Data science"",""""),IF(REGEXMATCH(LOWER(AL11&amp;"" | ""&amp;E11),""data[- ]?инжен""),""Data-инженер"",""""),IF(REGEXMATCH(LOWER(AL11&amp;"" | ""&amp;E11),""frontend""),""Frontend"",""""))))"),"")</f>
        <v/>
      </c>
    </row>
    <row r="12">
      <c r="A12" s="4" t="str">
        <f>IFERROR(__xludf.DUMMYFUNCTION("""COMPUTED_VALUE"""),"INT-1774")</f>
        <v>INT-1774</v>
      </c>
      <c r="B12" s="4" t="str">
        <f>IFERROR(__xludf.DUMMYFUNCTION("""COMPUTED_VALUE"""),"2026-07-08 20:32:38")</f>
        <v>2026-07-08 20:32:38</v>
      </c>
      <c r="C12" s="4" t="str">
        <f>IFERROR(__xludf.DUMMYFUNCTION("""COMPUTED_VALUE"""),"@postypashki_old")</f>
        <v>@postypashki_old</v>
      </c>
      <c r="D12" s="4" t="str">
        <f>IFERROR(__xludf.DUMMYFUNCTION("""COMPUTED_VALUE"""),"Контент с упоминанием")</f>
        <v>Контент с упоминанием</v>
      </c>
      <c r="E12" s="4" t="str">
        <f>IFERROR(__xludf.DUMMYFUNCTION("""COMPUTED_VALUE"""),"ML старт")</f>
        <v>ML старт</v>
      </c>
      <c r="F12" s="4" t="str">
        <f>IFERROR(__xludf.DUMMYFUNCTION("""COMPUTED_VALUE"""),"")</f>
        <v/>
      </c>
      <c r="G12" s="4" t="str">
        <f>IFERROR(__xludf.DUMMYFUNCTION("""COMPUTED_VALUE"""),"postypashki_old/1774")</f>
        <v>postypashki_old/1774</v>
      </c>
      <c r="H12" s="4" t="str">
        <f>IFERROR(__xludf.DUMMYFUNCTION("""COMPUTED_VALUE"""),"Слив МЛ кейсов Т-банк 
Сейчас выпускники наших прошлых потоков активно проходят собесы в бигтехи, делимся с вами вопросами. Далее сохранили оригинальный текст. Кстати на курсе мл старт уже выложили разбор Авито буткемп DS, на который можно податься до 11"&amp;" июля. 
1. Как можно улучшить существующую систему
кредитного скоринга и прогнозировать финансовые трудности заёмщиков
Возможные вопросы для уточнения задачи:
 Какие параметры банк учитывает при расчете кредитного скоринга?
Важно понять, какие факторы (д"&amp;"оход, кредитная история, возраст и т. д.) уже используются
и можно ли их оптимизировать
 Как определяется ""финансовая трудность""? Например, это может быть просрочка платежей, банкротство или снижение кредитного рейтинга
 Нужно ли фокусироваться на опр"&amp;"еделенном типе кредитов?
Разные виды займов
(ипотека, автокредиты) могут требовать разных подходов
first things first: высокий коэффициент долга
(отношение суммы кредита к доходу) сигнализирует о риске. Таких заемщиков следует рассматривать как выбросы, "&amp;"а вот если доход заемщика не меняется со временем, это может указывать на ошибку в данных + пропущенные значения заполняемы с помощью регрессии/других методов импутации
При построении модели можно начать с логистической регрессии в рамках baseline, затем"&amp;" перейти к более сложным алгоритмам
(деревья решений для интерпретируемости и XGBoost, CatBoost для улучшения точности), после- проводится оценка важности признаков: поймём какие факторы сильнее всего влияют на риск
2. Как бы вы классифицировали фрукты и"&amp;" овощи на изображениях для e-commerce платформы
Уточним:
 Содержит ли каждое изображение только один объект?
Если да, задача упрощается до многоклассовой классификации
 Сколько классов (видов фруктов/овощей) нужно распознавать?
Например, 100/200/.. катег"&amp;"орий
 Каковы размеры и тип изображений?
Поработаем с данными: балансируем, разделяем, аугментируем
CNN эффективно выявляет особенности изображений: ResNet/EfficientNet для готовых решений, но желательно написать свою нейронку с batch normaми и dropoutа"&amp;"ми
после можно перейти к оптимизации: learning rate scheduling, color normalization для улучшения качества input
Проверяем, работу модели на новых данных и интерпретируем ошибки(ex., томаты и гранаты моделька может спутать)
3. Как определить, делает ли"&amp;" стриминговый сервис больший акцент на сериалах или фильмах
 Нужно ли включать анимационные сериалы и фильмы в анализ?
Это важно, т.к. анимация может составлять значительную часть контента
 Какова бизнес-цель исследования? Например, нужно ли анализировать"&amp;" конкретные жанры (боевики, триллеры и т. д.) или все категории?
  На какую аудиторию ориентирован анализ? Дети, взрослые или все возрастные группы?
Предположим, интервьюер подтверждает, что анализ должен охватывать все жанры, включая анимацию, и ориентир"&amp;"ован на общую аудиторию
Для начала я бы ограничил анализ странами с наибольшим объемом контента — США и Индией, тем самым упростим задачу, чтобы позже модель масштабировать
Немножечко про сезонность: пики релизов приходятся на праздники, что может влият"&amp;"ь на баланс между фильмами и сериалам
На этапе сбора данных выбираем те объекты, у которых указаны год, месяц релиза, страна, жанр и другие ключевые параметры (checking удаляются ли записи с пропусками в критически важных полях, таких как дата релиза или"&amp;" категория контента)
Смотрим распределение контента по жанрам и странам и корреляцию между типом контента, рейтингами, популярностью (числом просмотров), а также доходом (при наличии данных) -&gt; даст понять, какой контент чаще привлекает аудиторию и генер"&amp;"ирует прибыль
Проверяем, как обстоит вопрос с доходностью фильмов и сериалов через монетизацию
(подписки, реклама)+ просматриваем вовлеченность пользователей: ex., какие категории контента чаще выбирают через рекомендации.
определяем приоритеты в продвиж"&amp;"ении
Еще больше подобных собесов и вопросов в нашем открытом банке собесов. 
@postypashki_old")</f>
        <v>Слив МЛ кейсов Т-банк 
Сейчас выпускники наших прошлых потоков активно проходят собесы в бигтехи, делимся с вами вопросами. Далее сохранили оригинальный текст. Кстати на курсе мл старт уже выложили разбор Авито буткемп DS, на который можно податься до 11 июля. 
1. Как можно улучшить существующую систему
кредитного скоринга и прогнозировать финансовые трудности заёмщиков
Возможные вопросы для уточнения задачи:
 Какие параметры банк учитывает при расчете кредитного скоринга?
Важно понять, какие факторы (доход, кредитная история, возраст и т. д.) уже используются
и можно ли их оптимизировать
 Как определяется "финансовая трудность"? Например, это может быть просрочка платежей, банкротство или снижение кредитного рейтинга
 Нужно ли фокусироваться на определенном типе кредитов?
Разные виды займов
(ипотека, автокредиты) могут требовать разных подходов
first things first: высокий коэффициент долга
(отношение суммы кредита к доходу) сигнализирует о риске. Таких заемщиков следует рассматривать как выбросы, а вот если доход заемщика не меняется со временем, это может указывать на ошибку в данных + пропущенные значения заполняемы с помощью регрессии/других методов импутации
При построении модели можно начать с логистической регрессии в рамках baseline, затем перейти к более сложным алгоритмам
(деревья решений для интерпретируемости и XGBoost, CatBoost для улучшения точности), после- проводится оценка важности признаков: поймём какие факторы сильнее всего влияют на риск
2. Как бы вы классифицировали фрукты и овощи на изображениях для e-commerce платформы
Уточним:
 Содержит ли каждое изображение только один объект?
Если да, задача упрощается до многоклассовой классификации
 Сколько классов (видов фруктов/овощей) нужно распознавать?
Например, 100/200/.. категорий
 Каковы размеры и тип изображений?
Поработаем с данными: балансируем, разделяем, аугментируем
CNN эффективно выявляет особенности изображений: ResNet/EfficientNet для готовых решений, но желательно написать свою нейронку с batch normaми и dropoutами
после можно перейти к оптимизации: learning rate scheduling, color normalization для улучшения качества input
Проверяем, работу модели на новых данных и интерпретируем ошибки(ex., томаты и гранаты моделька может спутать)
3. Как определить, делает ли стриминговый сервис больший акцент на сериалах или фильмах
 Нужно ли включать анимационные сериалы и фильмы в анализ?
Это важно, т.к. анимация может составлять значительную часть контента
 Какова бизнес-цель исследования? Например, нужно ли анализировать конкретные жанры (боевики, триллеры и т. д.) или все категории?
  На какую аудиторию ориентирован анализ? Дети, взрослые или все возрастные группы?
Предположим, интервьюер подтверждает, что анализ должен охватывать все жанры, включая анимацию, и ориентирован на общую аудиторию
Для начала я бы ограничил анализ странами с наибольшим объемом контента — США и Индией, тем самым упростим задачу, чтобы позже модель масштабировать
Немножечко про сезонность: пики релизов приходятся на праздники, что может влиять на баланс между фильмами и сериалам
На этапе сбора данных выбираем те объекты, у которых указаны год, месяц релиза, страна, жанр и другие ключевые параметры (checking удаляются ли записи с пропусками в критически важных полях, таких как дата релиза или категория контента)
Смотрим распределение контента по жанрам и странам и корреляцию между типом контента, рейтингами, популярностью (числом просмотров), а также доходом (при наличии данных) -&gt; даст понять, какой контент чаще привлекает аудиторию и генерирует прибыль
Проверяем, как обстоит вопрос с доходностью фильмов и сериалов через монетизацию
(подписки, реклама)+ просматриваем вовлеченность пользователей: ex., какие категории контента чаще выбирают через рекомендации.
определяем приоритеты в продвижении
Еще больше подобных собесов и вопросов в нашем открытом банке собесов. 
@postypashki_old</v>
      </c>
      <c r="I12" s="4" t="str">
        <f>IFERROR(__xludf.DUMMYFUNCTION("""COMPUTED_VALUE"""),"internal")</f>
        <v>internal</v>
      </c>
      <c r="J12" s="7" t="str">
        <f>IFERROR(__xludf.DUMMYFUNCTION("""COMPUTED_VALUE"""),"https://t.me/postypashki_old/1774")</f>
        <v>https://t.me/postypashki_old/1774</v>
      </c>
      <c r="K12" s="4">
        <f>IFERROR(__xludf.DUMMYFUNCTION("""COMPUTED_VALUE"""),18200.0)</f>
        <v>18200</v>
      </c>
      <c r="L12" s="4">
        <f>IFERROR(__xludf.DUMMYFUNCTION("""COMPUTED_VALUE"""),38.0)</f>
        <v>38</v>
      </c>
      <c r="M12" s="6" t="str">
        <f>IFERROR(__xludf.DUMMYFUNCTION("""COMPUTED_VALUE"""),"")</f>
        <v/>
      </c>
      <c r="N12" s="4" t="str">
        <f>IFERROR(__xludf.DUMMYFUNCTION("""COMPUTED_VALUE"""),"Telegram")</f>
        <v>Telegram</v>
      </c>
      <c r="O12" s="4" t="str">
        <f>IFERROR(__xludf.DUMMYFUNCTION("""COMPUTED_VALUE"""),"raw")</f>
        <v>raw</v>
      </c>
      <c r="P12" s="4" t="str">
        <f>IFERROR(__xludf.DUMMYFUNCTION("""COMPUTED_VALUE"""),"Codex")</f>
        <v>Codex</v>
      </c>
      <c r="Q12" s="4" t="str">
        <f>IFERROR(__xludf.DUMMYFUNCTION("""COMPUTED_VALUE"""),"Слив МЛ кейсов Т-банк Сейчас выпускники наших прошлых потоков активно проходят собесы в бигтехи, делимся с вами вопросами. Далее сохранили оригинальный текст. Кстати на курсе мл ст")</f>
        <v>Слив МЛ кейсов Т-банк Сейчас выпускники наших прошлых потоков активно проходят собесы в бигтехи, делимся с вами вопросами. Далее сохранили оригинальный текст. Кстати на курсе мл ст</v>
      </c>
      <c r="R12" s="4" t="str">
        <f>IFERROR(__xludf.DUMMYFUNCTION("""COMPUTED_VALUE"""),"internal")</f>
        <v>internal</v>
      </c>
      <c r="S12" s="4" t="str">
        <f>IFERROR(__xludf.DUMMYFUNCTION("""COMPUTED_VALUE"""),"unknown")</f>
        <v>unknown</v>
      </c>
      <c r="T12" s="6" t="str">
        <f>IFERROR(__xludf.DUMMYFUNCTION("""COMPUTED_VALUE"""),"telegram_internal")</f>
        <v>telegram_internal</v>
      </c>
      <c r="U12" s="6" t="str">
        <f>IFERROR(__xludf.DUMMYFUNCTION("""COMPUTED_VALUE"""),"Контент с упоминанием")</f>
        <v>Контент с упоминанием</v>
      </c>
      <c r="V12" s="6" t="str">
        <f>IFERROR(__xludf.DUMMYFUNCTION("""COMPUTED_VALUE"""),"Предыстория")</f>
        <v>Предыстория</v>
      </c>
      <c r="W12" s="6"/>
      <c r="X12" s="6"/>
      <c r="Y12" s="6" t="str">
        <f>IFERROR(__xludf.DUMMYFUNCTION("""COMPUTED_VALUE"""),"")</f>
        <v/>
      </c>
      <c r="Z12" s="6" t="str">
        <f>IFERROR(__xludf.DUMMYFUNCTION("""COMPUTED_VALUE"""),"")</f>
        <v/>
      </c>
      <c r="AA12" s="6" t="b">
        <f>IFERROR(__xludf.DUMMYFUNCTION("""COMPUTED_VALUE"""),FALSE)</f>
        <v>0</v>
      </c>
      <c r="AB12" s="6" t="b">
        <f>IFERROR(__xludf.DUMMYFUNCTION("""COMPUTED_VALUE"""),FALSE)</f>
        <v>0</v>
      </c>
      <c r="AC12" s="6" t="b">
        <f>IFERROR(__xludf.DUMMYFUNCTION("""COMPUTED_VALUE"""),FALSE)</f>
        <v>0</v>
      </c>
      <c r="AD12" s="6" t="b">
        <f>IFERROR(__xludf.DUMMYFUNCTION("""COMPUTED_VALUE"""),FALSE)</f>
        <v>0</v>
      </c>
      <c r="AE12" s="6" t="str">
        <f>IFERROR(__xludf.DUMMYFUNCTION("""COMPUTED_VALUE"""),"ос с доходностью фильмов и сериалов через монетизацию (подписки, реклама)+ просматриваем вовлеченность пользователей: ex., какие категории контента чаще выбирают через рекомендации. определяем приоритеты в продвижении Еще больше по")</f>
        <v>ос с доходностью фильмов и сериалов через монетизацию (подписки, реклама)+ просматриваем вовлеченность пользователей: ex., какие категории контента чаще выбирают через рекомендации. определяем приоритеты в продвижении Еще больше по</v>
      </c>
      <c r="AF12" s="6" t="b">
        <f>IFERROR(__xludf.DUMMYFUNCTION("""COMPUTED_VALUE"""),FALSE)</f>
        <v>0</v>
      </c>
      <c r="AG12" s="6" t="str">
        <f>IFERROR(__xludf.DUMMYFUNCTION("""COMPUTED_VALUE"""),"2026-07-08T17:32:38+00:00")</f>
        <v>2026-07-08T17:32:38+00:00</v>
      </c>
      <c r="AH12" s="6" t="str">
        <f>IFERROR(__xludf.DUMMYFUNCTION("""COMPUTED_VALUE"""),"")</f>
        <v/>
      </c>
      <c r="AI12" s="6" t="str">
        <f>IFERROR(__xludf.DUMMYFUNCTION("""COMPUTED_VALUE"""),"#N/A")</f>
        <v>#N/A</v>
      </c>
      <c r="AJ12" s="9" t="s">
        <v>224</v>
      </c>
      <c r="AK12" s="9" t="s">
        <v>213</v>
      </c>
      <c r="AL12" s="4" t="s">
        <v>225</v>
      </c>
      <c r="AM12" s="9" t="s">
        <v>226</v>
      </c>
      <c r="AN12" s="4" t="str">
        <f>IFERROR(__xludf.DUMMYFUNCTION("IF(OR(AJ12=""general_brand"",AJ12=""external"",AJ12=""unknown""),"""",IF(AJ12=""product_line"",IF(AK12=""START"",""Аналитика старт | Алгоритмы старт | Backend старт | ML старт"",IF(AK12=""PRO"",""AI-агенты про | Алгоритмы про | Аналитика про | ML про | Ba"&amp;"ckend про"",IF(AK12=""START | PRO"",""Аналитика старт | Алгоритмы старт | Backend старт | ML старт | AI-агенты про | Алгоритмы про | Аналитика про | ML про | Backend про"",""""))),TEXTJOIN("" | "",TRUE,IF(REGEXMATCH(LOWER(AL12&amp;"" | ""&amp;E12),""аналитика ста"&amp;"рт""),""Аналитика старт"",""""),IF(REGEXMATCH(LOWER(AL12&amp;"" | ""&amp;E12),""алгоритмы старт""),""Алгоритмы старт"",""""),IF(REGEXMATCH(LOWER(AL12&amp;"" | ""&amp;E12),""backend старт""),""Backend старт"",""""),IF(REGEXMATCH(LOWER(AL12&amp;"" | ""&amp;E12),""ml старт""),""ML "&amp;"старт"",""""),IF(REGEXMATCH(LOWER(AL12&amp;"" | ""&amp;E12),""ai[ -]?агент""),""AI-агенты про"",""""),IF(REGEXMATCH(LOWER(AL12&amp;"" | ""&amp;E12),""алгоритмы про""),""Алгоритмы про"",""""),IF(REGEXMATCH(LOWER(AL12&amp;"" | ""&amp;E12),""аналитика про""),""Аналитика про"","""")"&amp;",IF(REGEXMATCH(LOWER(AL12&amp;"" | ""&amp;E12),""ml про""),""ML про"",""""),IF(REGEXMATCH(LOWER(AL12&amp;"" | ""&amp;E12),""backend про""),""Backend про"",""""),IF(REGEXMATCH(LOWER(AL12&amp;"" | ""&amp;E12),""(а/в|ав|а в|ab)[ -]?тест""),""А/В-тесты"",""""),IF(REGEXMATCH(LOWER(AL"&amp;"12&amp;"" | ""&amp;E12),""data science""),""Data science"",""""),IF(REGEXMATCH(LOWER(AL12&amp;"" | ""&amp;E12),""data[- ]?инжен""),""Data-инженер"",""""),IF(REGEXMATCH(LOWER(AL12&amp;"" | ""&amp;E12),""frontend""),""Frontend"",""""))))"),"ML старт")</f>
        <v>ML старт</v>
      </c>
    </row>
    <row r="13">
      <c r="A13" s="4" t="str">
        <f>IFERROR(__xludf.DUMMYFUNCTION("""COMPUTED_VALUE"""),"INT-1777")</f>
        <v>INT-1777</v>
      </c>
      <c r="B13" s="4" t="str">
        <f>IFERROR(__xludf.DUMMYFUNCTION("""COMPUTED_VALUE"""),"2026-07-10 17:14:59")</f>
        <v>2026-07-10 17:14:59</v>
      </c>
      <c r="C13" s="4" t="str">
        <f>IFERROR(__xludf.DUMMYFUNCTION("""COMPUTED_VALUE"""),"@postypashki_old")</f>
        <v>@postypashki_old</v>
      </c>
      <c r="D13" s="4" t="str">
        <f>IFERROR(__xludf.DUMMYFUNCTION("""COMPUTED_VALUE"""),"Контент с предложением курсов")</f>
        <v>Контент с предложением курсов</v>
      </c>
      <c r="E13" s="4" t="str">
        <f>IFERROR(__xludf.DUMMYFUNCTION("""COMPUTED_VALUE"""),"Data Science | АВ тестам")</f>
        <v>Data Science | АВ тестам</v>
      </c>
      <c r="F13" s="4" t="str">
        <f>IFERROR(__xludf.DUMMYFUNCTION("""COMPUTED_VALUE"""),"")</f>
        <v/>
      </c>
      <c r="G13" s="4" t="str">
        <f>IFERROR(__xludf.DUMMYFUNCTION("""COMPUTED_VALUE"""),"postypashki_old/1777")</f>
        <v>postypashki_old/1777</v>
      </c>
      <c r="H13" s="4" t="str">
        <f>IFERROR(__xludf.DUMMYFUNCTION("""COMPUTED_VALUE"""),"Слив протокола на Data Science Яндекс
В Яндексе есть несколько видов аналитиков, один из них Data Scientist, который должен разбирать не только в аналитическом стеке (АВ тесты, метрики, дашборды), но и в МЛ стеке.  А наши выпускники не только сейчас акти"&amp;"вно проходят собесы, но и уже давно закрепились в штате и проводят собесы. Поэтому сегодня обсудим протокол проведения собесов на эту специальность. 
1) Как и обычно, каждая секция начинается со вступления - перетягивать не нужно, просто представиться, у"&amp;"точнить, все ли слышно, все ли видно ~ 2 минуты.
2) Разумеется, каждая секция включает в себя знакомство с кандидатом:
       a) Обычно спрашивают про работу (если опыта нет - учебу)
           - что больше всего нравится / не нравится? (например, в рабо"&amp;"те / какие задачи / алгоритмы ML / курсы)
           - какие проблемы возникали - как решались?
           - что полезного удалось сделать? (для себя / мира)
      б) Если область близка - задается короткий вопрос на понимание:
           - как решали так"&amp;"ой-то бизнес-кейс?
           - как модифицировать решение, чтобы оно умело еще то-то?
           - чем обосновывается выбранное решение? оценивалась ли эффективность? как?
3)  Задача на ML-алгоритмический кругозор кандидата + скорость размышлений ~ 25 м"&amp;"ин
     Таймлайны примерно такие:
      a) Формулирование задачи ~5 мин (тут от аналитика ждут обычно то, какие цели оптимизируем (удобство пользователей, удобство магазинов, выручка маркетплейса), какие данные и источники можно использовать, какие сложно"&amp;"сти со сбором/качеством/доступностью данных).
      б) Верхнеуровневый подход к решению ~ 5 мин (описать схему решения с обоснованием, посмотреть в сторону альтернативных вариантов).
      в) Формулы и детали ~ 5 мин (проверяют, насколько кандидат понимае"&amp;"т матчасть и детали ML - обычно просят словами описать целевую функцию и возможные альтернативы (часто маркер:  logloss), как именно будем оптимизировать (градиентный спуск, что означает “взять производную”), как боремся с переобучением (регуляризация и д"&amp;"ругие приёмы), затем просим объяснить механику выбранного метода (градиентный бустинг/бэкпроп/линейная регрессия и т.п.), а если ML слабый - уходим в базу вроде регрессии, k-means или PCA).
      г) АБ-эксперименты, статзначимость ~ 5 мин (тут часто говор"&amp;"ят про базовые принципы и кругозор (оценка качества решения от оффлайна до пользовательских исследований), аккуратно подводят к A/B (если сам не назвал — объясняется принцип), обсуждается как принимать решение по эксперименту (почему нельзя “по первым мом"&amp;"ентам”, нужны статистические оценки), какие бывают тесты (вплоть до Манна–Уитни) и как оценивать риск ошибки/строить доверительные интервалы (если успеваем).
4) Мат-скиллы ~ 20 мин:
     а) Обычно тут хотят посмотреть, как кандидат соображает + рассуждае"&amp;"т, оценить его навыки работы с вероятностью, статистикой, комбинаторикой на практике. (Несложные задачи. Кроме чисто теоретических задач, могут предложить задачи на численный подсчет какой-нибудь вероятности)
5) Заключение и вопросы от кандидата - остато"&amp;"к времени.
Теперь давайте посмотрим на задачи:
Из пункта 3:
Продумать решение для бустинга товаров:
с высокими ставками
с высоким рейтингом
из хороших магазинов
Из пункта 4:
Есть два кубика (красный и синий) и банк, в котором на старте лежит 0 рублей."&amp;"
Перед началом каждого раунда можно выбрать: или забрать банк и уйти (выигрыш будет равен сумме в банке), или кинуть кубики.
Если бросаем кубики, то: если на синем кубике выпадает 1, банк обнуляется и игра заканчивается (т.е. выигрыш равен нулю). Если на "&amp;"синем кубике не 1, то в банк добавляется количество рублей, равное сумме чисел на двух кубиках.
Необходимо придумать стратегию максимизации выигрыша.
Вообще сейчас идет тренд на гибридных специалистов, которые разбираются сразу в нескольких областей. Все"&amp;"му виной активное внедрение ИИ, оптимизации бюджетов внутри компании. Так, например, на аналитика уже недостаточно быть чисто аналитиком - нужно разбираться в МЛ. Аналогично для МЛ недостаточно просто знать классические алгоритмы и писать fit-predict, нуж"&amp;"но копаться в архитектуре, выступать в роли аналитика и так далее - сейчас это базовый минимум. Чтобы идти в ногу со временем и диверсифицироваться, советую осваивать новую или смежную специальность. Для этого советую наши курсы. 
➡️ Записаться
@postypas"&amp;"hki_old")</f>
        <v>Слив протокола на Data Science Яндекс
В Яндексе есть несколько видов аналитиков, один из них Data Scientist, который должен разбирать не только в аналитическом стеке (АВ тесты, метрики, дашборды), но и в МЛ стеке.  А наши выпускники не только сейчас активно проходят собесы, но и уже давно закрепились в штате и проводят собесы. Поэтому сегодня обсудим протокол проведения собесов на эту специальность. 
1) Как и обычно, каждая секция начинается со вступления - перетягивать не нужно, просто представиться, уточнить, все ли слышно, все ли видно ~ 2 минуты.
2) Разумеется, каждая секция включает в себя знакомство с кандидатом:
       a) Обычно спрашивают про работу (если опыта нет - учебу)
           - что больше всего нравится / не нравится? (например, в работе / какие задачи / алгоритмы ML / курсы)
           - какие проблемы возникали - как решались?
           - что полезного удалось сделать? (для себя / мира)
      б) Если область близка - задается короткий вопрос на понимание:
           - как решали такой-то бизнес-кейс?
           - как модифицировать решение, чтобы оно умело еще то-то?
           - чем обосновывается выбранное решение? оценивалась ли эффективность? как?
3)  Задача на ML-алгоритмический кругозор кандидата + скорость размышлений ~ 25 мин
     Таймлайны примерно такие:
      a) Формулирование задачи ~5 мин (тут от аналитика ждут обычно то, какие цели оптимизируем (удобство пользователей, удобство магазинов, выручка маркетплейса), какие данные и источники можно использовать, какие сложности со сбором/качеством/доступностью данных).
      б) Верхнеуровневый подход к решению ~ 5 мин (описать схему решения с обоснованием, посмотреть в сторону альтернативных вариантов).
      в) Формулы и детали ~ 5 мин (проверяют, насколько кандидат понимает матчасть и детали ML - обычно просят словами описать целевую функцию и возможные альтернативы (часто маркер:  logloss), как именно будем оптимизировать (градиентный спуск, что означает “взять производную”), как боремся с переобучением (регуляризация и другие приёмы), затем просим объяснить механику выбранного метода (градиентный бустинг/бэкпроп/линейная регрессия и т.п.), а если ML слабый - уходим в базу вроде регрессии, k-means или PCA).
      г) АБ-эксперименты, статзначимость ~ 5 мин (тут часто говорят про базовые принципы и кругозор (оценка качества решения от оффлайна до пользовательских исследований), аккуратно подводят к A/B (если сам не назвал — объясняется принцип), обсуждается как принимать решение по эксперименту (почему нельзя “по первым моментам”, нужны статистические оценки), какие бывают тесты (вплоть до Манна–Уитни) и как оценивать риск ошибки/строить доверительные интервалы (если успеваем).
4) Мат-скиллы ~ 20 мин:
     а) Обычно тут хотят посмотреть, как кандидат соображает + рассуждает, оценить его навыки работы с вероятностью, статистикой, комбинаторикой на практике. (Несложные задачи. Кроме чисто теоретических задач, могут предложить задачи на численный подсчет какой-нибудь вероятности)
5) Заключение и вопросы от кандидата - остаток времени.
Теперь давайте посмотрим на задачи:
Из пункта 3:
Продумать решение для бустинга товаров:
с высокими ставками
с высоким рейтингом
из хороших магазинов
Из пункта 4:
Есть два кубика (красный и синий) и банк, в котором на старте лежит 0 рублей.
Перед началом каждого раунда можно выбрать: или забрать банк и уйти (выигрыш будет равен сумме в банке), или кинуть кубики.
Если бросаем кубики, то: если на синем кубике выпадает 1, банк обнуляется и игра заканчивается (т.е. выигрыш равен нулю). Если на синем кубике не 1, то в банк добавляется количество рублей, равное сумме чисел на двух кубиках.
Необходимо придумать стратегию максимизации выигрыша.
Вообще сейчас идет тренд на гибридных специалистов, которые разбираются сразу в нескольких областей. Всему виной активное внедрение ИИ, оптимизации бюджетов внутри компании. Так, например, на аналитика уже недостаточно быть чисто аналитиком - нужно разбираться в МЛ. Аналогично для МЛ недостаточно просто знать классические алгоритмы и писать fit-predict, нужно копаться в архитектуре, выступать в роли аналитика и так далее - сейчас это базовый минимум. Чтобы идти в ногу со временем и диверсифицироваться, советую осваивать новую или смежную специальность. Для этого советую наши курсы. 
➡️ Записаться
@postypashki_old</v>
      </c>
      <c r="I13" s="4" t="str">
        <f>IFERROR(__xludf.DUMMYFUNCTION("""COMPUTED_VALUE"""),"internal")</f>
        <v>internal</v>
      </c>
      <c r="J13" s="7" t="str">
        <f>IFERROR(__xludf.DUMMYFUNCTION("""COMPUTED_VALUE"""),"https://t.me/postypashki_old/1777")</f>
        <v>https://t.me/postypashki_old/1777</v>
      </c>
      <c r="K13" s="4">
        <f>IFERROR(__xludf.DUMMYFUNCTION("""COMPUTED_VALUE"""),17600.0)</f>
        <v>17600</v>
      </c>
      <c r="L13" s="4">
        <f>IFERROR(__xludf.DUMMYFUNCTION("""COMPUTED_VALUE"""),30.0)</f>
        <v>30</v>
      </c>
      <c r="M13" s="6" t="str">
        <f>IFERROR(__xludf.DUMMYFUNCTION("""COMPUTED_VALUE"""),"")</f>
        <v/>
      </c>
      <c r="N13" s="4" t="str">
        <f>IFERROR(__xludf.DUMMYFUNCTION("""COMPUTED_VALUE"""),"Telegram")</f>
        <v>Telegram</v>
      </c>
      <c r="O13" s="4" t="str">
        <f>IFERROR(__xludf.DUMMYFUNCTION("""COMPUTED_VALUE"""),"raw")</f>
        <v>raw</v>
      </c>
      <c r="P13" s="4" t="str">
        <f>IFERROR(__xludf.DUMMYFUNCTION("""COMPUTED_VALUE"""),"Codex")</f>
        <v>Codex</v>
      </c>
      <c r="Q13" s="4" t="str">
        <f>IFERROR(__xludf.DUMMYFUNCTION("""COMPUTED_VALUE"""),"Слив протокола на Data Science Яндекс В Яндексе есть несколько видов аналитиков, один из них Data Scientist, который должен разбирать не только в аналитическом стеке (АВ тесты, мет")</f>
        <v>Слив протокола на Data Science Яндекс В Яндексе есть несколько видов аналитиков, один из них Data Scientist, который должен разбирать не только в аналитическом стеке (АВ тесты, мет</v>
      </c>
      <c r="R13" s="4" t="str">
        <f>IFERROR(__xludf.DUMMYFUNCTION("""COMPUTED_VALUE"""),"internal")</f>
        <v>internal</v>
      </c>
      <c r="S13" s="4" t="str">
        <f>IFERROR(__xludf.DUMMYFUNCTION("""COMPUTED_VALUE"""),"unknown")</f>
        <v>unknown</v>
      </c>
      <c r="T13" s="6" t="str">
        <f>IFERROR(__xludf.DUMMYFUNCTION("""COMPUTED_VALUE"""),"telegram_internal")</f>
        <v>telegram_internal</v>
      </c>
      <c r="U13" s="6" t="str">
        <f>IFERROR(__xludf.DUMMYFUNCTION("""COMPUTED_VALUE"""),"Контент с предложением курсов")</f>
        <v>Контент с предложением курсов</v>
      </c>
      <c r="V13" s="6" t="str">
        <f>IFERROR(__xludf.DUMMYFUNCTION("""COMPUTED_VALUE"""),"Предыстория")</f>
        <v>Предыстория</v>
      </c>
      <c r="W13" s="6"/>
      <c r="X13" s="6"/>
      <c r="Y13" s="6" t="str">
        <f>IFERROR(__xludf.DUMMYFUNCTION("""COMPUTED_VALUE"""),"")</f>
        <v/>
      </c>
      <c r="Z13" s="6" t="str">
        <f>IFERROR(__xludf.DUMMYFUNCTION("""COMPUTED_VALUE"""),"")</f>
        <v/>
      </c>
      <c r="AA13" s="6" t="b">
        <f>IFERROR(__xludf.DUMMYFUNCTION("""COMPUTED_VALUE"""),TRUE)</f>
        <v>1</v>
      </c>
      <c r="AB13" s="6" t="b">
        <f>IFERROR(__xludf.DUMMYFUNCTION("""COMPUTED_VALUE"""),FALSE)</f>
        <v>0</v>
      </c>
      <c r="AC13" s="6" t="b">
        <f>IFERROR(__xludf.DUMMYFUNCTION("""COMPUTED_VALUE"""),FALSE)</f>
        <v>0</v>
      </c>
      <c r="AD13" s="6" t="b">
        <f>IFERROR(__xludf.DUMMYFUNCTION("""COMPUTED_VALUE"""),FALSE)</f>
        <v>0</v>
      </c>
      <c r="AE13" s="6"/>
      <c r="AF13" s="6" t="b">
        <f>IFERROR(__xludf.DUMMYFUNCTION("""COMPUTED_VALUE"""),FALSE)</f>
        <v>0</v>
      </c>
      <c r="AG13" s="6" t="str">
        <f>IFERROR(__xludf.DUMMYFUNCTION("""COMPUTED_VALUE"""),"2026-07-10T14:14:59+00:00")</f>
        <v>2026-07-10T14:14:59+00:00</v>
      </c>
      <c r="AH13" s="6" t="str">
        <f>IFERROR(__xludf.DUMMYFUNCTION("""COMPUTED_VALUE"""),"")</f>
        <v/>
      </c>
      <c r="AI13" s="6" t="str">
        <f>IFERROR(__xludf.DUMMYFUNCTION("""COMPUTED_VALUE"""),"#N/A")</f>
        <v>#N/A</v>
      </c>
      <c r="AJ13" s="9" t="s">
        <v>223</v>
      </c>
      <c r="AM13" s="9" t="s">
        <v>226</v>
      </c>
      <c r="AN13" s="4" t="str">
        <f>IFERROR(__xludf.DUMMYFUNCTION("IF(OR(AJ13=""general_brand"",AJ13=""external"",AJ13=""unknown""),"""",IF(AJ13=""product_line"",IF(AK13=""START"",""Аналитика старт | Алгоритмы старт | Backend старт | ML старт"",IF(AK13=""PRO"",""AI-агенты про | Алгоритмы про | Аналитика про | ML про | Ba"&amp;"ckend про"",IF(AK13=""START | PRO"",""Аналитика старт | Алгоритмы старт | Backend старт | ML старт | AI-агенты про | Алгоритмы про | Аналитика про | ML про | Backend про"",""""))),TEXTJOIN("" | "",TRUE,IF(REGEXMATCH(LOWER(AL13&amp;"" | ""&amp;E13),""аналитика ста"&amp;"рт""),""Аналитика старт"",""""),IF(REGEXMATCH(LOWER(AL13&amp;"" | ""&amp;E13),""алгоритмы старт""),""Алгоритмы старт"",""""),IF(REGEXMATCH(LOWER(AL13&amp;"" | ""&amp;E13),""backend старт""),""Backend старт"",""""),IF(REGEXMATCH(LOWER(AL13&amp;"" | ""&amp;E13),""ml старт""),""ML "&amp;"старт"",""""),IF(REGEXMATCH(LOWER(AL13&amp;"" | ""&amp;E13),""ai[ -]?агент""),""AI-агенты про"",""""),IF(REGEXMATCH(LOWER(AL13&amp;"" | ""&amp;E13),""алгоритмы про""),""Алгоритмы про"",""""),IF(REGEXMATCH(LOWER(AL13&amp;"" | ""&amp;E13),""аналитика про""),""Аналитика про"","""")"&amp;",IF(REGEXMATCH(LOWER(AL13&amp;"" | ""&amp;E13),""ml про""),""ML про"",""""),IF(REGEXMATCH(LOWER(AL13&amp;"" | ""&amp;E13),""backend про""),""Backend про"",""""),IF(REGEXMATCH(LOWER(AL13&amp;"" | ""&amp;E13),""(а/в|ав|а в|ab)[ -]?тест""),""А/В-тесты"",""""),IF(REGEXMATCH(LOWER(AL"&amp;"13&amp;"" | ""&amp;E13),""data science""),""Data science"",""""),IF(REGEXMATCH(LOWER(AL13&amp;"" | ""&amp;E13),""data[- ]?инжен""),""Data-инженер"",""""),IF(REGEXMATCH(LOWER(AL13&amp;"" | ""&amp;E13),""frontend""),""Frontend"",""""))))"),"А/В-тесты | Data science")</f>
        <v>А/В-тесты | Data science</v>
      </c>
    </row>
    <row r="14">
      <c r="A14" s="4" t="str">
        <f>IFERROR(__xludf.DUMMYFUNCTION("""COMPUTED_VALUE"""),"INT-1779")</f>
        <v>INT-1779</v>
      </c>
      <c r="B14" s="4" t="str">
        <f>IFERROR(__xludf.DUMMYFUNCTION("""COMPUTED_VALUE"""),"2026-07-11 19:04:20")</f>
        <v>2026-07-11 19:04:20</v>
      </c>
      <c r="C14" s="4" t="str">
        <f>IFERROR(__xludf.DUMMYFUNCTION("""COMPUTED_VALUE"""),"@postypashki_old")</f>
        <v>@postypashki_old</v>
      </c>
      <c r="D14" s="4" t="str">
        <f>IFERROR(__xludf.DUMMYFUNCTION("""COMPUTED_VALUE"""),"Контент с предложением курсов")</f>
        <v>Контент с предложением курсов</v>
      </c>
      <c r="E14" s="4" t="str">
        <f>IFERROR(__xludf.DUMMYFUNCTION("""COMPUTED_VALUE"""),"Аналитика старт | АВ тестам")</f>
        <v>Аналитика старт | АВ тестам</v>
      </c>
      <c r="F14" s="4" t="str">
        <f>IFERROR(__xludf.DUMMYFUNCTION("""COMPUTED_VALUE"""),"")</f>
        <v/>
      </c>
      <c r="G14" s="4" t="str">
        <f>IFERROR(__xludf.DUMMYFUNCTION("""COMPUTED_VALUE"""),"postypashki_old/1779")</f>
        <v>postypashki_old/1779</v>
      </c>
      <c r="H14" s="4" t="str">
        <f>IFERROR(__xludf.DUMMYFUNCTION("""COMPUTED_VALUE"""),"Как получить оффер в аналитике за месяц
Разобрали, как сейчас выглядит вход в аналитику в 2026 году: какие бывают аналитики, кого ищут компании, что должен знать джун и как вообще проходят отборы. Смотрим! Смотрим! 
https://www.youtube.com/watch?v=w5F1C"&amp;"7bFm0Y
Отдельно поговорили про карьерную часть: резюме без опыта, поиск первой работы, собеседования и типовые ошибки новичков.
Если хотите стать увереннее в своих силах, то ждем вас на курсе Аналитике Старт
На курсе будем закрывать всё, что нужно для в"&amp;"ыхода на рынок: SQL, метрики, A/B-тесты, дашборды, задачи с собеседований, пет-проект, резюме и mock-интервью. 
📌Для вопросов и записи на курс напишите менеджеру")</f>
        <v>Как получить оффер в аналитике за месяц
Разобрали, как сейчас выглядит вход в аналитику в 2026 году: какие бывают аналитики, кого ищут компании, что должен знать джун и как вообще проходят отборы. Смотрим! Смотрим! 
https://www.youtube.com/watch?v=w5F1C7bFm0Y
Отдельно поговорили про карьерную часть: резюме без опыта, поиск первой работы, собеседования и типовые ошибки новичков.
Если хотите стать увереннее в своих силах, то ждем вас на курсе Аналитике Старт
На курсе будем закрывать всё, что нужно для выхода на рынок: SQL, метрики, A/B-тесты, дашборды, задачи с собеседований, пет-проект, резюме и mock-интервью. 
📌Для вопросов и записи на курс напишите менеджеру</v>
      </c>
      <c r="I14" s="4" t="str">
        <f>IFERROR(__xludf.DUMMYFUNCTION("""COMPUTED_VALUE"""),"internal")</f>
        <v>internal</v>
      </c>
      <c r="J14" s="7" t="str">
        <f>IFERROR(__xludf.DUMMYFUNCTION("""COMPUTED_VALUE"""),"https://t.me/postypashki_old/1779")</f>
        <v>https://t.me/postypashki_old/1779</v>
      </c>
      <c r="K14" s="4">
        <f>IFERROR(__xludf.DUMMYFUNCTION("""COMPUTED_VALUE"""),16300.0)</f>
        <v>16300</v>
      </c>
      <c r="L14" s="4">
        <f>IFERROR(__xludf.DUMMYFUNCTION("""COMPUTED_VALUE"""),24.0)</f>
        <v>24</v>
      </c>
      <c r="M14" s="6" t="str">
        <f>IFERROR(__xludf.DUMMYFUNCTION("""COMPUTED_VALUE"""),"")</f>
        <v/>
      </c>
      <c r="N14" s="4" t="str">
        <f>IFERROR(__xludf.DUMMYFUNCTION("""COMPUTED_VALUE"""),"Telegram")</f>
        <v>Telegram</v>
      </c>
      <c r="O14" s="4" t="str">
        <f>IFERROR(__xludf.DUMMYFUNCTION("""COMPUTED_VALUE"""),"raw")</f>
        <v>raw</v>
      </c>
      <c r="P14" s="4" t="str">
        <f>IFERROR(__xludf.DUMMYFUNCTION("""COMPUTED_VALUE"""),"Codex")</f>
        <v>Codex</v>
      </c>
      <c r="Q14" s="4" t="str">
        <f>IFERROR(__xludf.DUMMYFUNCTION("""COMPUTED_VALUE"""),"Как получить оффер в аналитике за месяц Разобрали, как сейчас выглядит вход в аналитику в 2026 году: какие бывают аналитики, кого ищут компании, что должен знать джун и как вообще ")</f>
        <v>Как получить оффер в аналитике за месяц Разобрали, как сейчас выглядит вход в аналитику в 2026 году: какие бывают аналитики, кого ищут компании, что должен знать джун и как вообще </v>
      </c>
      <c r="R14" s="4" t="str">
        <f>IFERROR(__xludf.DUMMYFUNCTION("""COMPUTED_VALUE"""),"internal")</f>
        <v>internal</v>
      </c>
      <c r="S14" s="4" t="str">
        <f>IFERROR(__xludf.DUMMYFUNCTION("""COMPUTED_VALUE"""),"unknown")</f>
        <v>unknown</v>
      </c>
      <c r="T14" s="6" t="str">
        <f>IFERROR(__xludf.DUMMYFUNCTION("""COMPUTED_VALUE"""),"telegram_internal")</f>
        <v>telegram_internal</v>
      </c>
      <c r="U14" s="6" t="str">
        <f>IFERROR(__xludf.DUMMYFUNCTION("""COMPUTED_VALUE"""),"Контент с предложением курсов")</f>
        <v>Контент с предложением курсов</v>
      </c>
      <c r="V14" s="6" t="str">
        <f>IFERROR(__xludf.DUMMYFUNCTION("""COMPUTED_VALUE"""),"Предыстория")</f>
        <v>Предыстория</v>
      </c>
      <c r="W14" s="6"/>
      <c r="X14" s="6"/>
      <c r="Y14" s="6" t="str">
        <f>IFERROR(__xludf.DUMMYFUNCTION("""COMPUTED_VALUE"""),"")</f>
        <v/>
      </c>
      <c r="Z14" s="6" t="str">
        <f>IFERROR(__xludf.DUMMYFUNCTION("""COMPUTED_VALUE"""),"")</f>
        <v/>
      </c>
      <c r="AA14" s="6" t="b">
        <f>IFERROR(__xludf.DUMMYFUNCTION("""COMPUTED_VALUE"""),TRUE)</f>
        <v>1</v>
      </c>
      <c r="AB14" s="6" t="b">
        <f>IFERROR(__xludf.DUMMYFUNCTION("""COMPUTED_VALUE"""),FALSE)</f>
        <v>0</v>
      </c>
      <c r="AC14" s="6" t="b">
        <f>IFERROR(__xludf.DUMMYFUNCTION("""COMPUTED_VALUE"""),FALSE)</f>
        <v>0</v>
      </c>
      <c r="AD14" s="6" t="b">
        <f>IFERROR(__xludf.DUMMYFUNCTION("""COMPUTED_VALUE"""),FALSE)</f>
        <v>0</v>
      </c>
      <c r="AE14" s="6"/>
      <c r="AF14" s="6" t="b">
        <f>IFERROR(__xludf.DUMMYFUNCTION("""COMPUTED_VALUE"""),FALSE)</f>
        <v>0</v>
      </c>
      <c r="AG14" s="6" t="str">
        <f>IFERROR(__xludf.DUMMYFUNCTION("""COMPUTED_VALUE"""),"2026-07-11T16:04:20+00:00")</f>
        <v>2026-07-11T16:04:20+00:00</v>
      </c>
      <c r="AH14" s="6" t="str">
        <f>IFERROR(__xludf.DUMMYFUNCTION("""COMPUTED_VALUE"""),"")</f>
        <v/>
      </c>
      <c r="AI14" s="6" t="str">
        <f>IFERROR(__xludf.DUMMYFUNCTION("""COMPUTED_VALUE"""),"#N/A")</f>
        <v>#N/A</v>
      </c>
      <c r="AJ14" s="9" t="s">
        <v>224</v>
      </c>
      <c r="AK14" s="9" t="s">
        <v>213</v>
      </c>
      <c r="AL14" s="4" t="s">
        <v>230</v>
      </c>
      <c r="AM14" s="9" t="s">
        <v>228</v>
      </c>
      <c r="AN14" s="4" t="str">
        <f>IFERROR(__xludf.DUMMYFUNCTION("IF(OR(AJ14=""general_brand"",AJ14=""external"",AJ14=""unknown""),"""",IF(AJ14=""product_line"",IF(AK14=""START"",""Аналитика старт | Алгоритмы старт | Backend старт | ML старт"",IF(AK14=""PRO"",""AI-агенты про | Алгоритмы про | Аналитика про | ML про | Ba"&amp;"ckend про"",IF(AK14=""START | PRO"",""Аналитика старт | Алгоритмы старт | Backend старт | ML старт | AI-агенты про | Алгоритмы про | Аналитика про | ML про | Backend про"",""""))),TEXTJOIN("" | "",TRUE,IF(REGEXMATCH(LOWER(AL14&amp;"" | ""&amp;E14),""аналитика ста"&amp;"рт""),""Аналитика старт"",""""),IF(REGEXMATCH(LOWER(AL14&amp;"" | ""&amp;E14),""алгоритмы старт""),""Алгоритмы старт"",""""),IF(REGEXMATCH(LOWER(AL14&amp;"" | ""&amp;E14),""backend старт""),""Backend старт"",""""),IF(REGEXMATCH(LOWER(AL14&amp;"" | ""&amp;E14),""ml старт""),""ML "&amp;"старт"",""""),IF(REGEXMATCH(LOWER(AL14&amp;"" | ""&amp;E14),""ai[ -]?агент""),""AI-агенты про"",""""),IF(REGEXMATCH(LOWER(AL14&amp;"" | ""&amp;E14),""алгоритмы про""),""Алгоритмы про"",""""),IF(REGEXMATCH(LOWER(AL14&amp;"" | ""&amp;E14),""аналитика про""),""Аналитика про"","""")"&amp;",IF(REGEXMATCH(LOWER(AL14&amp;"" | ""&amp;E14),""ml про""),""ML про"",""""),IF(REGEXMATCH(LOWER(AL14&amp;"" | ""&amp;E14),""backend про""),""Backend про"",""""),IF(REGEXMATCH(LOWER(AL14&amp;"" | ""&amp;E14),""(а/в|ав|а в|ab)[ -]?тест""),""А/В-тесты"",""""),IF(REGEXMATCH(LOWER(AL"&amp;"14&amp;"" | ""&amp;E14),""data science""),""Data science"",""""),IF(REGEXMATCH(LOWER(AL14&amp;"" | ""&amp;E14),""data[- ]?инжен""),""Data-инженер"",""""),IF(REGEXMATCH(LOWER(AL14&amp;"" | ""&amp;E14),""frontend""),""Frontend"",""""))))"),"Аналитика старт | А/В-тесты")</f>
        <v>Аналитика старт | А/В-тесты</v>
      </c>
    </row>
    <row r="15">
      <c r="A15" s="4" t="str">
        <f>IFERROR(__xludf.DUMMYFUNCTION("""COMPUTED_VALUE"""),"INT-1780")</f>
        <v>INT-1780</v>
      </c>
      <c r="B15" s="4" t="str">
        <f>IFERROR(__xludf.DUMMYFUNCTION("""COMPUTED_VALUE"""),"2026-07-11 19:04:31")</f>
        <v>2026-07-11 19:04:31</v>
      </c>
      <c r="C15" s="4" t="str">
        <f>IFERROR(__xludf.DUMMYFUNCTION("""COMPUTED_VALUE"""),"@postypashki_old")</f>
        <v>@postypashki_old</v>
      </c>
      <c r="D15" s="4" t="str">
        <f>IFERROR(__xludf.DUMMYFUNCTION("""COMPUTED_VALUE"""),"Прочий контент")</f>
        <v>Прочий контент</v>
      </c>
      <c r="E15" s="4"/>
      <c r="F15" s="4" t="str">
        <f>IFERROR(__xludf.DUMMYFUNCTION("""COMPUTED_VALUE"""),"")</f>
        <v/>
      </c>
      <c r="G15" s="4" t="str">
        <f>IFERROR(__xludf.DUMMYFUNCTION("""COMPUTED_VALUE"""),"postypashki_old/1780")</f>
        <v>postypashki_old/1780</v>
      </c>
      <c r="H15" s="4"/>
      <c r="I15" s="4" t="str">
        <f>IFERROR(__xludf.DUMMYFUNCTION("""COMPUTED_VALUE"""),"internal")</f>
        <v>internal</v>
      </c>
      <c r="J15" s="7" t="str">
        <f>IFERROR(__xludf.DUMMYFUNCTION("""COMPUTED_VALUE"""),"https://t.me/postypashki_old/1780")</f>
        <v>https://t.me/postypashki_old/1780</v>
      </c>
      <c r="K15" s="4">
        <f>IFERROR(__xludf.DUMMYFUNCTION("""COMPUTED_VALUE"""),14300.0)</f>
        <v>14300</v>
      </c>
      <c r="L15" s="4">
        <f>IFERROR(__xludf.DUMMYFUNCTION("""COMPUTED_VALUE"""),86.0)</f>
        <v>86</v>
      </c>
      <c r="M15" s="6" t="str">
        <f>IFERROR(__xludf.DUMMYFUNCTION("""COMPUTED_VALUE"""),"")</f>
        <v/>
      </c>
      <c r="N15" s="4" t="str">
        <f>IFERROR(__xludf.DUMMYFUNCTION("""COMPUTED_VALUE"""),"Telegram")</f>
        <v>Telegram</v>
      </c>
      <c r="O15" s="4" t="str">
        <f>IFERROR(__xludf.DUMMYFUNCTION("""COMPUTED_VALUE"""),"raw")</f>
        <v>raw</v>
      </c>
      <c r="P15" s="4" t="str">
        <f>IFERROR(__xludf.DUMMYFUNCTION("""COMPUTED_VALUE"""),"Codex")</f>
        <v>Codex</v>
      </c>
      <c r="Q15" s="4" t="str">
        <f>IFERROR(__xludf.DUMMYFUNCTION("""COMPUTED_VALUE"""),"[Медиа без текстовой подписи]")</f>
        <v>[Медиа без текстовой подписи]</v>
      </c>
      <c r="R15" s="4" t="str">
        <f>IFERROR(__xludf.DUMMYFUNCTION("""COMPUTED_VALUE"""),"internal")</f>
        <v>internal</v>
      </c>
      <c r="S15" s="4" t="str">
        <f>IFERROR(__xludf.DUMMYFUNCTION("""COMPUTED_VALUE"""),"unknown")</f>
        <v>unknown</v>
      </c>
      <c r="T15" s="6" t="str">
        <f>IFERROR(__xludf.DUMMYFUNCTION("""COMPUTED_VALUE"""),"telegram_internal")</f>
        <v>telegram_internal</v>
      </c>
      <c r="U15" s="6" t="str">
        <f>IFERROR(__xludf.DUMMYFUNCTION("""COMPUTED_VALUE"""),"Прочий контент")</f>
        <v>Прочий контент</v>
      </c>
      <c r="V15" s="6" t="str">
        <f>IFERROR(__xludf.DUMMYFUNCTION("""COMPUTED_VALUE"""),"Предыстория")</f>
        <v>Предыстория</v>
      </c>
      <c r="W15" s="6" t="str">
        <f>IFERROR(__xludf.DUMMYFUNCTION("""COMPUTED_VALUE"""),"Видео")</f>
        <v>Видео</v>
      </c>
      <c r="X15" s="6"/>
      <c r="Y15" s="6" t="str">
        <f>IFERROR(__xludf.DUMMYFUNCTION("""COMPUTED_VALUE"""),"")</f>
        <v/>
      </c>
      <c r="Z15" s="6" t="str">
        <f>IFERROR(__xludf.DUMMYFUNCTION("""COMPUTED_VALUE"""),"")</f>
        <v/>
      </c>
      <c r="AA15" s="6" t="b">
        <f>IFERROR(__xludf.DUMMYFUNCTION("""COMPUTED_VALUE"""),FALSE)</f>
        <v>0</v>
      </c>
      <c r="AB15" s="6" t="b">
        <f>IFERROR(__xludf.DUMMYFUNCTION("""COMPUTED_VALUE"""),FALSE)</f>
        <v>0</v>
      </c>
      <c r="AC15" s="6" t="b">
        <f>IFERROR(__xludf.DUMMYFUNCTION("""COMPUTED_VALUE"""),FALSE)</f>
        <v>0</v>
      </c>
      <c r="AD15" s="6" t="b">
        <f>IFERROR(__xludf.DUMMYFUNCTION("""COMPUTED_VALUE"""),FALSE)</f>
        <v>0</v>
      </c>
      <c r="AE15" s="6"/>
      <c r="AF15" s="6" t="b">
        <f>IFERROR(__xludf.DUMMYFUNCTION("""COMPUTED_VALUE"""),FALSE)</f>
        <v>0</v>
      </c>
      <c r="AG15" s="6" t="str">
        <f>IFERROR(__xludf.DUMMYFUNCTION("""COMPUTED_VALUE"""),"2026-07-11T16:04:31+00:00")</f>
        <v>2026-07-11T16:04:31+00:00</v>
      </c>
      <c r="AH15" s="6" t="str">
        <f>IFERROR(__xludf.DUMMYFUNCTION("""COMPUTED_VALUE"""),"")</f>
        <v/>
      </c>
      <c r="AI15" s="6" t="str">
        <f>IFERROR(__xludf.DUMMYFUNCTION("""COMPUTED_VALUE"""),"#N/A")</f>
        <v>#N/A</v>
      </c>
      <c r="AJ15" s="9" t="s">
        <v>208</v>
      </c>
      <c r="AM15" s="9" t="s">
        <v>229</v>
      </c>
      <c r="AN15" s="6" t="str">
        <f>IFERROR(__xludf.DUMMYFUNCTION("IF(OR(AJ15=""general_brand"",AJ15=""external"",AJ15=""unknown""),"""",IF(AJ15=""product_line"",IF(AK15=""START"",""Аналитика старт | Алгоритмы старт | Backend старт | ML старт"",IF(AK15=""PRO"",""AI-агенты про | Алгоритмы про | Аналитика про | ML про | Ba"&amp;"ckend про"",IF(AK15=""START | PRO"",""Аналитика старт | Алгоритмы старт | Backend старт | ML старт | AI-агенты про | Алгоритмы про | Аналитика про | ML про | Backend про"",""""))),TEXTJOIN("" | "",TRUE,IF(REGEXMATCH(LOWER(AL15&amp;"" | ""&amp;E15),""аналитика ста"&amp;"рт""),""Аналитика старт"",""""),IF(REGEXMATCH(LOWER(AL15&amp;"" | ""&amp;E15),""алгоритмы старт""),""Алгоритмы старт"",""""),IF(REGEXMATCH(LOWER(AL15&amp;"" | ""&amp;E15),""backend старт""),""Backend старт"",""""),IF(REGEXMATCH(LOWER(AL15&amp;"" | ""&amp;E15),""ml старт""),""ML "&amp;"старт"",""""),IF(REGEXMATCH(LOWER(AL15&amp;"" | ""&amp;E15),""ai[ -]?агент""),""AI-агенты про"",""""),IF(REGEXMATCH(LOWER(AL15&amp;"" | ""&amp;E15),""алгоритмы про""),""Алгоритмы про"",""""),IF(REGEXMATCH(LOWER(AL15&amp;"" | ""&amp;E15),""аналитика про""),""Аналитика про"","""")"&amp;",IF(REGEXMATCH(LOWER(AL15&amp;"" | ""&amp;E15),""ml про""),""ML про"",""""),IF(REGEXMATCH(LOWER(AL15&amp;"" | ""&amp;E15),""backend про""),""Backend про"",""""),IF(REGEXMATCH(LOWER(AL15&amp;"" | ""&amp;E15),""(а/в|ав|а в|ab)[ -]?тест""),""А/В-тесты"",""""),IF(REGEXMATCH(LOWER(AL"&amp;"15&amp;"" | ""&amp;E15),""data science""),""Data science"",""""),IF(REGEXMATCH(LOWER(AL15&amp;"" | ""&amp;E15),""data[- ]?инжен""),""Data-инженер"",""""),IF(REGEXMATCH(LOWER(AL15&amp;"" | ""&amp;E15),""frontend""),""Frontend"",""""))))"),"")</f>
        <v/>
      </c>
    </row>
    <row r="16">
      <c r="A16" s="4" t="str">
        <f>IFERROR(__xludf.DUMMYFUNCTION("""COMPUTED_VALUE"""),"INT-1782")</f>
        <v>INT-1782</v>
      </c>
      <c r="B16" s="4" t="str">
        <f>IFERROR(__xludf.DUMMYFUNCTION("""COMPUTED_VALUE"""),"2026-07-11 20:39:51")</f>
        <v>2026-07-11 20:39:51</v>
      </c>
      <c r="C16" s="4" t="str">
        <f>IFERROR(__xludf.DUMMYFUNCTION("""COMPUTED_VALUE"""),"@postypashki_old")</f>
        <v>@postypashki_old</v>
      </c>
      <c r="D16" s="4" t="str">
        <f>IFERROR(__xludf.DUMMYFUNCTION("""COMPUTED_VALUE"""),"Бесплатное событие / лид-магнит")</f>
        <v>Бесплатное событие / лид-магнит</v>
      </c>
      <c r="E16" s="4"/>
      <c r="F16" s="4" t="str">
        <f>IFERROR(__xludf.DUMMYFUNCTION("""COMPUTED_VALUE"""),"")</f>
        <v/>
      </c>
      <c r="G16" s="4" t="str">
        <f>IFERROR(__xludf.DUMMYFUNCTION("""COMPUTED_VALUE"""),"postypashki_old/1782")</f>
        <v>postypashki_old/1782</v>
      </c>
      <c r="H16" s="4" t="str">
        <f>IFERROR(__xludf.DUMMYFUNCTION("""COMPUTED_VALUE"""),"Какие бэкендеров будут нарасхват в эпоху ИИ
Этим вопросом зададутся все ребята-бэкендеры, которые не придут на наш завтрашний вебинар по бэкенду. Ведь тревога от заголовков ""Бэкендеры не нужны"", ""Всех заменит ИИ"" становится невыносимой. Но в посте да"&amp;"дим конкретный план действий, чтобы не трапезничать через год с бездомными на помоечке. 
Сам я за последний год всё чаще замечаю одну и ту же историю. Разработчики не меняют профессию, а постепенно обрастают смежными навыками - кто-то начинает заниматься"&amp;" CI/CD, кто-то инфраструктурой. Раньше разработчику было достаточно писать хороший код. Сейчас этого уже недостаточно. Нейронки забирают часть рутины, поэтому всё больше ценится умение понимать не только код, но и инфраструктуру, деплой, тестирование и пр"&amp;"оцессы вокруг разработки. Так за последние полгода двое выпускников ушли из обычных разрабов: один в MLOps, другой вообще устроился Platform-инженером. Как приятный бонус - почти у всех выросла зп, а задачи стали заметно разнообразнее. Но как вообще к это"&amp;"му приходят? На рынке это относительно новые позиции, и не до конца понятно, как туда залезть.
Расскажу на опыте одного выпускника. Сейчас он переписывает CRM-ку с нуля - с ангуляра на реакт, попутно меняет дизайн и функционал под нового заказчика. Он ед"&amp;"инственный разработчик в команде - бэк решили особо не трогать, поэтому бэкендера на полную ставку не выделили. И вот параллельно с фичами он настраивает CI/CD: сборка, линтеры, деплой на стенды. Никто его девопсом не назначал - просто появился проект, па"&amp;"йплайн нужно было кому-то пилить, а кроме него некому.
И вот тут самое интересное. Год назад он бы закопался в эти конфиги на недели: читал бы доки, гуглил ошибки, тыкался вслепую. Сейчас схема другая. Он особо никогда не вдавался в тонкости работы систе"&amp;"м контроля версий, просто пушил и создавал пр, остальное за него взрослые дяди придумали, а тут проект в Azure DevOps, новая среда, так еще и все настраивать на нем. И случилась такая история, что стейджи не цеплялись друг за друга - пайплайн просто не ви"&amp;"дел зависимости между ними. Скинул конфиг нейронке, объяснил что хочет получить. Она сразу показала, что он не прописал dependsOn в нужном месте, и объяснила почему - не просто пофиксила, а разжевала логику. С первого раза сработало. По сути нейронка рабо"&amp;"тает как очень терпеливый старший коллега, который объясняет как для идиота и не осуждает при этом. 
Порог входа в соседнюю ветку реально упал - то, на что раньше уходил месяц вникания, сейчас укладывается в несколько вечеров.
По сути он уже сделал перв"&amp;"ый шаг в сторону Platform/DevOps-задач, и в дальнейшем сможет в этой сфере расти. И, как оказалось, это вообще не уникальная история. На хабре и реддите таких историй много, не буду пересказывать, без труда найдете. 
Это и есть T-shaped: глубина в своей "&amp;"специальности плюс ветки вширь. Причём часть веток сейчас прокачивается пассивно. Проверяешь код, который написала нейронка - начинаешь лучше замечать ошибки и архитектурные проблемы. Разбираешься, почему этот код нельзя сразу отправлять в прод - постепен"&amp;"но понимаешь вопросы безопасности, производительности и инфраструктуры.
И стык «умею в разработку + шарю за безопасность ИИ-кода» - ровно те позиции, которые рынок сейчас ждёт. И спрос структурный, не хайп: Gartner прогнозировал, что к 2026 году 80% круп"&amp;"ных инженерных организаций заведут платформенные команды - и это уже становится нормой. Заполнять их будут разработчиками со знанием инфры, а таких мало.
Вывод простой. Не надо никуда перекатываться с обнулением. Смотри, какие задачи уже появляются рядом"&amp;" с тобой: пайплайн, инфраструктура, автоматизация, ревью кода нейронки. Берись за одну-две из них - и через год можешь обнаружить, что ты уже не просто разработчик, а какой-нибудь условный FrontOps, Platform-инженер или MLOps. Именно сочетание разработки "&amp;"со смежными навыками становится одним из самых сильных конкурентных преимуществ в эпоху ИИ - это уже сейчас видно по новым предложениям на рынке.
Еще больше инсайдов и лайфхаков будет на нашем завтрашнем вебинаре в 12:00 по бэкенду, приходите!
@postypas"&amp;"hki_old")</f>
        <v>Какие бэкендеров будут нарасхват в эпоху ИИ
Этим вопросом зададутся все ребята-бэкендеры, которые не придут на наш завтрашний вебинар по бэкенду. Ведь тревога от заголовков "Бэкендеры не нужны", "Всех заменит ИИ" становится невыносимой. Но в посте дадим конкретный план действий, чтобы не трапезничать через год с бездомными на помоечке. 
Сам я за последний год всё чаще замечаю одну и ту же историю. Разработчики не меняют профессию, а постепенно обрастают смежными навыками - кто-то начинает заниматься CI/CD, кто-то инфраструктурой. Раньше разработчику было достаточно писать хороший код. Сейчас этого уже недостаточно. Нейронки забирают часть рутины, поэтому всё больше ценится умение понимать не только код, но и инфраструктуру, деплой, тестирование и процессы вокруг разработки. Так за последние полгода двое выпускников ушли из обычных разрабов: один в MLOps, другой вообще устроился Platform-инженером. Как приятный бонус - почти у всех выросла зп, а задачи стали заметно разнообразнее. Но как вообще к этому приходят? На рынке это относительно новые позиции, и не до конца понятно, как туда залезть.
Расскажу на опыте одного выпускника. Сейчас он переписывает CRM-ку с нуля - с ангуляра на реакт, попутно меняет дизайн и функционал под нового заказчика. Он единственный разработчик в команде - бэк решили особо не трогать, поэтому бэкендера на полную ставку не выделили. И вот параллельно с фичами он настраивает CI/CD: сборка, линтеры, деплой на стенды. Никто его девопсом не назначал - просто появился проект, пайплайн нужно было кому-то пилить, а кроме него некому.
И вот тут самое интересное. Год назад он бы закопался в эти конфиги на недели: читал бы доки, гуглил ошибки, тыкался вслепую. Сейчас схема другая. Он особо никогда не вдавался в тонкости работы систем контроля версий, просто пушил и создавал пр, остальное за него взрослые дяди придумали, а тут проект в Azure DevOps, новая среда, так еще и все настраивать на нем. И случилась такая история, что стейджи не цеплялись друг за друга - пайплайн просто не видел зависимости между ними. Скинул конфиг нейронке, объяснил что хочет получить. Она сразу показала, что он не прописал dependsOn в нужном месте, и объяснила почему - не просто пофиксила, а разжевала логику. С первого раза сработало. По сути нейронка работает как очень терпеливый старший коллега, который объясняет как для идиота и не осуждает при этом. 
Порог входа в соседнюю ветку реально упал - то, на что раньше уходил месяц вникания, сейчас укладывается в несколько вечеров.
По сути он уже сделал первый шаг в сторону Platform/DevOps-задач, и в дальнейшем сможет в этой сфере расти. И, как оказалось, это вообще не уникальная история. На хабре и реддите таких историй много, не буду пересказывать, без труда найдете. 
Это и есть T-shaped: глубина в своей специальности плюс ветки вширь. Причём часть веток сейчас прокачивается пассивно. Проверяешь код, который написала нейронка - начинаешь лучше замечать ошибки и архитектурные проблемы. Разбираешься, почему этот код нельзя сразу отправлять в прод - постепенно понимаешь вопросы безопасности, производительности и инфраструктуры.
И стык «умею в разработку + шарю за безопасность ИИ-кода» - ровно те позиции, которые рынок сейчас ждёт. И спрос структурный, не хайп: Gartner прогнозировал, что к 2026 году 80% крупных инженерных организаций заведут платформенные команды - и это уже становится нормой. Заполнять их будут разработчиками со знанием инфры, а таких мало.
Вывод простой. Не надо никуда перекатываться с обнулением. Смотри, какие задачи уже появляются рядом с тобой: пайплайн, инфраструктура, автоматизация, ревью кода нейронки. Берись за одну-две из них - и через год можешь обнаружить, что ты уже не просто разработчик, а какой-нибудь условный FrontOps, Platform-инженер или MLOps. Именно сочетание разработки со смежными навыками становится одним из самых сильных конкурентных преимуществ в эпоху ИИ - это уже сейчас видно по новым предложениям на рынке.
Еще больше инсайдов и лайфхаков будет на нашем завтрашнем вебинаре в 12:00 по бэкенду, приходите!
@postypashki_old</v>
      </c>
      <c r="I16" s="4" t="str">
        <f>IFERROR(__xludf.DUMMYFUNCTION("""COMPUTED_VALUE"""),"internal")</f>
        <v>internal</v>
      </c>
      <c r="J16" s="7" t="str">
        <f>IFERROR(__xludf.DUMMYFUNCTION("""COMPUTED_VALUE"""),"https://t.me/postypashki_old/1782")</f>
        <v>https://t.me/postypashki_old/1782</v>
      </c>
      <c r="K16" s="4">
        <f>IFERROR(__xludf.DUMMYFUNCTION("""COMPUTED_VALUE"""),16900.0)</f>
        <v>16900</v>
      </c>
      <c r="L16" s="4">
        <f>IFERROR(__xludf.DUMMYFUNCTION("""COMPUTED_VALUE"""),106.0)</f>
        <v>106</v>
      </c>
      <c r="M16" s="6" t="str">
        <f>IFERROR(__xludf.DUMMYFUNCTION("""COMPUTED_VALUE"""),"")</f>
        <v/>
      </c>
      <c r="N16" s="4" t="str">
        <f>IFERROR(__xludf.DUMMYFUNCTION("""COMPUTED_VALUE"""),"Telegram")</f>
        <v>Telegram</v>
      </c>
      <c r="O16" s="4" t="str">
        <f>IFERROR(__xludf.DUMMYFUNCTION("""COMPUTED_VALUE"""),"raw")</f>
        <v>raw</v>
      </c>
      <c r="P16" s="4" t="str">
        <f>IFERROR(__xludf.DUMMYFUNCTION("""COMPUTED_VALUE"""),"Codex")</f>
        <v>Codex</v>
      </c>
      <c r="Q16" s="4" t="str">
        <f>IFERROR(__xludf.DUMMYFUNCTION("""COMPUTED_VALUE"""),"Какие бэкендеров будут нарасхват в эпоху ИИ Этим вопросом зададутся все ребята-бэкендеры, которые не придут на наш завтрашний вебинар по бэкенду. Ведь тревога от заголовков ""Бэкенд")</f>
        <v>Какие бэкендеров будут нарасхват в эпоху ИИ Этим вопросом зададутся все ребята-бэкендеры, которые не придут на наш завтрашний вебинар по бэкенду. Ведь тревога от заголовков "Бэкенд</v>
      </c>
      <c r="R16" s="4" t="str">
        <f>IFERROR(__xludf.DUMMYFUNCTION("""COMPUTED_VALUE"""),"internal")</f>
        <v>internal</v>
      </c>
      <c r="S16" s="4" t="str">
        <f>IFERROR(__xludf.DUMMYFUNCTION("""COMPUTED_VALUE"""),"unknown")</f>
        <v>unknown</v>
      </c>
      <c r="T16" s="6" t="str">
        <f>IFERROR(__xludf.DUMMYFUNCTION("""COMPUTED_VALUE"""),"telegram_internal")</f>
        <v>telegram_internal</v>
      </c>
      <c r="U16" s="6" t="str">
        <f>IFERROR(__xludf.DUMMYFUNCTION("""COMPUTED_VALUE"""),"Бесплатное событие / лид-магнит")</f>
        <v>Бесплатное событие / лид-магнит</v>
      </c>
      <c r="V16" s="6" t="str">
        <f>IFERROR(__xludf.DUMMYFUNCTION("""COMPUTED_VALUE"""),"Предыстория")</f>
        <v>Предыстория</v>
      </c>
      <c r="W16" s="6"/>
      <c r="X16" s="6"/>
      <c r="Y16" s="6" t="str">
        <f>IFERROR(__xludf.DUMMYFUNCTION("""COMPUTED_VALUE"""),"")</f>
        <v/>
      </c>
      <c r="Z16" s="6" t="str">
        <f>IFERROR(__xludf.DUMMYFUNCTION("""COMPUTED_VALUE"""),"")</f>
        <v/>
      </c>
      <c r="AA16" s="6" t="b">
        <f>IFERROR(__xludf.DUMMYFUNCTION("""COMPUTED_VALUE"""),FALSE)</f>
        <v>0</v>
      </c>
      <c r="AB16" s="6" t="b">
        <f>IFERROR(__xludf.DUMMYFUNCTION("""COMPUTED_VALUE"""),FALSE)</f>
        <v>0</v>
      </c>
      <c r="AC16" s="6" t="b">
        <f>IFERROR(__xludf.DUMMYFUNCTION("""COMPUTED_VALUE"""),FALSE)</f>
        <v>0</v>
      </c>
      <c r="AD16" s="6" t="b">
        <f>IFERROR(__xludf.DUMMYFUNCTION("""COMPUTED_VALUE"""),FALSE)</f>
        <v>0</v>
      </c>
      <c r="AE16" s="6"/>
      <c r="AF16" s="6" t="b">
        <f>IFERROR(__xludf.DUMMYFUNCTION("""COMPUTED_VALUE"""),FALSE)</f>
        <v>0</v>
      </c>
      <c r="AG16" s="6" t="str">
        <f>IFERROR(__xludf.DUMMYFUNCTION("""COMPUTED_VALUE"""),"2026-07-11T17:39:51+00:00")</f>
        <v>2026-07-11T17:39:51+00:00</v>
      </c>
      <c r="AH16" s="6" t="str">
        <f>IFERROR(__xludf.DUMMYFUNCTION("""COMPUTED_VALUE"""),"")</f>
        <v/>
      </c>
      <c r="AI16" s="6" t="str">
        <f>IFERROR(__xludf.DUMMYFUNCTION("""COMPUTED_VALUE"""),"#N/A")</f>
        <v>#N/A</v>
      </c>
      <c r="AJ16" s="9" t="s">
        <v>208</v>
      </c>
      <c r="AM16" s="9" t="s">
        <v>231</v>
      </c>
      <c r="AN16" s="6" t="str">
        <f>IFERROR(__xludf.DUMMYFUNCTION("IF(OR(AJ16=""general_brand"",AJ16=""external"",AJ16=""unknown""),"""",IF(AJ16=""product_line"",IF(AK16=""START"",""Аналитика старт | Алгоритмы старт | Backend старт | ML старт"",IF(AK16=""PRO"",""AI-агенты про | Алгоритмы про | Аналитика про | ML про | Ba"&amp;"ckend про"",IF(AK16=""START | PRO"",""Аналитика старт | Алгоритмы старт | Backend старт | ML старт | AI-агенты про | Алгоритмы про | Аналитика про | ML про | Backend про"",""""))),TEXTJOIN("" | "",TRUE,IF(REGEXMATCH(LOWER(AL16&amp;"" | ""&amp;E16),""аналитика ста"&amp;"рт""),""Аналитика старт"",""""),IF(REGEXMATCH(LOWER(AL16&amp;"" | ""&amp;E16),""алгоритмы старт""),""Алгоритмы старт"",""""),IF(REGEXMATCH(LOWER(AL16&amp;"" | ""&amp;E16),""backend старт""),""Backend старт"",""""),IF(REGEXMATCH(LOWER(AL16&amp;"" | ""&amp;E16),""ml старт""),""ML "&amp;"старт"",""""),IF(REGEXMATCH(LOWER(AL16&amp;"" | ""&amp;E16),""ai[ -]?агент""),""AI-агенты про"",""""),IF(REGEXMATCH(LOWER(AL16&amp;"" | ""&amp;E16),""алгоритмы про""),""Алгоритмы про"",""""),IF(REGEXMATCH(LOWER(AL16&amp;"" | ""&amp;E16),""аналитика про""),""Аналитика про"","""")"&amp;",IF(REGEXMATCH(LOWER(AL16&amp;"" | ""&amp;E16),""ml про""),""ML про"",""""),IF(REGEXMATCH(LOWER(AL16&amp;"" | ""&amp;E16),""backend про""),""Backend про"",""""),IF(REGEXMATCH(LOWER(AL16&amp;"" | ""&amp;E16),""(а/в|ав|а в|ab)[ -]?тест""),""А/В-тесты"",""""),IF(REGEXMATCH(LOWER(AL"&amp;"16&amp;"" | ""&amp;E16),""data science""),""Data science"",""""),IF(REGEXMATCH(LOWER(AL16&amp;"" | ""&amp;E16),""data[- ]?инжен""),""Data-инженер"",""""),IF(REGEXMATCH(LOWER(AL16&amp;"" | ""&amp;E16),""frontend""),""Frontend"",""""))))"),"")</f>
        <v/>
      </c>
    </row>
    <row r="17">
      <c r="A17" s="4" t="str">
        <f>IFERROR(__xludf.DUMMYFUNCTION("""COMPUTED_VALUE"""),"INT-1784")</f>
        <v>INT-1784</v>
      </c>
      <c r="B17" s="4" t="str">
        <f>IFERROR(__xludf.DUMMYFUNCTION("""COMPUTED_VALUE"""),"2026-07-12 16:49:28")</f>
        <v>2026-07-12 16:49:28</v>
      </c>
      <c r="C17" s="4" t="str">
        <f>IFERROR(__xludf.DUMMYFUNCTION("""COMPUTED_VALUE"""),"@postypashki_old")</f>
        <v>@postypashki_old</v>
      </c>
      <c r="D17" s="4" t="str">
        <f>IFERROR(__xludf.DUMMYFUNCTION("""COMPUTED_VALUE"""),"Промо со скидкой")</f>
        <v>Промо со скидкой</v>
      </c>
      <c r="E17" s="4" t="str">
        <f>IFERROR(__xludf.DUMMYFUNCTION("""COMPUTED_VALUE"""),"Backend старт")</f>
        <v>Backend старт</v>
      </c>
      <c r="F17" s="4" t="str">
        <f>IFERROR(__xludf.DUMMYFUNCTION("""COMPUTED_VALUE"""),"")</f>
        <v/>
      </c>
      <c r="G17" s="4" t="str">
        <f>IFERROR(__xludf.DUMMYFUNCTION("""COMPUTED_VALUE"""),"postypashki_old/1784")</f>
        <v>postypashki_old/1784</v>
      </c>
      <c r="H17" s="4" t="str">
        <f>IFERROR(__xludf.DUMMYFUNCTION("""COMPUTED_VALUE"""),"Запись вебинара по backend уже выложена 
Товарищи, если пропустили вебинар — запись уже доступна. Смотрим! Смотрим!
https://www.youtube.com/watch?v=I8W1-pFN9zw
Вебинар вёл Павел, старший разработчик Яндекса и преподаватель курса Backend Start. А ещё к н"&amp;"ам заглянул Михаил Абрамович, чтобы поддержать вебинар и пообщаться с аудиторией. 
Получился честный разговор про backend в 2026 году: какие специальности и роли заменит ИИ, как пробиться в джуны на текущем рынке. 
Ждем всех начинающих разработчиков на "&amp;"курсе, чтобы получить всю базу за 6 недель и начать уверенно проходить интервью. В видео спрятан промокод со скидкой на курс, смотрим внимательно!
📌Для вопросов и записи на курс напишите менеджеру.")</f>
        <v>Запись вебинара по backend уже выложена 
Товарищи, если пропустили вебинар — запись уже доступна. Смотрим! Смотрим!
https://www.youtube.com/watch?v=I8W1-pFN9zw
Вебинар вёл Павел, старший разработчик Яндекса и преподаватель курса Backend Start. А ещё к нам заглянул Михаил Абрамович, чтобы поддержать вебинар и пообщаться с аудиторией. 
Получился честный разговор про backend в 2026 году: какие специальности и роли заменит ИИ, как пробиться в джуны на текущем рынке. 
Ждем всех начинающих разработчиков на курсе, чтобы получить всю базу за 6 недель и начать уверенно проходить интервью. В видео спрятан промокод со скидкой на курс, смотрим внимательно!
📌Для вопросов и записи на курс напишите менеджеру.</v>
      </c>
      <c r="I17" s="4" t="str">
        <f>IFERROR(__xludf.DUMMYFUNCTION("""COMPUTED_VALUE"""),"internal")</f>
        <v>internal</v>
      </c>
      <c r="J17" s="7" t="str">
        <f>IFERROR(__xludf.DUMMYFUNCTION("""COMPUTED_VALUE"""),"https://t.me/postypashki_old/1784")</f>
        <v>https://t.me/postypashki_old/1784</v>
      </c>
      <c r="K17" s="4">
        <f>IFERROR(__xludf.DUMMYFUNCTION("""COMPUTED_VALUE"""),17200.0)</f>
        <v>17200</v>
      </c>
      <c r="L17" s="6">
        <f>IFERROR(__xludf.DUMMYFUNCTION("""COMPUTED_VALUE"""),20.0)</f>
        <v>20</v>
      </c>
      <c r="M17" s="6" t="str">
        <f>IFERROR(__xludf.DUMMYFUNCTION("""COMPUTED_VALUE"""),"")</f>
        <v/>
      </c>
      <c r="N17" s="4" t="str">
        <f>IFERROR(__xludf.DUMMYFUNCTION("""COMPUTED_VALUE"""),"Telegram")</f>
        <v>Telegram</v>
      </c>
      <c r="O17" s="4" t="str">
        <f>IFERROR(__xludf.DUMMYFUNCTION("""COMPUTED_VALUE"""),"raw")</f>
        <v>raw</v>
      </c>
      <c r="P17" s="4" t="str">
        <f>IFERROR(__xludf.DUMMYFUNCTION("""COMPUTED_VALUE"""),"Codex")</f>
        <v>Codex</v>
      </c>
      <c r="Q17" s="4" t="str">
        <f>IFERROR(__xludf.DUMMYFUNCTION("""COMPUTED_VALUE"""),"Запись вебинара по backend уже выложена Товарищи, если пропустили вебинар — запись уже доступна. Смотрим! Смотрим! https://www.youtube.com/watch?v=I8W1-pFN9zw Вебинар вёл Павел, ст")</f>
        <v>Запись вебинара по backend уже выложена Товарищи, если пропустили вебинар — запись уже доступна. Смотрим! Смотрим! https://www.youtube.com/watch?v=I8W1-pFN9zw Вебинар вёл Павел, ст</v>
      </c>
      <c r="R17" s="4" t="str">
        <f>IFERROR(__xludf.DUMMYFUNCTION("""COMPUTED_VALUE"""),"internal")</f>
        <v>internal</v>
      </c>
      <c r="S17" s="4" t="str">
        <f>IFERROR(__xludf.DUMMYFUNCTION("""COMPUTED_VALUE"""),"unknown")</f>
        <v>unknown</v>
      </c>
      <c r="T17" s="6" t="str">
        <f>IFERROR(__xludf.DUMMYFUNCTION("""COMPUTED_VALUE"""),"telegram_internal")</f>
        <v>telegram_internal</v>
      </c>
      <c r="U17" s="6" t="str">
        <f>IFERROR(__xludf.DUMMYFUNCTION("""COMPUTED_VALUE"""),"Промо со скидкой")</f>
        <v>Промо со скидкой</v>
      </c>
      <c r="V17" s="6" t="str">
        <f>IFERROR(__xludf.DUMMYFUNCTION("""COMPUTED_VALUE"""),"Предыстория")</f>
        <v>Предыстория</v>
      </c>
      <c r="W17" s="6"/>
      <c r="X17" s="6"/>
      <c r="Y17" s="6" t="str">
        <f>IFERROR(__xludf.DUMMYFUNCTION("""COMPUTED_VALUE"""),"")</f>
        <v/>
      </c>
      <c r="Z17" s="6" t="str">
        <f>IFERROR(__xludf.DUMMYFUNCTION("""COMPUTED_VALUE"""),"")</f>
        <v/>
      </c>
      <c r="AA17" s="6" t="b">
        <f>IFERROR(__xludf.DUMMYFUNCTION("""COMPUTED_VALUE"""),TRUE)</f>
        <v>1</v>
      </c>
      <c r="AB17" s="6" t="b">
        <f>IFERROR(__xludf.DUMMYFUNCTION("""COMPUTED_VALUE"""),TRUE)</f>
        <v>1</v>
      </c>
      <c r="AC17" s="6" t="b">
        <f>IFERROR(__xludf.DUMMYFUNCTION("""COMPUTED_VALUE"""),FALSE)</f>
        <v>0</v>
      </c>
      <c r="AD17" s="6" t="b">
        <f>IFERROR(__xludf.DUMMYFUNCTION("""COMPUTED_VALUE"""),FALSE)</f>
        <v>0</v>
      </c>
      <c r="AE17" s="6"/>
      <c r="AF17" s="6" t="b">
        <f>IFERROR(__xludf.DUMMYFUNCTION("""COMPUTED_VALUE"""),FALSE)</f>
        <v>0</v>
      </c>
      <c r="AG17" s="6" t="str">
        <f>IFERROR(__xludf.DUMMYFUNCTION("""COMPUTED_VALUE"""),"2026-07-12T13:49:28+00:00")</f>
        <v>2026-07-12T13:49:28+00:00</v>
      </c>
      <c r="AH17" s="6" t="str">
        <f>IFERROR(__xludf.DUMMYFUNCTION("""COMPUTED_VALUE"""),"")</f>
        <v/>
      </c>
      <c r="AI17" s="6" t="str">
        <f>IFERROR(__xludf.DUMMYFUNCTION("""COMPUTED_VALUE"""),"#N/A")</f>
        <v>#N/A</v>
      </c>
      <c r="AJ17" s="9" t="s">
        <v>224</v>
      </c>
      <c r="AK17" s="9" t="s">
        <v>213</v>
      </c>
      <c r="AL17" s="4" t="s">
        <v>232</v>
      </c>
      <c r="AM17" s="9" t="s">
        <v>231</v>
      </c>
      <c r="AN17" s="4" t="str">
        <f>IFERROR(__xludf.DUMMYFUNCTION("IF(OR(AJ17=""general_brand"",AJ17=""external"",AJ17=""unknown""),"""",IF(AJ17=""product_line"",IF(AK17=""START"",""Аналитика старт | Алгоритмы старт | Backend старт | ML старт"",IF(AK17=""PRO"",""AI-агенты про | Алгоритмы про | Аналитика про | ML про | Ba"&amp;"ckend про"",IF(AK17=""START | PRO"",""Аналитика старт | Алгоритмы старт | Backend старт | ML старт | AI-агенты про | Алгоритмы про | Аналитика про | ML про | Backend про"",""""))),TEXTJOIN("" | "",TRUE,IF(REGEXMATCH(LOWER(AL17&amp;"" | ""&amp;E17),""аналитика ста"&amp;"рт""),""Аналитика старт"",""""),IF(REGEXMATCH(LOWER(AL17&amp;"" | ""&amp;E17),""алгоритмы старт""),""Алгоритмы старт"",""""),IF(REGEXMATCH(LOWER(AL17&amp;"" | ""&amp;E17),""backend старт""),""Backend старт"",""""),IF(REGEXMATCH(LOWER(AL17&amp;"" | ""&amp;E17),""ml старт""),""ML "&amp;"старт"",""""),IF(REGEXMATCH(LOWER(AL17&amp;"" | ""&amp;E17),""ai[ -]?агент""),""AI-агенты про"",""""),IF(REGEXMATCH(LOWER(AL17&amp;"" | ""&amp;E17),""алгоритмы про""),""Алгоритмы про"",""""),IF(REGEXMATCH(LOWER(AL17&amp;"" | ""&amp;E17),""аналитика про""),""Аналитика про"","""")"&amp;",IF(REGEXMATCH(LOWER(AL17&amp;"" | ""&amp;E17),""ml про""),""ML про"",""""),IF(REGEXMATCH(LOWER(AL17&amp;"" | ""&amp;E17),""backend про""),""Backend про"",""""),IF(REGEXMATCH(LOWER(AL17&amp;"" | ""&amp;E17),""(а/в|ав|а в|ab)[ -]?тест""),""А/В-тесты"",""""),IF(REGEXMATCH(LOWER(AL"&amp;"17&amp;"" | ""&amp;E17),""data science""),""Data science"",""""),IF(REGEXMATCH(LOWER(AL17&amp;"" | ""&amp;E17),""data[- ]?инжен""),""Data-инженер"",""""),IF(REGEXMATCH(LOWER(AL17&amp;"" | ""&amp;E17),""frontend""),""Frontend"",""""))))"),"Backend старт")</f>
        <v>Backend старт</v>
      </c>
    </row>
    <row r="18">
      <c r="A18" s="4" t="str">
        <f>IFERROR(__xludf.DUMMYFUNCTION("""COMPUTED_VALUE"""),"INT-1785")</f>
        <v>INT-1785</v>
      </c>
      <c r="B18" s="4" t="str">
        <f>IFERROR(__xludf.DUMMYFUNCTION("""COMPUTED_VALUE"""),"2026-07-12 19:17:38")</f>
        <v>2026-07-12 19:17:38</v>
      </c>
      <c r="C18" s="4" t="str">
        <f>IFERROR(__xludf.DUMMYFUNCTION("""COMPUTED_VALUE"""),"@postypashki_old")</f>
        <v>@postypashki_old</v>
      </c>
      <c r="D18" s="4" t="str">
        <f>IFERROR(__xludf.DUMMYFUNCTION("""COMPUTED_VALUE"""),"Прочий контент")</f>
        <v>Прочий контент</v>
      </c>
      <c r="E18" s="4"/>
      <c r="F18" s="4" t="str">
        <f>IFERROR(__xludf.DUMMYFUNCTION("""COMPUTED_VALUE"""),"")</f>
        <v/>
      </c>
      <c r="G18" s="4" t="str">
        <f>IFERROR(__xludf.DUMMYFUNCTION("""COMPUTED_VALUE"""),"postypashki_old/1785")</f>
        <v>postypashki_old/1785</v>
      </c>
      <c r="H18" s="4"/>
      <c r="I18" s="4" t="str">
        <f>IFERROR(__xludf.DUMMYFUNCTION("""COMPUTED_VALUE"""),"internal")</f>
        <v>internal</v>
      </c>
      <c r="J18" s="7" t="str">
        <f>IFERROR(__xludf.DUMMYFUNCTION("""COMPUTED_VALUE"""),"https://t.me/postypashki_old/1785")</f>
        <v>https://t.me/postypashki_old/1785</v>
      </c>
      <c r="K18" s="4">
        <f>IFERROR(__xludf.DUMMYFUNCTION("""COMPUTED_VALUE"""),14300.0)</f>
        <v>14300</v>
      </c>
      <c r="L18" s="4">
        <f>IFERROR(__xludf.DUMMYFUNCTION("""COMPUTED_VALUE"""),139.0)</f>
        <v>139</v>
      </c>
      <c r="M18" s="6" t="str">
        <f>IFERROR(__xludf.DUMMYFUNCTION("""COMPUTED_VALUE"""),"")</f>
        <v/>
      </c>
      <c r="N18" s="4" t="str">
        <f>IFERROR(__xludf.DUMMYFUNCTION("""COMPUTED_VALUE"""),"Telegram")</f>
        <v>Telegram</v>
      </c>
      <c r="O18" s="4" t="str">
        <f>IFERROR(__xludf.DUMMYFUNCTION("""COMPUTED_VALUE"""),"raw")</f>
        <v>raw</v>
      </c>
      <c r="P18" s="4" t="str">
        <f>IFERROR(__xludf.DUMMYFUNCTION("""COMPUTED_VALUE"""),"Codex")</f>
        <v>Codex</v>
      </c>
      <c r="Q18" s="4" t="str">
        <f>IFERROR(__xludf.DUMMYFUNCTION("""COMPUTED_VALUE"""),"[Медиа без текстовой подписи]")</f>
        <v>[Медиа без текстовой подписи]</v>
      </c>
      <c r="R18" s="4" t="str">
        <f>IFERROR(__xludf.DUMMYFUNCTION("""COMPUTED_VALUE"""),"internal")</f>
        <v>internal</v>
      </c>
      <c r="S18" s="4" t="str">
        <f>IFERROR(__xludf.DUMMYFUNCTION("""COMPUTED_VALUE"""),"unknown")</f>
        <v>unknown</v>
      </c>
      <c r="T18" s="6" t="str">
        <f>IFERROR(__xludf.DUMMYFUNCTION("""COMPUTED_VALUE"""),"telegram_internal")</f>
        <v>telegram_internal</v>
      </c>
      <c r="U18" s="6" t="str">
        <f>IFERROR(__xludf.DUMMYFUNCTION("""COMPUTED_VALUE"""),"Прочий контент")</f>
        <v>Прочий контент</v>
      </c>
      <c r="V18" s="6" t="str">
        <f>IFERROR(__xludf.DUMMYFUNCTION("""COMPUTED_VALUE"""),"Предыстория")</f>
        <v>Предыстория</v>
      </c>
      <c r="W18" s="6" t="str">
        <f>IFERROR(__xludf.DUMMYFUNCTION("""COMPUTED_VALUE"""),"Видео")</f>
        <v>Видео</v>
      </c>
      <c r="X18" s="6"/>
      <c r="Y18" s="6" t="str">
        <f>IFERROR(__xludf.DUMMYFUNCTION("""COMPUTED_VALUE"""),"")</f>
        <v/>
      </c>
      <c r="Z18" s="6" t="str">
        <f>IFERROR(__xludf.DUMMYFUNCTION("""COMPUTED_VALUE"""),"")</f>
        <v/>
      </c>
      <c r="AA18" s="6" t="b">
        <f>IFERROR(__xludf.DUMMYFUNCTION("""COMPUTED_VALUE"""),FALSE)</f>
        <v>0</v>
      </c>
      <c r="AB18" s="6" t="b">
        <f>IFERROR(__xludf.DUMMYFUNCTION("""COMPUTED_VALUE"""),FALSE)</f>
        <v>0</v>
      </c>
      <c r="AC18" s="6" t="b">
        <f>IFERROR(__xludf.DUMMYFUNCTION("""COMPUTED_VALUE"""),FALSE)</f>
        <v>0</v>
      </c>
      <c r="AD18" s="6" t="b">
        <f>IFERROR(__xludf.DUMMYFUNCTION("""COMPUTED_VALUE"""),FALSE)</f>
        <v>0</v>
      </c>
      <c r="AE18" s="6"/>
      <c r="AF18" s="6" t="b">
        <f>IFERROR(__xludf.DUMMYFUNCTION("""COMPUTED_VALUE"""),FALSE)</f>
        <v>0</v>
      </c>
      <c r="AG18" s="6" t="str">
        <f>IFERROR(__xludf.DUMMYFUNCTION("""COMPUTED_VALUE"""),"2026-07-12T16:17:38+00:00")</f>
        <v>2026-07-12T16:17:38+00:00</v>
      </c>
      <c r="AH18" s="6" t="str">
        <f>IFERROR(__xludf.DUMMYFUNCTION("""COMPUTED_VALUE"""),"")</f>
        <v/>
      </c>
      <c r="AI18" s="6" t="str">
        <f>IFERROR(__xludf.DUMMYFUNCTION("""COMPUTED_VALUE"""),"#N/A")</f>
        <v>#N/A</v>
      </c>
      <c r="AJ18" s="9" t="s">
        <v>233</v>
      </c>
      <c r="AM18" s="9" t="s">
        <v>229</v>
      </c>
      <c r="AN18" s="6" t="str">
        <f>IFERROR(__xludf.DUMMYFUNCTION("IF(OR(AJ18=""general_brand"",AJ18=""external"",AJ18=""unknown""),"""",IF(AJ18=""product_line"",IF(AK18=""START"",""Аналитика старт | Алгоритмы старт | Backend старт | ML старт"",IF(AK18=""PRO"",""AI-агенты про | Алгоритмы про | Аналитика про | ML про | Ba"&amp;"ckend про"",IF(AK18=""START | PRO"",""Аналитика старт | Алгоритмы старт | Backend старт | ML старт | AI-агенты про | Алгоритмы про | Аналитика про | ML про | Backend про"",""""))),TEXTJOIN("" | "",TRUE,IF(REGEXMATCH(LOWER(AL18&amp;"" | ""&amp;E18),""аналитика ста"&amp;"рт""),""Аналитика старт"",""""),IF(REGEXMATCH(LOWER(AL18&amp;"" | ""&amp;E18),""алгоритмы старт""),""Алгоритмы старт"",""""),IF(REGEXMATCH(LOWER(AL18&amp;"" | ""&amp;E18),""backend старт""),""Backend старт"",""""),IF(REGEXMATCH(LOWER(AL18&amp;"" | ""&amp;E18),""ml старт""),""ML "&amp;"старт"",""""),IF(REGEXMATCH(LOWER(AL18&amp;"" | ""&amp;E18),""ai[ -]?агент""),""AI-агенты про"",""""),IF(REGEXMATCH(LOWER(AL18&amp;"" | ""&amp;E18),""алгоритмы про""),""Алгоритмы про"",""""),IF(REGEXMATCH(LOWER(AL18&amp;"" | ""&amp;E18),""аналитика про""),""Аналитика про"","""")"&amp;",IF(REGEXMATCH(LOWER(AL18&amp;"" | ""&amp;E18),""ml про""),""ML про"",""""),IF(REGEXMATCH(LOWER(AL18&amp;"" | ""&amp;E18),""backend про""),""Backend про"",""""),IF(REGEXMATCH(LOWER(AL18&amp;"" | ""&amp;E18),""(а/в|ав|а в|ab)[ -]?тест""),""А/В-тесты"",""""),IF(REGEXMATCH(LOWER(AL"&amp;"18&amp;"" | ""&amp;E18),""data science""),""Data science"",""""),IF(REGEXMATCH(LOWER(AL18&amp;"" | ""&amp;E18),""data[- ]?инжен""),""Data-инженер"",""""),IF(REGEXMATCH(LOWER(AL18&amp;"" | ""&amp;E18),""frontend""),""Frontend"",""""))))"),"")</f>
        <v/>
      </c>
    </row>
    <row r="19">
      <c r="A19" s="4" t="str">
        <f>IFERROR(__xludf.DUMMYFUNCTION("""COMPUTED_VALUE"""),"INT-1787")</f>
        <v>INT-1787</v>
      </c>
      <c r="B19" s="4" t="str">
        <f>IFERROR(__xludf.DUMMYFUNCTION("""COMPUTED_VALUE"""),"2026-07-13 17:05:24")</f>
        <v>2026-07-13 17:05:24</v>
      </c>
      <c r="C19" s="4" t="str">
        <f>IFERROR(__xludf.DUMMYFUNCTION("""COMPUTED_VALUE"""),"@postypashki_old")</f>
        <v>@postypashki_old</v>
      </c>
      <c r="D19" s="4" t="str">
        <f>IFERROR(__xludf.DUMMYFUNCTION("""COMPUTED_VALUE"""),"Контент с предложением курсов")</f>
        <v>Контент с предложением курсов</v>
      </c>
      <c r="E19" s="4" t="str">
        <f>IFERROR(__xludf.DUMMYFUNCTION("""COMPUTED_VALUE"""),"Алгоритмы старт")</f>
        <v>Алгоритмы старт</v>
      </c>
      <c r="F19" s="4" t="str">
        <f>IFERROR(__xludf.DUMMYFUNCTION("""COMPUTED_VALUE"""),"")</f>
        <v/>
      </c>
      <c r="G19" s="4" t="str">
        <f>IFERROR(__xludf.DUMMYFUNCTION("""COMPUTED_VALUE"""),"postypashki_old/1787")</f>
        <v>postypashki_old/1787</v>
      </c>
      <c r="H19" s="4" t="str">
        <f>IFERROR(__xludf.DUMMYFUNCTION("""COMPUTED_VALUE"""),"Cлив протокола алгоритмической секции Т-банк
Наши выпускники не только сейчас активно проходят собесы, но и уже давно закрепились в штате и проводят собесы. Поэтому продолжаем грабить желтый банк. В этом посте опишем общий протокол проведения алгоритмиче"&amp;"ской секции, которая есть на ML специальности и разработку. Дальше приведен оригинальный текст протокола с небольшими правками и комментариями в скобочках.
Секция проверяет не энциклопедические знания, а то, как ты думаешь, решаешь задачи, пишешь код и о"&amp;"бщаешься. (Если не решить норму задач на свой грейд, будет реджект. О норме дальше ниже)
Что именно смотрят?
- Умение формализовать задачу: перевести условие в чёткую модель. (Попробуйте задать себе вопрос, какие в быту задачи может решать тот или иной а"&amp;"лгоритм. Например, почему сортировка может быть полезна, как деревья помогают структурировать данные).  
- Знание типовых структур данных и алгоритмов, умение оценивать сложность по времени и памяти.  (Тут база, два указателя, бин поиск, сортировки, хэш м"&amp;"апы, деревья).
- Умение находить ошибки “в голове” и аккуратно исправлять код.  (Попробуйте банально самостоятельно в редакторе пописать код).
- Чистоту и структуру кода, базовые coding-навыки.  (Просите при написании кода до собесов просить гпт критикова"&amp;"ть свой код, с каким-нибудь зумерским промптом ""Ты - суровый критик кода и тд""). 
- Адекватность и культуру общения. (Шарм, шарм, шарм)  
Формат и ожидания
- За час ожидают минимум 2 задачи; могут быть запасные, если задача уже знакома или слишком слож"&amp;"ная. Тут внимание:
 2 задачки (изи+медиум) - уровень медиум, 3 - сеньёр, 
    1/1,5 - джун
    Часто в алгосееции достаточно джун/джун+ для прохода дальше на мидловскую позицию, если теор этап хорошо пройден, если плохо, то нужен грейд повыше.
    Джун "&amp;"минус обычно реджект (это только 1 изи задачка / успеть придумать идею к решению медиума). 
    Если все 3 решил, сеньеров в алгосах отдельно в чатике прокидывают (на них смотрит больше команд).
 - Камера у кандидата должна быть включена весь час, техн"&amp;"ические проблемы - повод переноса. 
- В начале: приветствие, представление всех в звонке, уточнение “ты/вы”, короткий smalltalk, иногда вопрос про опыт с LeetCode.  
Как будет строиться решение
- Ключевая установка: сначала устное решение, потом код.  
-"&amp;" Интервьюер ждёт, что ты сначала “на пальцах” объяснишь идею, только потом начнёшь писать.  
- Условие и 1–2 простых примера будут перед глазами, но краевые случаи часто не дают — их ждут от тебя.  
Среда для кодинга
- Могут использовать внутреннюю платф"&amp;"орму (Digital Interview) или онлайн-редактор.  
- Тебя могут спросить, где удобнее писать: можно шарить свою IDE, но акцент не на отладке мышкой, а на алгоритмическом мышлении и “отладке в голове”.  
Если застрял или задачу уже видел
- Если застрял, инте"&amp;"рвьюер может: перепроговорить условие, дать пару простых примеров, попросить хотя бы лобовое решение, дать контрпример или пройтись по тестам вручную.  
- Если обсуждение буксует 15–20 минут, задачу могут упростить или заменить.  
Поведение
- Важно вслух"&amp;" и структурно объяснять своё решение, а не молча кодить.  
- Нервозность и неаккуратный код при хорошей идее — частый кейс, поэтому помогает шаг назад и повторная структуризация решения.  
- Подсказки со стороны и “слишком характерный” чужой код могут выз"&amp;"вать дополнительные вопросы и модификацию задачи; при явной нечестности собеседование могут досрочно завершить.  
- Интервьюер “должен быть вежливым” и оценивает не тебя как человека, а качество решения и коммуникации.
Например, недавно, нашему студенту "&amp;"давали такую задачку:
Дана последовательность целых чисел и число K (K ≥ 0). Требуется посчитать, сколько существует пар индексов (i, j) таких, что (i &lt;= j) и модуль разности соответствующих элементов массива не меньше K, то есть (|a_i - a_j| &gt;= K). 
При"&amp;"меры вызова функции `k_pairs`:
-
 pairs([1, 2, 3, 4], 3) -&gt; 1 
-
 pairs([1, 1, 3, 4], 2) -&gt; 4
-
pairs([], 2) -&gt; 0 
-
 pairs([1, 1, 3, 4], 20) -&gt; 0
Кстати, все это входит в программу нашего курса алгоритмы старт, где мы не только ботаем алгоритмы, но и уч"&amp;"имся проходить собеседования и качаем soft skills. 
➡️ Записаться
@postypashki_old")</f>
        <v>Cлив протокола алгоритмической секции Т-банк
Наши выпускники не только сейчас активно проходят собесы, но и уже давно закрепились в штате и проводят собесы. Поэтому продолжаем грабить желтый банк. В этом посте опишем общий протокол проведения алгоритмической секции, которая есть на ML специальности и разработку. Дальше приведен оригинальный текст протокола с небольшими правками и комментариями в скобочках.
Секция проверяет не энциклопедические знания, а то, как ты думаешь, решаешь задачи, пишешь код и общаешься. (Если не решить норму задач на свой грейд, будет реджект. О норме дальше ниже)
Что именно смотрят?
- Умение формализовать задачу: перевести условие в чёткую модель. (Попробуйте задать себе вопрос, какие в быту задачи может решать тот или иной алгоритм. Например, почему сортировка может быть полезна, как деревья помогают структурировать данные).  
- Знание типовых структур данных и алгоритмов, умение оценивать сложность по времени и памяти.  (Тут база, два указателя, бин поиск, сортировки, хэш мапы, деревья).
- Умение находить ошибки “в голове” и аккуратно исправлять код.  (Попробуйте банально самостоятельно в редакторе пописать код).
- Чистоту и структуру кода, базовые coding-навыки.  (Просите при написании кода до собесов просить гпт критиковать свой код, с каким-нибудь зумерским промптом "Ты - суровый критик кода и тд"). 
- Адекватность и культуру общения. (Шарм, шарм, шарм)  
Формат и ожидания
- За час ожидают минимум 2 задачи; могут быть запасные, если задача уже знакома или слишком сложная. Тут внимание:
 2 задачки (изи+медиум) - уровень медиум, 3 - сеньёр, 
    1/1,5 - джун
    Часто в алгосееции достаточно джун/джун+ для прохода дальше на мидловскую позицию, если теор этап хорошо пройден, если плохо, то нужен грейд повыше.
    Джун минус обычно реджект (это только 1 изи задачка / успеть придумать идею к решению медиума). 
    Если все 3 решил, сеньеров в алгосах отдельно в чатике прокидывают (на них смотрит больше команд).
 - Камера у кандидата должна быть включена весь час, технические проблемы - повод переноса. 
- В начале: приветствие, представление всех в звонке, уточнение “ты/вы”, короткий smalltalk, иногда вопрос про опыт с LeetCode.  
Как будет строиться решение
- Ключевая установка: сначала устное решение, потом код.  
- Интервьюер ждёт, что ты сначала “на пальцах” объяснишь идею, только потом начнёшь писать.  
- Условие и 1–2 простых примера будут перед глазами, но краевые случаи часто не дают — их ждут от тебя.  
Среда для кодинга
- Могут использовать внутреннюю платформу (Digital Interview) или онлайн-редактор.  
- Тебя могут спросить, где удобнее писать: можно шарить свою IDE, но акцент не на отладке мышкой, а на алгоритмическом мышлении и “отладке в голове”.  
Если застрял или задачу уже видел
- Если застрял, интервьюер может: перепроговорить условие, дать пару простых примеров, попросить хотя бы лобовое решение, дать контрпример или пройтись по тестам вручную.  
- Если обсуждение буксует 15–20 минут, задачу могут упростить или заменить.  
Поведение
- Важно вслух и структурно объяснять своё решение, а не молча кодить.  
- Нервозность и неаккуратный код при хорошей идее — частый кейс, поэтому помогает шаг назад и повторная структуризация решения.  
- Подсказки со стороны и “слишком характерный” чужой код могут вызвать дополнительные вопросы и модификацию задачи; при явной нечестности собеседование могут досрочно завершить.  
- Интервьюер “должен быть вежливым” и оценивает не тебя как человека, а качество решения и коммуникации.
Например, недавно, нашему студенту давали такую задачку:
Дана последовательность целых чисел и число K (K ≥ 0). Требуется посчитать, сколько существует пар индексов (i, j) таких, что (i &lt;= j) и модуль разности соответствующих элементов массива не меньше K, то есть (|a_i - a_j| &gt;= K). 
Примеры вызова функции `k_pairs`:
-
 pairs([1, 2, 3, 4], 3) -&gt; 1 
-
 pairs([1, 1, 3, 4], 2) -&gt; 4
-
pairs([], 2) -&gt; 0 
-
 pairs([1, 1, 3, 4], 20) -&gt; 0
Кстати, все это входит в программу нашего курса алгоритмы старт, где мы не только ботаем алгоритмы, но и учимся проходить собеседования и качаем soft skills. 
➡️ Записаться
@postypashki_old</v>
      </c>
      <c r="I19" s="4" t="str">
        <f>IFERROR(__xludf.DUMMYFUNCTION("""COMPUTED_VALUE"""),"internal")</f>
        <v>internal</v>
      </c>
      <c r="J19" s="7" t="str">
        <f>IFERROR(__xludf.DUMMYFUNCTION("""COMPUTED_VALUE"""),"https://t.me/postypashki_old/1787")</f>
        <v>https://t.me/postypashki_old/1787</v>
      </c>
      <c r="K19" s="4">
        <f>IFERROR(__xludf.DUMMYFUNCTION("""COMPUTED_VALUE"""),16400.0)</f>
        <v>16400</v>
      </c>
      <c r="L19" s="4">
        <f>IFERROR(__xludf.DUMMYFUNCTION("""COMPUTED_VALUE"""),30.0)</f>
        <v>30</v>
      </c>
      <c r="M19" s="6" t="str">
        <f>IFERROR(__xludf.DUMMYFUNCTION("""COMPUTED_VALUE"""),"")</f>
        <v/>
      </c>
      <c r="N19" s="4" t="str">
        <f>IFERROR(__xludf.DUMMYFUNCTION("""COMPUTED_VALUE"""),"Telegram")</f>
        <v>Telegram</v>
      </c>
      <c r="O19" s="4" t="str">
        <f>IFERROR(__xludf.DUMMYFUNCTION("""COMPUTED_VALUE"""),"raw")</f>
        <v>raw</v>
      </c>
      <c r="P19" s="4" t="str">
        <f>IFERROR(__xludf.DUMMYFUNCTION("""COMPUTED_VALUE"""),"Codex")</f>
        <v>Codex</v>
      </c>
      <c r="Q19" s="4" t="str">
        <f>IFERROR(__xludf.DUMMYFUNCTION("""COMPUTED_VALUE"""),"Cлив протокола алгоритмической секции Т-банк Наши выпускники не только сейчас активно проходят собесы, но и уже давно закрепились в штате и проводят собесы. Поэтому продолжаем граб")</f>
        <v>Cлив протокола алгоритмической секции Т-банк Наши выпускники не только сейчас активно проходят собесы, но и уже давно закрепились в штате и проводят собесы. Поэтому продолжаем граб</v>
      </c>
      <c r="R19" s="4" t="str">
        <f>IFERROR(__xludf.DUMMYFUNCTION("""COMPUTED_VALUE"""),"internal")</f>
        <v>internal</v>
      </c>
      <c r="S19" s="4" t="str">
        <f>IFERROR(__xludf.DUMMYFUNCTION("""COMPUTED_VALUE"""),"unknown")</f>
        <v>unknown</v>
      </c>
      <c r="T19" s="6" t="str">
        <f>IFERROR(__xludf.DUMMYFUNCTION("""COMPUTED_VALUE"""),"telegram_internal")</f>
        <v>telegram_internal</v>
      </c>
      <c r="U19" s="6" t="str">
        <f>IFERROR(__xludf.DUMMYFUNCTION("""COMPUTED_VALUE"""),"Контент с предложением курсов")</f>
        <v>Контент с предложением курсов</v>
      </c>
      <c r="V19" s="6" t="str">
        <f>IFERROR(__xludf.DUMMYFUNCTION("""COMPUTED_VALUE"""),"Предыстория")</f>
        <v>Предыстория</v>
      </c>
      <c r="W19" s="6"/>
      <c r="X19" s="6"/>
      <c r="Y19" s="6" t="str">
        <f>IFERROR(__xludf.DUMMYFUNCTION("""COMPUTED_VALUE"""),"")</f>
        <v/>
      </c>
      <c r="Z19" s="6" t="str">
        <f>IFERROR(__xludf.DUMMYFUNCTION("""COMPUTED_VALUE"""),"")</f>
        <v/>
      </c>
      <c r="AA19" s="6" t="b">
        <f>IFERROR(__xludf.DUMMYFUNCTION("""COMPUTED_VALUE"""),TRUE)</f>
        <v>1</v>
      </c>
      <c r="AB19" s="6" t="b">
        <f>IFERROR(__xludf.DUMMYFUNCTION("""COMPUTED_VALUE"""),FALSE)</f>
        <v>0</v>
      </c>
      <c r="AC19" s="6" t="b">
        <f>IFERROR(__xludf.DUMMYFUNCTION("""COMPUTED_VALUE"""),FALSE)</f>
        <v>0</v>
      </c>
      <c r="AD19" s="6" t="b">
        <f>IFERROR(__xludf.DUMMYFUNCTION("""COMPUTED_VALUE"""),FALSE)</f>
        <v>0</v>
      </c>
      <c r="AE19" s="6"/>
      <c r="AF19" s="6" t="b">
        <f>IFERROR(__xludf.DUMMYFUNCTION("""COMPUTED_VALUE"""),FALSE)</f>
        <v>0</v>
      </c>
      <c r="AG19" s="6" t="str">
        <f>IFERROR(__xludf.DUMMYFUNCTION("""COMPUTED_VALUE"""),"2026-07-13T14:05:24+00:00")</f>
        <v>2026-07-13T14:05:24+00:00</v>
      </c>
      <c r="AH19" s="6" t="str">
        <f>IFERROR(__xludf.DUMMYFUNCTION("""COMPUTED_VALUE"""),"")</f>
        <v/>
      </c>
      <c r="AI19" s="6" t="str">
        <f>IFERROR(__xludf.DUMMYFUNCTION("""COMPUTED_VALUE"""),"#N/A")</f>
        <v>#N/A</v>
      </c>
      <c r="AJ19" s="9" t="s">
        <v>224</v>
      </c>
      <c r="AK19" s="9" t="s">
        <v>213</v>
      </c>
      <c r="AL19" s="4" t="s">
        <v>234</v>
      </c>
      <c r="AM19" s="9" t="s">
        <v>235</v>
      </c>
      <c r="AN19" s="4" t="str">
        <f>IFERROR(__xludf.DUMMYFUNCTION("IF(OR(AJ19=""general_brand"",AJ19=""external"",AJ19=""unknown""),"""",IF(AJ19=""product_line"",IF(AK19=""START"",""Аналитика старт | Алгоритмы старт | Backend старт | ML старт"",IF(AK19=""PRO"",""AI-агенты про | Алгоритмы про | Аналитика про | ML про | Ba"&amp;"ckend про"",IF(AK19=""START | PRO"",""Аналитика старт | Алгоритмы старт | Backend старт | ML старт | AI-агенты про | Алгоритмы про | Аналитика про | ML про | Backend про"",""""))),TEXTJOIN("" | "",TRUE,IF(REGEXMATCH(LOWER(AL19&amp;"" | ""&amp;E19),""аналитика ста"&amp;"рт""),""Аналитика старт"",""""),IF(REGEXMATCH(LOWER(AL19&amp;"" | ""&amp;E19),""алгоритмы старт""),""Алгоритмы старт"",""""),IF(REGEXMATCH(LOWER(AL19&amp;"" | ""&amp;E19),""backend старт""),""Backend старт"",""""),IF(REGEXMATCH(LOWER(AL19&amp;"" | ""&amp;E19),""ml старт""),""ML "&amp;"старт"",""""),IF(REGEXMATCH(LOWER(AL19&amp;"" | ""&amp;E19),""ai[ -]?агент""),""AI-агенты про"",""""),IF(REGEXMATCH(LOWER(AL19&amp;"" | ""&amp;E19),""алгоритмы про""),""Алгоритмы про"",""""),IF(REGEXMATCH(LOWER(AL19&amp;"" | ""&amp;E19),""аналитика про""),""Аналитика про"","""")"&amp;",IF(REGEXMATCH(LOWER(AL19&amp;"" | ""&amp;E19),""ml про""),""ML про"",""""),IF(REGEXMATCH(LOWER(AL19&amp;"" | ""&amp;E19),""backend про""),""Backend про"",""""),IF(REGEXMATCH(LOWER(AL19&amp;"" | ""&amp;E19),""(а/в|ав|а в|ab)[ -]?тест""),""А/В-тесты"",""""),IF(REGEXMATCH(LOWER(AL"&amp;"19&amp;"" | ""&amp;E19),""data science""),""Data science"",""""),IF(REGEXMATCH(LOWER(AL19&amp;"" | ""&amp;E19),""data[- ]?инжен""),""Data-инженер"",""""),IF(REGEXMATCH(LOWER(AL19&amp;"" | ""&amp;E19),""frontend""),""Frontend"",""""))))"),"Алгоритмы старт")</f>
        <v>Алгоритмы старт</v>
      </c>
    </row>
    <row r="20">
      <c r="A20" s="4" t="str">
        <f>IFERROR(__xludf.DUMMYFUNCTION("""COMPUTED_VALUE"""),"INT-1788")</f>
        <v>INT-1788</v>
      </c>
      <c r="B20" s="4" t="str">
        <f>IFERROR(__xludf.DUMMYFUNCTION("""COMPUTED_VALUE"""),"2026-07-13 20:05:27")</f>
        <v>2026-07-13 20:05:27</v>
      </c>
      <c r="C20" s="4" t="str">
        <f>IFERROR(__xludf.DUMMYFUNCTION("""COMPUTED_VALUE"""),"@postypashki_old")</f>
        <v>@postypashki_old</v>
      </c>
      <c r="D20" s="4" t="str">
        <f>IFERROR(__xludf.DUMMYFUNCTION("""COMPUTED_VALUE"""),"Прочий контент")</f>
        <v>Прочий контент</v>
      </c>
      <c r="E20" s="4"/>
      <c r="F20" s="4" t="str">
        <f>IFERROR(__xludf.DUMMYFUNCTION("""COMPUTED_VALUE"""),"")</f>
        <v/>
      </c>
      <c r="G20" s="4" t="str">
        <f>IFERROR(__xludf.DUMMYFUNCTION("""COMPUTED_VALUE"""),"postypashki_old/1788")</f>
        <v>postypashki_old/1788</v>
      </c>
      <c r="H20" s="4" t="str">
        <f>IFERROR(__xludf.DUMMYFUNCTION("""COMPUTED_VALUE"""),"Как построить топовую карьеру
В посте обсудим как построить топовую карьеру и не умереть в нищете, страхуясь от самых экстремальных сценариев. 
Шаг 1. 
По сути есть несколько вариантов: крутые стажировки (Яндекс, Т-банк, ВК и тд), Консалтинг/Outstaff, м"&amp;"аленькие компании, кринжовые компании. Самый удачный расклад: залететь на крутую стажировку, а потом попасть в штат. Другие варианты тоже допустимы в начале пути, но лучше тогда уж попробовать поучиться: ШАД, ААА, маги или курсы от компаний (смотри список"&amp;" на сайте в разделе школы). И уже с них пытаться залететь на хорошие проекты/стажировки. Потому что главное здесь - не деньги, а опыт, который вас развивает как специалиста. 
В кринж проектах важно не оставаться надолго, получаем опыт и затем смотрим, ку"&amp;"да можем уйти спустя год. Если нет ничего лучше, то продолжаем расти внутри компании (если это возможно), но продолжаем смотреть на рынок для нашей следующей карьерной ступени и ищем другие драйверы роста (образование).
Шаг 2. 
К этому моменту должно быт"&amp;"ь суммарно 2 года опыта работы. Нужна компания, которая забустит нашу карьеру в дальнейшем, даст ту самую основу для будущего роста. Ориентируемся на Авито, Яндекс, ВК, WB, Т-банк и другие компании, которые на слуху. У всех этих компаний есть интересные п"&amp;"роекты, где ждут в том числе и амбициозных, умных ребят. 
Дальше мы растем с Middle до Senior в одной организации с двух до четырех лет суммарно опыта. Желательно не менять компанию, но если понимаем, что наши задачи и проект - кринж, то срочно начинаем "&amp;"активно искать новые варианты. Нужны задачи, которые нас забустят, чтобы мы всегда смогли себя продать как классного senior+ специалиста. Только не гонитесь за грейдами. Реальный senior и номинальный senior - это совершенно разные вещи. Лучше вложитесь в "&amp;"свой фундамент и образование, изучите смежную область, что даст больше импакта вашей карьере, чем лишние 100-200 gross в месяц. Если вы станете крутым специалистом, то заработать деньги будет нетрудно. 
Еще раз на этом этапе важно избегать кринжовых комп"&amp;"аний и проектов с устаревшим стеком, странной культурой, где ваши задачи и ответственность ограничены тремя строчками кода в неделю. Да, вам могут предложить хорошую зп, премии и ""стабильность"", но по итогу вы выйдете слабым специалистом без знаний акту"&amp;"альных инструментов и тенденций, которого на рынке труда все будут сторониться, а нужно, чтобы ваша работа вас продавала и бустила. 
Шаг 3.
На четвертый год нужно принять решение: хотим ли мы руководить, сидеть на созвонах и 24/7 делать себе мозги. Если "&amp;"хотим, то мы выстраиваем менеджерские связи, ищем пути роста как внутри, так и снаружи, а параллельно думаем про стартап (ну вдруг повезет). Обучаемся менеджменту, пытаемся выбиться в лидеры. Если все это немного не для нас и мы хотим скорее честных денег"&amp;" за честный труд, то тут несколько вариантов. 
1. Можно соскуфиться и кайфовать от жизни, просто ходить по кругу в компании, где коллеги умненькие и вайбовенькие. 
2. Идем учиться в жесткие места по типу ШАДа и приближенных к нему магистратуры. Ищем проек"&amp;"ты в РФ и за рубежом, где готовы платить гениям просто за то, что они гении. Например, hft фонды, гигачады и подобные проекты, куда деньги льются рекой. 
3. Идти в рип-эшелон: серые проекты и стартапы, где вы станете ключевым специалистом и что-то заработ"&amp;"аете с этого факта.  
Итого, главное на начальном этапе играть в долгую, помнить, что ваш долгосрочный рост как специалиста важнее быстрых денег. Будучи настоящим специалистом, вы всегда сможете заработать быстро и много. Обсудить пост можно в нашем чате"&amp;" единомышленников. 
Подписываемся: @postypashki_old")</f>
        <v>Как построить топовую карьеру
В посте обсудим как построить топовую карьеру и не умереть в нищете, страхуясь от самых экстремальных сценариев. 
Шаг 1. 
По сути есть несколько вариантов: крутые стажировки (Яндекс, Т-банк, ВК и тд), Консалтинг/Outstaff, маленькие компании, кринжовые компании. Самый удачный расклад: залететь на крутую стажировку, а потом попасть в штат. Другие варианты тоже допустимы в начале пути, но лучше тогда уж попробовать поучиться: ШАД, ААА, маги или курсы от компаний (смотри список на сайте в разделе школы). И уже с них пытаться залететь на хорошие проекты/стажировки. Потому что главное здесь - не деньги, а опыт, который вас развивает как специалиста. 
В кринж проектах важно не оставаться надолго, получаем опыт и затем смотрим, куда можем уйти спустя год. Если нет ничего лучше, то продолжаем расти внутри компании (если это возможно), но продолжаем смотреть на рынок для нашей следующей карьерной ступени и ищем другие драйверы роста (образование).
Шаг 2. 
К этому моменту должно быть суммарно 2 года опыта работы. Нужна компания, которая забустит нашу карьеру в дальнейшем, даст ту самую основу для будущего роста. Ориентируемся на Авито, Яндекс, ВК, WB, Т-банк и другие компании, которые на слуху. У всех этих компаний есть интересные проекты, где ждут в том числе и амбициозных, умных ребят. 
Дальше мы растем с Middle до Senior в одной организации с двух до четырех лет суммарно опыта. Желательно не менять компанию, но если понимаем, что наши задачи и проект - кринж, то срочно начинаем активно искать новые варианты. Нужны задачи, которые нас забустят, чтобы мы всегда смогли себя продать как классного senior+ специалиста. Только не гонитесь за грейдами. Реальный senior и номинальный senior - это совершенно разные вещи. Лучше вложитесь в свой фундамент и образование, изучите смежную область, что даст больше импакта вашей карьере, чем лишние 100-200 gross в месяц. Если вы станете крутым специалистом, то заработать деньги будет нетрудно. 
Еще раз на этом этапе важно избегать кринжовых компаний и проектов с устаревшим стеком, странной культурой, где ваши задачи и ответственность ограничены тремя строчками кода в неделю. Да, вам могут предложить хорошую зп, премии и "стабильность", но по итогу вы выйдете слабым специалистом без знаний актуальных инструментов и тенденций, которого на рынке труда все будут сторониться, а нужно, чтобы ваша работа вас продавала и бустила. 
Шаг 3.
На четвертый год нужно принять решение: хотим ли мы руководить, сидеть на созвонах и 24/7 делать себе мозги. Если хотим, то мы выстраиваем менеджерские связи, ищем пути роста как внутри, так и снаружи, а параллельно думаем про стартап (ну вдруг повезет). Обучаемся менеджменту, пытаемся выбиться в лидеры. Если все это немного не для нас и мы хотим скорее честных денег за честный труд, то тут несколько вариантов. 
1. Можно соскуфиться и кайфовать от жизни, просто ходить по кругу в компании, где коллеги умненькие и вайбовенькие. 
2. Идем учиться в жесткие места по типу ШАДа и приближенных к нему магистратуры. Ищем проекты в РФ и за рубежом, где готовы платить гениям просто за то, что они гении. Например, hft фонды, гигачады и подобные проекты, куда деньги льются рекой. 
3. Идти в рип-эшелон: серые проекты и стартапы, где вы станете ключевым специалистом и что-то заработаете с этого факта.  
Итого, главное на начальном этапе играть в долгую, помнить, что ваш долгосрочный рост как специалиста важнее быстрых денег. Будучи настоящим специалистом, вы всегда сможете заработать быстро и много. Обсудить пост можно в нашем чате единомышленников. 
Подписываемся: @postypashki_old</v>
      </c>
      <c r="I20" s="4" t="str">
        <f>IFERROR(__xludf.DUMMYFUNCTION("""COMPUTED_VALUE"""),"internal")</f>
        <v>internal</v>
      </c>
      <c r="J20" s="7" t="str">
        <f>IFERROR(__xludf.DUMMYFUNCTION("""COMPUTED_VALUE"""),"https://t.me/postypashki_old/1788")</f>
        <v>https://t.me/postypashki_old/1788</v>
      </c>
      <c r="K20" s="4">
        <f>IFERROR(__xludf.DUMMYFUNCTION("""COMPUTED_VALUE"""),16700.0)</f>
        <v>16700</v>
      </c>
      <c r="L20" s="4">
        <f>IFERROR(__xludf.DUMMYFUNCTION("""COMPUTED_VALUE"""),92.0)</f>
        <v>92</v>
      </c>
      <c r="M20" s="6" t="str">
        <f>IFERROR(__xludf.DUMMYFUNCTION("""COMPUTED_VALUE"""),"")</f>
        <v/>
      </c>
      <c r="N20" s="4" t="str">
        <f>IFERROR(__xludf.DUMMYFUNCTION("""COMPUTED_VALUE"""),"Telegram")</f>
        <v>Telegram</v>
      </c>
      <c r="O20" s="4" t="str">
        <f>IFERROR(__xludf.DUMMYFUNCTION("""COMPUTED_VALUE"""),"raw")</f>
        <v>raw</v>
      </c>
      <c r="P20" s="4" t="str">
        <f>IFERROR(__xludf.DUMMYFUNCTION("""COMPUTED_VALUE"""),"Codex")</f>
        <v>Codex</v>
      </c>
      <c r="Q20" s="4" t="str">
        <f>IFERROR(__xludf.DUMMYFUNCTION("""COMPUTED_VALUE"""),"Как построить топовую карьеру В посте обсудим как построить топовую карьеру и не умереть в нищете, страхуясь от самых экстремальных сценариев. Шаг 1. По сути есть несколько вариант")</f>
        <v>Как построить топовую карьеру В посте обсудим как построить топовую карьеру и не умереть в нищете, страхуясь от самых экстремальных сценариев. Шаг 1. По сути есть несколько вариант</v>
      </c>
      <c r="R20" s="4" t="str">
        <f>IFERROR(__xludf.DUMMYFUNCTION("""COMPUTED_VALUE"""),"internal")</f>
        <v>internal</v>
      </c>
      <c r="S20" s="4" t="str">
        <f>IFERROR(__xludf.DUMMYFUNCTION("""COMPUTED_VALUE"""),"unknown")</f>
        <v>unknown</v>
      </c>
      <c r="T20" s="6" t="str">
        <f>IFERROR(__xludf.DUMMYFUNCTION("""COMPUTED_VALUE"""),"telegram_internal")</f>
        <v>telegram_internal</v>
      </c>
      <c r="U20" s="6" t="str">
        <f>IFERROR(__xludf.DUMMYFUNCTION("""COMPUTED_VALUE"""),"Прочий контент")</f>
        <v>Прочий контент</v>
      </c>
      <c r="V20" s="6" t="str">
        <f>IFERROR(__xludf.DUMMYFUNCTION("""COMPUTED_VALUE"""),"Предыстория")</f>
        <v>Предыстория</v>
      </c>
      <c r="W20" s="6"/>
      <c r="X20" s="6"/>
      <c r="Y20" s="6" t="str">
        <f>IFERROR(__xludf.DUMMYFUNCTION("""COMPUTED_VALUE"""),"")</f>
        <v/>
      </c>
      <c r="Z20" s="6" t="str">
        <f>IFERROR(__xludf.DUMMYFUNCTION("""COMPUTED_VALUE"""),"")</f>
        <v/>
      </c>
      <c r="AA20" s="6" t="b">
        <f>IFERROR(__xludf.DUMMYFUNCTION("""COMPUTED_VALUE"""),TRUE)</f>
        <v>1</v>
      </c>
      <c r="AB20" s="6" t="b">
        <f>IFERROR(__xludf.DUMMYFUNCTION("""COMPUTED_VALUE"""),FALSE)</f>
        <v>0</v>
      </c>
      <c r="AC20" s="6" t="b">
        <f>IFERROR(__xludf.DUMMYFUNCTION("""COMPUTED_VALUE"""),FALSE)</f>
        <v>0</v>
      </c>
      <c r="AD20" s="6" t="b">
        <f>IFERROR(__xludf.DUMMYFUNCTION("""COMPUTED_VALUE"""),FALSE)</f>
        <v>0</v>
      </c>
      <c r="AE20" s="6"/>
      <c r="AF20" s="6" t="b">
        <f>IFERROR(__xludf.DUMMYFUNCTION("""COMPUTED_VALUE"""),FALSE)</f>
        <v>0</v>
      </c>
      <c r="AG20" s="6" t="str">
        <f>IFERROR(__xludf.DUMMYFUNCTION("""COMPUTED_VALUE"""),"2026-07-13T17:05:27+00:00")</f>
        <v>2026-07-13T17:05:27+00:00</v>
      </c>
      <c r="AH20" s="6" t="str">
        <f>IFERROR(__xludf.DUMMYFUNCTION("""COMPUTED_VALUE"""),"")</f>
        <v/>
      </c>
      <c r="AI20" s="6" t="str">
        <f>IFERROR(__xludf.DUMMYFUNCTION("""COMPUTED_VALUE"""),"#N/A")</f>
        <v>#N/A</v>
      </c>
      <c r="AJ20" s="9" t="s">
        <v>208</v>
      </c>
      <c r="AM20" s="9" t="s">
        <v>219</v>
      </c>
      <c r="AN20" s="6" t="str">
        <f>IFERROR(__xludf.DUMMYFUNCTION("IF(OR(AJ20=""general_brand"",AJ20=""external"",AJ20=""unknown""),"""",IF(AJ20=""product_line"",IF(AK20=""START"",""Аналитика старт | Алгоритмы старт | Backend старт | ML старт"",IF(AK20=""PRO"",""AI-агенты про | Алгоритмы про | Аналитика про | ML про | Ba"&amp;"ckend про"",IF(AK20=""START | PRO"",""Аналитика старт | Алгоритмы старт | Backend старт | ML старт | AI-агенты про | Алгоритмы про | Аналитика про | ML про | Backend про"",""""))),TEXTJOIN("" | "",TRUE,IF(REGEXMATCH(LOWER(AL20&amp;"" | ""&amp;E20),""аналитика ста"&amp;"рт""),""Аналитика старт"",""""),IF(REGEXMATCH(LOWER(AL20&amp;"" | ""&amp;E20),""алгоритмы старт""),""Алгоритмы старт"",""""),IF(REGEXMATCH(LOWER(AL20&amp;"" | ""&amp;E20),""backend старт""),""Backend старт"",""""),IF(REGEXMATCH(LOWER(AL20&amp;"" | ""&amp;E20),""ml старт""),""ML "&amp;"старт"",""""),IF(REGEXMATCH(LOWER(AL20&amp;"" | ""&amp;E20),""ai[ -]?агент""),""AI-агенты про"",""""),IF(REGEXMATCH(LOWER(AL20&amp;"" | ""&amp;E20),""алгоритмы про""),""Алгоритмы про"",""""),IF(REGEXMATCH(LOWER(AL20&amp;"" | ""&amp;E20),""аналитика про""),""Аналитика про"","""")"&amp;",IF(REGEXMATCH(LOWER(AL20&amp;"" | ""&amp;E20),""ml про""),""ML про"",""""),IF(REGEXMATCH(LOWER(AL20&amp;"" | ""&amp;E20),""backend про""),""Backend про"",""""),IF(REGEXMATCH(LOWER(AL20&amp;"" | ""&amp;E20),""(а/в|ав|а в|ab)[ -]?тест""),""А/В-тесты"",""""),IF(REGEXMATCH(LOWER(AL"&amp;"20&amp;"" | ""&amp;E20),""data science""),""Data science"",""""),IF(REGEXMATCH(LOWER(AL20&amp;"" | ""&amp;E20),""data[- ]?инжен""),""Data-инженер"",""""),IF(REGEXMATCH(LOWER(AL20&amp;"" | ""&amp;E20),""frontend""),""Frontend"",""""))))"),"")</f>
        <v/>
      </c>
    </row>
    <row r="21">
      <c r="A21" s="4" t="str">
        <f>IFERROR(__xludf.DUMMYFUNCTION("""COMPUTED_VALUE"""),"INT-1789")</f>
        <v>INT-1789</v>
      </c>
      <c r="B21" s="4" t="str">
        <f>IFERROR(__xludf.DUMMYFUNCTION("""COMPUTED_VALUE"""),"2026-07-14 19:02:39")</f>
        <v>2026-07-14 19:02:39</v>
      </c>
      <c r="C21" s="4" t="str">
        <f>IFERROR(__xludf.DUMMYFUNCTION("""COMPUTED_VALUE"""),"@postypashki_old")</f>
        <v>@postypashki_old</v>
      </c>
      <c r="D21" s="4" t="str">
        <f>IFERROR(__xludf.DUMMYFUNCTION("""COMPUTED_VALUE"""),"Бесплатное событие / лид-магнит")</f>
        <v>Бесплатное событие / лид-магнит</v>
      </c>
      <c r="E21" s="4" t="str">
        <f>IFERROR(__xludf.DUMMYFUNCTION("""COMPUTED_VALUE"""),"Алгоритмы")</f>
        <v>Алгоритмы</v>
      </c>
      <c r="F21" s="4" t="str">
        <f>IFERROR(__xludf.DUMMYFUNCTION("""COMPUTED_VALUE"""),"")</f>
        <v/>
      </c>
      <c r="G21" s="4" t="str">
        <f>IFERROR(__xludf.DUMMYFUNCTION("""COMPUTED_VALUE"""),"postypashki_old/1789")</f>
        <v>postypashki_old/1789</v>
      </c>
      <c r="H21" s="4" t="str">
        <f>IFERROR(__xludf.DUMMYFUNCTION("""COMPUTED_VALUE"""),"Хотите учить алгоритмы, но не знаете Python?
Товарищи, алгоритмы сами по себе не самые простые. А если параллельно с решением задачи приходится гуглить, как написать цикл for, подготовка превращается в отдельный вид страдания 😔
Поэтому запускаем беспла"&amp;"тный открытый курс «Python для алгоритмов».
С 14 по 19 июля разберём базу Python, которая нужна именно для решения алгоритмических задач.
Почему Python? Именно его чаще всего выбирают для решения задач на алгоритмических собеседованиях и технических отб"&amp;"орах. У языка простой синтаксис, поэтому на собесе можно сосредоточиться на решении задачи, а не на борьбе с кодом.
За 6 дней разберём условия, циклы, функции, строки и основные структуры данных. Научимся читать код, работать с вводом и выводом и перевод"&amp;"ить уже придуманное решение задачи на Python.
Задача курса — построить фундамент, с которым вы сможете полноценно начать изучать алгоритмы и структуры данных.
Курс подойдёт, если вы:
➡️ никогда раньше не программировали
➡️ когда-то учили Python, но забы"&amp;"ли базовый синтаксис
➡️ планируете проходить отборы на стажировки, в ШАД, Академию аналитиков Авито и другие школы
🏆А самых сильных участников ждёт отдельный бонус. Лучшим подарим полный курс по алгоритмам
📌Ссылка на курс в нашем боте - @Postupashkian"&amp;"alitycsbot 
Первые материалы уже выложены!")</f>
        <v>Хотите учить алгоритмы, но не знаете Python?
Товарищи, алгоритмы сами по себе не самые простые. А если параллельно с решением задачи приходится гуглить, как написать цикл for, подготовка превращается в отдельный вид страдания 😔
Поэтому запускаем бесплатный открытый курс «Python для алгоритмов».
С 14 по 19 июля разберём базу Python, которая нужна именно для решения алгоритмических задач.
Почему Python? Именно его чаще всего выбирают для решения задач на алгоритмических собеседованиях и технических отборах. У языка простой синтаксис, поэтому на собесе можно сосредоточиться на решении задачи, а не на борьбе с кодом.
За 6 дней разберём условия, циклы, функции, строки и основные структуры данных. Научимся читать код, работать с вводом и выводом и переводить уже придуманное решение задачи на Python.
Задача курса — построить фундамент, с которым вы сможете полноценно начать изучать алгоритмы и структуры данных.
Курс подойдёт, если вы:
➡️ никогда раньше не программировали
➡️ когда-то учили Python, но забыли базовый синтаксис
➡️ планируете проходить отборы на стажировки, в ШАД, Академию аналитиков Авито и другие школы
🏆А самых сильных участников ждёт отдельный бонус. Лучшим подарим полный курс по алгоритмам
📌Ссылка на курс в нашем боте - @Postupashkianalitycsbot 
Первые материалы уже выложены!</v>
      </c>
      <c r="I21" s="4" t="str">
        <f>IFERROR(__xludf.DUMMYFUNCTION("""COMPUTED_VALUE"""),"internal")</f>
        <v>internal</v>
      </c>
      <c r="J21" s="7" t="str">
        <f>IFERROR(__xludf.DUMMYFUNCTION("""COMPUTED_VALUE"""),"https://t.me/postypashki_old/1789")</f>
        <v>https://t.me/postypashki_old/1789</v>
      </c>
      <c r="K21" s="6">
        <f>IFERROR(__xludf.DUMMYFUNCTION("""COMPUTED_VALUE"""),26100.0)</f>
        <v>26100</v>
      </c>
      <c r="L21" s="6">
        <f>IFERROR(__xludf.DUMMYFUNCTION("""COMPUTED_VALUE"""),19.0)</f>
        <v>19</v>
      </c>
      <c r="M21" s="6" t="str">
        <f>IFERROR(__xludf.DUMMYFUNCTION("""COMPUTED_VALUE"""),"")</f>
        <v/>
      </c>
      <c r="N21" s="4" t="str">
        <f>IFERROR(__xludf.DUMMYFUNCTION("""COMPUTED_VALUE"""),"Telegram")</f>
        <v>Telegram</v>
      </c>
      <c r="O21" s="4" t="str">
        <f>IFERROR(__xludf.DUMMYFUNCTION("""COMPUTED_VALUE"""),"raw")</f>
        <v>raw</v>
      </c>
      <c r="P21" s="4" t="str">
        <f>IFERROR(__xludf.DUMMYFUNCTION("""COMPUTED_VALUE"""),"Codex")</f>
        <v>Codex</v>
      </c>
      <c r="Q21" s="4" t="str">
        <f>IFERROR(__xludf.DUMMYFUNCTION("""COMPUTED_VALUE"""),"Хотите учить алгоритмы, но не знаете Python? Товарищи, алгоритмы сами по себе не самые простые. А если параллельно с решением задачи приходится гуглить, как написать цикл for, подг")</f>
        <v>Хотите учить алгоритмы, но не знаете Python? Товарищи, алгоритмы сами по себе не самые простые. А если параллельно с решением задачи приходится гуглить, как написать цикл for, подг</v>
      </c>
      <c r="R21" s="4" t="str">
        <f>IFERROR(__xludf.DUMMYFUNCTION("""COMPUTED_VALUE"""),"internal")</f>
        <v>internal</v>
      </c>
      <c r="S21" s="4" t="str">
        <f>IFERROR(__xludf.DUMMYFUNCTION("""COMPUTED_VALUE"""),"unknown")</f>
        <v>unknown</v>
      </c>
      <c r="T21" s="6" t="str">
        <f>IFERROR(__xludf.DUMMYFUNCTION("""COMPUTED_VALUE"""),"telegram_internal")</f>
        <v>telegram_internal</v>
      </c>
      <c r="U21" s="6" t="str">
        <f>IFERROR(__xludf.DUMMYFUNCTION("""COMPUTED_VALUE"""),"Бесплатное событие / лид-магнит")</f>
        <v>Бесплатное событие / лид-магнит</v>
      </c>
      <c r="V21" s="6" t="str">
        <f>IFERROR(__xludf.DUMMYFUNCTION("""COMPUTED_VALUE"""),"Предыстория")</f>
        <v>Предыстория</v>
      </c>
      <c r="W21" s="6" t="str">
        <f>IFERROR(__xludf.DUMMYFUNCTION("""COMPUTED_VALUE"""),"Фото")</f>
        <v>Фото</v>
      </c>
      <c r="X21" s="6"/>
      <c r="Y21" s="6" t="str">
        <f>IFERROR(__xludf.DUMMYFUNCTION("""COMPUTED_VALUE"""),"")</f>
        <v/>
      </c>
      <c r="Z21" s="6" t="str">
        <f>IFERROR(__xludf.DUMMYFUNCTION("""COMPUTED_VALUE"""),"")</f>
        <v/>
      </c>
      <c r="AA21" s="6" t="b">
        <f>IFERROR(__xludf.DUMMYFUNCTION("""COMPUTED_VALUE"""),FALSE)</f>
        <v>0</v>
      </c>
      <c r="AB21" s="6" t="b">
        <f>IFERROR(__xludf.DUMMYFUNCTION("""COMPUTED_VALUE"""),FALSE)</f>
        <v>0</v>
      </c>
      <c r="AC21" s="6" t="b">
        <f>IFERROR(__xludf.DUMMYFUNCTION("""COMPUTED_VALUE"""),TRUE)</f>
        <v>1</v>
      </c>
      <c r="AD21" s="6" t="b">
        <f>IFERROR(__xludf.DUMMYFUNCTION("""COMPUTED_VALUE"""),TRUE)</f>
        <v>1</v>
      </c>
      <c r="AE21" s="6"/>
      <c r="AF21" s="6" t="b">
        <f>IFERROR(__xludf.DUMMYFUNCTION("""COMPUTED_VALUE"""),FALSE)</f>
        <v>0</v>
      </c>
      <c r="AG21" s="6" t="str">
        <f>IFERROR(__xludf.DUMMYFUNCTION("""COMPUTED_VALUE"""),"2026-07-14T16:02:39+00:00")</f>
        <v>2026-07-14T16:02:39+00:00</v>
      </c>
      <c r="AH21" s="6" t="str">
        <f>IFERROR(__xludf.DUMMYFUNCTION("""COMPUTED_VALUE"""),"")</f>
        <v/>
      </c>
      <c r="AI21" s="6" t="str">
        <f>IFERROR(__xludf.DUMMYFUNCTION("""COMPUTED_VALUE"""),"#N/A")</f>
        <v>#N/A</v>
      </c>
      <c r="AJ21" s="9" t="s">
        <v>224</v>
      </c>
      <c r="AL21" s="4" t="s">
        <v>236</v>
      </c>
      <c r="AM21" s="9" t="s">
        <v>235</v>
      </c>
      <c r="AN21" s="4" t="str">
        <f>IFERROR(__xludf.DUMMYFUNCTION("IF(OR(AJ21=""general_brand"",AJ21=""external"",AJ21=""unknown""),"""",IF(AJ21=""product_line"",IF(AK21=""START"",""Аналитика старт | Алгоритмы старт | Backend старт | ML старт"",IF(AK21=""PRO"",""AI-агенты про | Алгоритмы про | Аналитика про | ML про | Ba"&amp;"ckend про"",IF(AK21=""START | PRO"",""Аналитика старт | Алгоритмы старт | Backend старт | ML старт | AI-агенты про | Алгоритмы про | Аналитика про | ML про | Backend про"",""""))),TEXTJOIN("" | "",TRUE,IF(REGEXMATCH(LOWER(AL21&amp;"" | ""&amp;E21),""аналитика ста"&amp;"рт""),""Аналитика старт"",""""),IF(REGEXMATCH(LOWER(AL21&amp;"" | ""&amp;E21),""алгоритмы старт""),""Алгоритмы старт"",""""),IF(REGEXMATCH(LOWER(AL21&amp;"" | ""&amp;E21),""backend старт""),""Backend старт"",""""),IF(REGEXMATCH(LOWER(AL21&amp;"" | ""&amp;E21),""ml старт""),""ML "&amp;"старт"",""""),IF(REGEXMATCH(LOWER(AL21&amp;"" | ""&amp;E21),""ai[ -]?агент""),""AI-агенты про"",""""),IF(REGEXMATCH(LOWER(AL21&amp;"" | ""&amp;E21),""алгоритмы про""),""Алгоритмы про"",""""),IF(REGEXMATCH(LOWER(AL21&amp;"" | ""&amp;E21),""аналитика про""),""Аналитика про"","""")"&amp;",IF(REGEXMATCH(LOWER(AL21&amp;"" | ""&amp;E21),""ml про""),""ML про"",""""),IF(REGEXMATCH(LOWER(AL21&amp;"" | ""&amp;E21),""backend про""),""Backend про"",""""),IF(REGEXMATCH(LOWER(AL21&amp;"" | ""&amp;E21),""(а/в|ав|а в|ab)[ -]?тест""),""А/В-тесты"",""""),IF(REGEXMATCH(LOWER(AL"&amp;"21&amp;"" | ""&amp;E21),""data science""),""Data science"",""""),IF(REGEXMATCH(LOWER(AL21&amp;"" | ""&amp;E21),""data[- ]?инжен""),""Data-инженер"",""""),IF(REGEXMATCH(LOWER(AL21&amp;"" | ""&amp;E21),""frontend""),""Frontend"",""""))))"),"")</f>
        <v/>
      </c>
    </row>
    <row r="22">
      <c r="A22" s="6" t="str">
        <f>IFERROR(__xludf.DUMMYFUNCTION("""COMPUTED_VALUE"""),"INT-1793")</f>
        <v>INT-1793</v>
      </c>
      <c r="B22" s="6" t="str">
        <f>IFERROR(__xludf.DUMMYFUNCTION("""COMPUTED_VALUE"""),"2026-07-14 19:28:37")</f>
        <v>2026-07-14 19:28:37</v>
      </c>
      <c r="C22" s="6" t="str">
        <f>IFERROR(__xludf.DUMMYFUNCTION("""COMPUTED_VALUE"""),"@postypashki_old")</f>
        <v>@postypashki_old</v>
      </c>
      <c r="D22" s="4" t="str">
        <f>IFERROR(__xludf.DUMMYFUNCTION("""COMPUTED_VALUE"""),"Контент с предложением курсов")</f>
        <v>Контент с предложением курсов</v>
      </c>
      <c r="E22" s="6" t="str">
        <f>IFERROR(__xludf.DUMMYFUNCTION("""COMPUTED_VALUE"""),"Алгоритмы старт")</f>
        <v>Алгоритмы старт</v>
      </c>
      <c r="F22" s="6" t="str">
        <f>IFERROR(__xludf.DUMMYFUNCTION("""COMPUTED_VALUE"""),"")</f>
        <v/>
      </c>
      <c r="G22" s="6" t="str">
        <f>IFERROR(__xludf.DUMMYFUNCTION("""COMPUTED_VALUE"""),"postypashki_old/1793")</f>
        <v>postypashki_old/1793</v>
      </c>
      <c r="H22" s="6" t="str">
        <f>IFERROR(__xludf.DUMMYFUNCTION("""COMPUTED_VALUE"""),"Если Python вы уже знаете на достаточно уровне и готовы полноценно переходить к алгоритмам, присоединяйтесь к нашему основному курсу Алгоритмы СТАРТ
На нём разбираем алгоритмы и структуры данных, решаем задачи с собесов и готовимся к алгоритмическим секц"&amp;"иям в BigTech
Отзыв ученика с курса")</f>
        <v>Если Python вы уже знаете на достаточно уровне и готовы полноценно переходить к алгоритмам, присоединяйтесь к нашему основному курсу Алгоритмы СТАРТ
На нём разбираем алгоритмы и структуры данных, решаем задачи с собесов и готовимся к алгоритмическим секциям в BigTech
Отзыв ученика с курса</v>
      </c>
      <c r="I22" s="6" t="str">
        <f>IFERROR(__xludf.DUMMYFUNCTION("""COMPUTED_VALUE"""),"internal")</f>
        <v>internal</v>
      </c>
      <c r="J22" s="10" t="str">
        <f>IFERROR(__xludf.DUMMYFUNCTION("""COMPUTED_VALUE"""),"https://t.me/postypashki_old/1793")</f>
        <v>https://t.me/postypashki_old/1793</v>
      </c>
      <c r="K22" s="6">
        <f>IFERROR(__xludf.DUMMYFUNCTION("""COMPUTED_VALUE"""),19500.0)</f>
        <v>19500</v>
      </c>
      <c r="L22" s="6">
        <f>IFERROR(__xludf.DUMMYFUNCTION("""COMPUTED_VALUE"""),8.0)</f>
        <v>8</v>
      </c>
      <c r="M22" s="6" t="str">
        <f>IFERROR(__xludf.DUMMYFUNCTION("""COMPUTED_VALUE"""),"")</f>
        <v/>
      </c>
      <c r="N22" s="6" t="str">
        <f>IFERROR(__xludf.DUMMYFUNCTION("""COMPUTED_VALUE"""),"Telegram")</f>
        <v>Telegram</v>
      </c>
      <c r="O22" s="6" t="str">
        <f>IFERROR(__xludf.DUMMYFUNCTION("""COMPUTED_VALUE"""),"raw")</f>
        <v>raw</v>
      </c>
      <c r="P22" s="6" t="str">
        <f>IFERROR(__xludf.DUMMYFUNCTION("""COMPUTED_VALUE"""),"Codex")</f>
        <v>Codex</v>
      </c>
      <c r="Q22" s="6" t="str">
        <f>IFERROR(__xludf.DUMMYFUNCTION("""COMPUTED_VALUE"""),"Если Python вы уже знаете на достаточно уровне и готовы полноценно переходить к алгоритмам, присоединяйтесь к нашему основному курсу Алгоритмы СТАРТ На нём разбираем алгоритмы и ст")</f>
        <v>Если Python вы уже знаете на достаточно уровне и готовы полноценно переходить к алгоритмам, присоединяйтесь к нашему основному курсу Алгоритмы СТАРТ На нём разбираем алгоритмы и ст</v>
      </c>
      <c r="R22" s="6" t="str">
        <f>IFERROR(__xludf.DUMMYFUNCTION("""COMPUTED_VALUE"""),"internal")</f>
        <v>internal</v>
      </c>
      <c r="S22" s="6" t="str">
        <f>IFERROR(__xludf.DUMMYFUNCTION("""COMPUTED_VALUE"""),"unknown")</f>
        <v>unknown</v>
      </c>
      <c r="T22" s="6" t="str">
        <f>IFERROR(__xludf.DUMMYFUNCTION("""COMPUTED_VALUE"""),"telegram_internal")</f>
        <v>telegram_internal</v>
      </c>
      <c r="U22" s="6" t="str">
        <f>IFERROR(__xludf.DUMMYFUNCTION("""COMPUTED_VALUE"""),"Контент с предложением курсов")</f>
        <v>Контент с предложением курсов</v>
      </c>
      <c r="V22" s="6" t="str">
        <f>IFERROR(__xludf.DUMMYFUNCTION("""COMPUTED_VALUE"""),"Предыстория")</f>
        <v>Предыстория</v>
      </c>
      <c r="W22" s="6"/>
      <c r="X22" s="6"/>
      <c r="Y22" s="6" t="str">
        <f>IFERROR(__xludf.DUMMYFUNCTION("""COMPUTED_VALUE"""),"")</f>
        <v/>
      </c>
      <c r="Z22" s="6" t="str">
        <f>IFERROR(__xludf.DUMMYFUNCTION("""COMPUTED_VALUE"""),"")</f>
        <v/>
      </c>
      <c r="AA22" s="6" t="b">
        <f>IFERROR(__xludf.DUMMYFUNCTION("""COMPUTED_VALUE"""),TRUE)</f>
        <v>1</v>
      </c>
      <c r="AB22" s="6" t="b">
        <f>IFERROR(__xludf.DUMMYFUNCTION("""COMPUTED_VALUE"""),FALSE)</f>
        <v>0</v>
      </c>
      <c r="AC22" s="6" t="b">
        <f>IFERROR(__xludf.DUMMYFUNCTION("""COMPUTED_VALUE"""),FALSE)</f>
        <v>0</v>
      </c>
      <c r="AD22" s="6" t="b">
        <f>IFERROR(__xludf.DUMMYFUNCTION("""COMPUTED_VALUE"""),FALSE)</f>
        <v>0</v>
      </c>
      <c r="AE22" s="6"/>
      <c r="AF22" s="6" t="b">
        <f>IFERROR(__xludf.DUMMYFUNCTION("""COMPUTED_VALUE"""),FALSE)</f>
        <v>0</v>
      </c>
      <c r="AG22" s="6" t="str">
        <f>IFERROR(__xludf.DUMMYFUNCTION("""COMPUTED_VALUE"""),"2026-07-14T16:28:37+00:00")</f>
        <v>2026-07-14T16:28:37+00:00</v>
      </c>
      <c r="AH22" s="6" t="str">
        <f>IFERROR(__xludf.DUMMYFUNCTION("""COMPUTED_VALUE"""),"")</f>
        <v/>
      </c>
      <c r="AI22" s="6" t="str">
        <f>IFERROR(__xludf.DUMMYFUNCTION("""COMPUTED_VALUE"""),"#N/A")</f>
        <v>#N/A</v>
      </c>
      <c r="AJ22" s="9" t="s">
        <v>224</v>
      </c>
      <c r="AK22" s="9" t="s">
        <v>213</v>
      </c>
      <c r="AL22" s="4" t="s">
        <v>234</v>
      </c>
      <c r="AM22" s="9" t="s">
        <v>235</v>
      </c>
      <c r="AN22" s="4" t="str">
        <f>IFERROR(__xludf.DUMMYFUNCTION("IF(OR(AJ22=""general_brand"",AJ22=""external"",AJ22=""unknown""),"""",IF(AJ22=""product_line"",IF(AK22=""START"",""Аналитика старт | Алгоритмы старт | Backend старт | ML старт"",IF(AK22=""PRO"",""AI-агенты про | Алгоритмы про | Аналитика про | ML про | Ba"&amp;"ckend про"",IF(AK22=""START | PRO"",""Аналитика старт | Алгоритмы старт | Backend старт | ML старт | AI-агенты про | Алгоритмы про | Аналитика про | ML про | Backend про"",""""))),TEXTJOIN("" | "",TRUE,IF(REGEXMATCH(LOWER(AL22&amp;"" | ""&amp;E22),""аналитика ста"&amp;"рт""),""Аналитика старт"",""""),IF(REGEXMATCH(LOWER(AL22&amp;"" | ""&amp;E22),""алгоритмы старт""),""Алгоритмы старт"",""""),IF(REGEXMATCH(LOWER(AL22&amp;"" | ""&amp;E22),""backend старт""),""Backend старт"",""""),IF(REGEXMATCH(LOWER(AL22&amp;"" | ""&amp;E22),""ml старт""),""ML "&amp;"старт"",""""),IF(REGEXMATCH(LOWER(AL22&amp;"" | ""&amp;E22),""ai[ -]?агент""),""AI-агенты про"",""""),IF(REGEXMATCH(LOWER(AL22&amp;"" | ""&amp;E22),""алгоритмы про""),""Алгоритмы про"",""""),IF(REGEXMATCH(LOWER(AL22&amp;"" | ""&amp;E22),""аналитика про""),""Аналитика про"","""")"&amp;",IF(REGEXMATCH(LOWER(AL22&amp;"" | ""&amp;E22),""ml про""),""ML про"",""""),IF(REGEXMATCH(LOWER(AL22&amp;"" | ""&amp;E22),""backend про""),""Backend про"",""""),IF(REGEXMATCH(LOWER(AL22&amp;"" | ""&amp;E22),""(а/в|ав|а в|ab)[ -]?тест""),""А/В-тесты"",""""),IF(REGEXMATCH(LOWER(AL"&amp;"22&amp;"" | ""&amp;E22),""data science""),""Data science"",""""),IF(REGEXMATCH(LOWER(AL22&amp;"" | ""&amp;E22),""data[- ]?инжен""),""Data-инженер"",""""),IF(REGEXMATCH(LOWER(AL22&amp;"" | ""&amp;E22),""frontend""),""Frontend"",""""))))"),"Алгоритмы старт")</f>
        <v>Алгоритмы старт</v>
      </c>
    </row>
    <row r="23">
      <c r="A23" s="6" t="str">
        <f>IFERROR(__xludf.DUMMYFUNCTION("""COMPUTED_VALUE"""),"INT-1794")</f>
        <v>INT-1794</v>
      </c>
      <c r="B23" s="6" t="str">
        <f>IFERROR(__xludf.DUMMYFUNCTION("""COMPUTED_VALUE"""),"2026-07-14 19:28:49")</f>
        <v>2026-07-14 19:28:49</v>
      </c>
      <c r="C23" s="6" t="str">
        <f>IFERROR(__xludf.DUMMYFUNCTION("""COMPUTED_VALUE"""),"@postypashki_old")</f>
        <v>@postypashki_old</v>
      </c>
      <c r="D23" s="4" t="str">
        <f>IFERROR(__xludf.DUMMYFUNCTION("""COMPUTED_VALUE"""),"Прочий контент")</f>
        <v>Прочий контент</v>
      </c>
      <c r="E23" s="6"/>
      <c r="F23" s="6" t="str">
        <f>IFERROR(__xludf.DUMMYFUNCTION("""COMPUTED_VALUE"""),"")</f>
        <v/>
      </c>
      <c r="G23" s="6" t="str">
        <f>IFERROR(__xludf.DUMMYFUNCTION("""COMPUTED_VALUE"""),"postypashki_old/1794")</f>
        <v>postypashki_old/1794</v>
      </c>
      <c r="H23" s="6"/>
      <c r="I23" s="6" t="str">
        <f>IFERROR(__xludf.DUMMYFUNCTION("""COMPUTED_VALUE"""),"internal")</f>
        <v>internal</v>
      </c>
      <c r="J23" s="10" t="str">
        <f>IFERROR(__xludf.DUMMYFUNCTION("""COMPUTED_VALUE"""),"https://t.me/postypashki_old/1794")</f>
        <v>https://t.me/postypashki_old/1794</v>
      </c>
      <c r="K23" s="6">
        <f>IFERROR(__xludf.DUMMYFUNCTION("""COMPUTED_VALUE"""),18700.0)</f>
        <v>18700</v>
      </c>
      <c r="L23" s="6">
        <f>IFERROR(__xludf.DUMMYFUNCTION("""COMPUTED_VALUE"""),86.0)</f>
        <v>86</v>
      </c>
      <c r="M23" s="6" t="str">
        <f>IFERROR(__xludf.DUMMYFUNCTION("""COMPUTED_VALUE"""),"")</f>
        <v/>
      </c>
      <c r="N23" s="6" t="str">
        <f>IFERROR(__xludf.DUMMYFUNCTION("""COMPUTED_VALUE"""),"Telegram")</f>
        <v>Telegram</v>
      </c>
      <c r="O23" s="6" t="str">
        <f>IFERROR(__xludf.DUMMYFUNCTION("""COMPUTED_VALUE"""),"raw")</f>
        <v>raw</v>
      </c>
      <c r="P23" s="6" t="str">
        <f>IFERROR(__xludf.DUMMYFUNCTION("""COMPUTED_VALUE"""),"Codex")</f>
        <v>Codex</v>
      </c>
      <c r="Q23" s="6" t="str">
        <f>IFERROR(__xludf.DUMMYFUNCTION("""COMPUTED_VALUE"""),"[Медиа без текстовой подписи]")</f>
        <v>[Медиа без текстовой подписи]</v>
      </c>
      <c r="R23" s="6" t="str">
        <f>IFERROR(__xludf.DUMMYFUNCTION("""COMPUTED_VALUE"""),"internal")</f>
        <v>internal</v>
      </c>
      <c r="S23" s="6" t="str">
        <f>IFERROR(__xludf.DUMMYFUNCTION("""COMPUTED_VALUE"""),"unknown")</f>
        <v>unknown</v>
      </c>
      <c r="T23" s="6" t="str">
        <f>IFERROR(__xludf.DUMMYFUNCTION("""COMPUTED_VALUE"""),"telegram_internal")</f>
        <v>telegram_internal</v>
      </c>
      <c r="U23" s="6" t="str">
        <f>IFERROR(__xludf.DUMMYFUNCTION("""COMPUTED_VALUE"""),"Прочий контент")</f>
        <v>Прочий контент</v>
      </c>
      <c r="V23" s="6" t="str">
        <f>IFERROR(__xludf.DUMMYFUNCTION("""COMPUTED_VALUE"""),"Предыстория")</f>
        <v>Предыстория</v>
      </c>
      <c r="W23" s="6" t="str">
        <f>IFERROR(__xludf.DUMMYFUNCTION("""COMPUTED_VALUE"""),"Видео")</f>
        <v>Видео</v>
      </c>
      <c r="X23" s="6"/>
      <c r="Y23" s="6" t="str">
        <f>IFERROR(__xludf.DUMMYFUNCTION("""COMPUTED_VALUE"""),"")</f>
        <v/>
      </c>
      <c r="Z23" s="6" t="str">
        <f>IFERROR(__xludf.DUMMYFUNCTION("""COMPUTED_VALUE"""),"")</f>
        <v/>
      </c>
      <c r="AA23" s="6" t="b">
        <f>IFERROR(__xludf.DUMMYFUNCTION("""COMPUTED_VALUE"""),FALSE)</f>
        <v>0</v>
      </c>
      <c r="AB23" s="6" t="b">
        <f>IFERROR(__xludf.DUMMYFUNCTION("""COMPUTED_VALUE"""),FALSE)</f>
        <v>0</v>
      </c>
      <c r="AC23" s="6" t="b">
        <f>IFERROR(__xludf.DUMMYFUNCTION("""COMPUTED_VALUE"""),FALSE)</f>
        <v>0</v>
      </c>
      <c r="AD23" s="6" t="b">
        <f>IFERROR(__xludf.DUMMYFUNCTION("""COMPUTED_VALUE"""),FALSE)</f>
        <v>0</v>
      </c>
      <c r="AE23" s="6"/>
      <c r="AF23" s="6" t="b">
        <f>IFERROR(__xludf.DUMMYFUNCTION("""COMPUTED_VALUE"""),FALSE)</f>
        <v>0</v>
      </c>
      <c r="AG23" s="6" t="str">
        <f>IFERROR(__xludf.DUMMYFUNCTION("""COMPUTED_VALUE"""),"2026-07-14T16:28:49+00:00")</f>
        <v>2026-07-14T16:28:49+00:00</v>
      </c>
      <c r="AH23" s="6" t="str">
        <f>IFERROR(__xludf.DUMMYFUNCTION("""COMPUTED_VALUE"""),"")</f>
        <v/>
      </c>
      <c r="AI23" s="6" t="str">
        <f>IFERROR(__xludf.DUMMYFUNCTION("""COMPUTED_VALUE"""),"#N/A")</f>
        <v>#N/A</v>
      </c>
      <c r="AJ23" s="9" t="s">
        <v>208</v>
      </c>
      <c r="AM23" s="9" t="s">
        <v>229</v>
      </c>
      <c r="AN23" s="6" t="str">
        <f>IFERROR(__xludf.DUMMYFUNCTION("IF(OR(AJ23=""general_brand"",AJ23=""external"",AJ23=""unknown""),"""",IF(AJ23=""product_line"",IF(AK23=""START"",""Аналитика старт | Алгоритмы старт | Backend старт | ML старт"",IF(AK23=""PRO"",""AI-агенты про | Алгоритмы про | Аналитика про | ML про | Ba"&amp;"ckend про"",IF(AK23=""START | PRO"",""Аналитика старт | Алгоритмы старт | Backend старт | ML старт | AI-агенты про | Алгоритмы про | Аналитика про | ML про | Backend про"",""""))),TEXTJOIN("" | "",TRUE,IF(REGEXMATCH(LOWER(AL23&amp;"" | ""&amp;E23),""аналитика ста"&amp;"рт""),""Аналитика старт"",""""),IF(REGEXMATCH(LOWER(AL23&amp;"" | ""&amp;E23),""алгоритмы старт""),""Алгоритмы старт"",""""),IF(REGEXMATCH(LOWER(AL23&amp;"" | ""&amp;E23),""backend старт""),""Backend старт"",""""),IF(REGEXMATCH(LOWER(AL23&amp;"" | ""&amp;E23),""ml старт""),""ML "&amp;"старт"",""""),IF(REGEXMATCH(LOWER(AL23&amp;"" | ""&amp;E23),""ai[ -]?агент""),""AI-агенты про"",""""),IF(REGEXMATCH(LOWER(AL23&amp;"" | ""&amp;E23),""алгоритмы про""),""Алгоритмы про"",""""),IF(REGEXMATCH(LOWER(AL23&amp;"" | ""&amp;E23),""аналитика про""),""Аналитика про"","""")"&amp;",IF(REGEXMATCH(LOWER(AL23&amp;"" | ""&amp;E23),""ml про""),""ML про"",""""),IF(REGEXMATCH(LOWER(AL23&amp;"" | ""&amp;E23),""backend про""),""Backend про"",""""),IF(REGEXMATCH(LOWER(AL23&amp;"" | ""&amp;E23),""(а/в|ав|а в|ab)[ -]?тест""),""А/В-тесты"",""""),IF(REGEXMATCH(LOWER(AL"&amp;"23&amp;"" | ""&amp;E23),""data science""),""Data science"",""""),IF(REGEXMATCH(LOWER(AL23&amp;"" | ""&amp;E23),""data[- ]?инжен""),""Data-инженер"",""""),IF(REGEXMATCH(LOWER(AL23&amp;"" | ""&amp;E23),""frontend""),""Frontend"",""""))))"),"")</f>
        <v/>
      </c>
    </row>
    <row r="24">
      <c r="A24" s="6" t="str">
        <f>IFERROR(__xludf.DUMMYFUNCTION("""COMPUTED_VALUE"""),"INT-1796")</f>
        <v>INT-1796</v>
      </c>
      <c r="B24" s="6" t="str">
        <f>IFERROR(__xludf.DUMMYFUNCTION("""COMPUTED_VALUE"""),"2026-07-15 18:15:19")</f>
        <v>2026-07-15 18:15:19</v>
      </c>
      <c r="C24" s="6" t="str">
        <f>IFERROR(__xludf.DUMMYFUNCTION("""COMPUTED_VALUE"""),"@postypashki_old")</f>
        <v>@postypashki_old</v>
      </c>
      <c r="D24" s="4" t="str">
        <f>IFERROR(__xludf.DUMMYFUNCTION("""COMPUTED_VALUE"""),"Контент с упоминанием")</f>
        <v>Контент с упоминанием</v>
      </c>
      <c r="E24" s="6"/>
      <c r="F24" s="6" t="str">
        <f>IFERROR(__xludf.DUMMYFUNCTION("""COMPUTED_VALUE"""),"")</f>
        <v/>
      </c>
      <c r="G24" s="6" t="str">
        <f>IFERROR(__xludf.DUMMYFUNCTION("""COMPUTED_VALUE"""),"postypashki_old/1796")</f>
        <v>postypashki_old/1796</v>
      </c>
      <c r="H24" s="6" t="str">
        <f>IFERROR(__xludf.DUMMYFUNCTION("""COMPUTED_VALUE"""),"Разбираем экзамен в Академию Авито 2026. Задачи в этом году оказались намного проще предыдущего — все темы мы разбирали на нашем интенсиве. 
Всех же остальных прошу не отчаиваться и сосредоточиться на конструктиве. Сейчас важно, пока нет учебы и других д"&amp;"ел, разобраться в основных темах с собеседований, решить реальные задачи и уже осенью (в сезон найма, кстати) уверенно выйти на рынок и начать карьеру. Для этого советую наши карьерные курсы старт. 
@postypashki_old")</f>
        <v>Разбираем экзамен в Академию Авито 2026. Задачи в этом году оказались намного проще предыдущего — все темы мы разбирали на нашем интенсиве. 
Всех же остальных прошу не отчаиваться и сосредоточиться на конструктиве. Сейчас важно, пока нет учебы и других дел, разобраться в основных темах с собеседований, решить реальные задачи и уже осенью (в сезон найма, кстати) уверенно выйти на рынок и начать карьеру. Для этого советую наши карьерные курсы старт. 
@postypashki_old</v>
      </c>
      <c r="I24" s="6" t="str">
        <f>IFERROR(__xludf.DUMMYFUNCTION("""COMPUTED_VALUE"""),"internal")</f>
        <v>internal</v>
      </c>
      <c r="J24" s="10" t="str">
        <f>IFERROR(__xludf.DUMMYFUNCTION("""COMPUTED_VALUE"""),"https://t.me/postypashki_old/1796")</f>
        <v>https://t.me/postypashki_old/1796</v>
      </c>
      <c r="K24" s="6">
        <f>IFERROR(__xludf.DUMMYFUNCTION("""COMPUTED_VALUE"""),19100.0)</f>
        <v>19100</v>
      </c>
      <c r="L24" s="6">
        <f>IFERROR(__xludf.DUMMYFUNCTION("""COMPUTED_VALUE"""),36.0)</f>
        <v>36</v>
      </c>
      <c r="M24" s="6" t="str">
        <f>IFERROR(__xludf.DUMMYFUNCTION("""COMPUTED_VALUE"""),"")</f>
        <v/>
      </c>
      <c r="N24" s="6" t="str">
        <f>IFERROR(__xludf.DUMMYFUNCTION("""COMPUTED_VALUE"""),"Telegram")</f>
        <v>Telegram</v>
      </c>
      <c r="O24" s="6" t="str">
        <f>IFERROR(__xludf.DUMMYFUNCTION("""COMPUTED_VALUE"""),"raw")</f>
        <v>raw</v>
      </c>
      <c r="P24" s="6" t="str">
        <f>IFERROR(__xludf.DUMMYFUNCTION("""COMPUTED_VALUE"""),"Codex")</f>
        <v>Codex</v>
      </c>
      <c r="Q24" s="6" t="str">
        <f>IFERROR(__xludf.DUMMYFUNCTION("""COMPUTED_VALUE"""),"Разбираем экзамен в Академию Авито 2026. Задачи в этом году оказались намного проще предыдущего — все темы мы разбирали на нашем интенсиве. Всех же остальных прошу не отчаиваться и")</f>
        <v>Разбираем экзамен в Академию Авито 2026. Задачи в этом году оказались намного проще предыдущего — все темы мы разбирали на нашем интенсиве. Всех же остальных прошу не отчаиваться и</v>
      </c>
      <c r="R24" s="6" t="str">
        <f>IFERROR(__xludf.DUMMYFUNCTION("""COMPUTED_VALUE"""),"internal")</f>
        <v>internal</v>
      </c>
      <c r="S24" s="6" t="str">
        <f>IFERROR(__xludf.DUMMYFUNCTION("""COMPUTED_VALUE"""),"unknown")</f>
        <v>unknown</v>
      </c>
      <c r="T24" s="6" t="str">
        <f>IFERROR(__xludf.DUMMYFUNCTION("""COMPUTED_VALUE"""),"telegram_internal")</f>
        <v>telegram_internal</v>
      </c>
      <c r="U24" s="6" t="str">
        <f>IFERROR(__xludf.DUMMYFUNCTION("""COMPUTED_VALUE"""),"Контент с упоминанием")</f>
        <v>Контент с упоминанием</v>
      </c>
      <c r="V24" s="6" t="str">
        <f>IFERROR(__xludf.DUMMYFUNCTION("""COMPUTED_VALUE"""),"Предыстория")</f>
        <v>Предыстория</v>
      </c>
      <c r="W24" s="6" t="str">
        <f>IFERROR(__xludf.DUMMYFUNCTION("""COMPUTED_VALUE"""),"Файл")</f>
        <v>Файл</v>
      </c>
      <c r="X24" s="6"/>
      <c r="Y24" s="6" t="str">
        <f>IFERROR(__xludf.DUMMYFUNCTION("""COMPUTED_VALUE"""),"")</f>
        <v/>
      </c>
      <c r="Z24" s="6" t="str">
        <f>IFERROR(__xludf.DUMMYFUNCTION("""COMPUTED_VALUE"""),"")</f>
        <v/>
      </c>
      <c r="AA24" s="6" t="b">
        <f>IFERROR(__xludf.DUMMYFUNCTION("""COMPUTED_VALUE"""),FALSE)</f>
        <v>0</v>
      </c>
      <c r="AB24" s="6" t="b">
        <f>IFERROR(__xludf.DUMMYFUNCTION("""COMPUTED_VALUE"""),FALSE)</f>
        <v>0</v>
      </c>
      <c r="AC24" s="6" t="b">
        <f>IFERROR(__xludf.DUMMYFUNCTION("""COMPUTED_VALUE"""),FALSE)</f>
        <v>0</v>
      </c>
      <c r="AD24" s="6" t="b">
        <f>IFERROR(__xludf.DUMMYFUNCTION("""COMPUTED_VALUE"""),FALSE)</f>
        <v>0</v>
      </c>
      <c r="AE24" s="6"/>
      <c r="AF24" s="6" t="b">
        <f>IFERROR(__xludf.DUMMYFUNCTION("""COMPUTED_VALUE"""),FALSE)</f>
        <v>0</v>
      </c>
      <c r="AG24" s="6" t="str">
        <f>IFERROR(__xludf.DUMMYFUNCTION("""COMPUTED_VALUE"""),"2026-07-15T15:15:19+00:00")</f>
        <v>2026-07-15T15:15:19+00:00</v>
      </c>
      <c r="AH24" s="6" t="str">
        <f>IFERROR(__xludf.DUMMYFUNCTION("""COMPUTED_VALUE"""),"")</f>
        <v/>
      </c>
      <c r="AI24" s="6" t="str">
        <f>IFERROR(__xludf.DUMMYFUNCTION("""COMPUTED_VALUE"""),"#N/A")</f>
        <v>#N/A</v>
      </c>
      <c r="AJ24" s="9" t="s">
        <v>167</v>
      </c>
      <c r="AK24" s="9" t="s">
        <v>213</v>
      </c>
      <c r="AM24" s="9" t="s">
        <v>219</v>
      </c>
      <c r="AN24" s="4" t="str">
        <f>IFERROR(__xludf.DUMMYFUNCTION("IF(OR(AJ24=""general_brand"",AJ24=""external"",AJ24=""unknown""),"""",IF(AJ24=""product_line"",IF(AK24=""START"",""Аналитика старт | Алгоритмы старт | Backend старт | ML старт"",IF(AK24=""PRO"",""AI-агенты про | Алгоритмы про | Аналитика про | ML про | Ba"&amp;"ckend про"",IF(AK24=""START | PRO"",""Аналитика старт | Алгоритмы старт | Backend старт | ML старт | AI-агенты про | Алгоритмы про | Аналитика про | ML про | Backend про"",""""))),TEXTJOIN("" | "",TRUE,IF(REGEXMATCH(LOWER(AL24&amp;"" | ""&amp;E24),""аналитика ста"&amp;"рт""),""Аналитика старт"",""""),IF(REGEXMATCH(LOWER(AL24&amp;"" | ""&amp;E24),""алгоритмы старт""),""Алгоритмы старт"",""""),IF(REGEXMATCH(LOWER(AL24&amp;"" | ""&amp;E24),""backend старт""),""Backend старт"",""""),IF(REGEXMATCH(LOWER(AL24&amp;"" | ""&amp;E24),""ml старт""),""ML "&amp;"старт"",""""),IF(REGEXMATCH(LOWER(AL24&amp;"" | ""&amp;E24),""ai[ -]?агент""),""AI-агенты про"",""""),IF(REGEXMATCH(LOWER(AL24&amp;"" | ""&amp;E24),""алгоритмы про""),""Алгоритмы про"",""""),IF(REGEXMATCH(LOWER(AL24&amp;"" | ""&amp;E24),""аналитика про""),""Аналитика про"","""")"&amp;",IF(REGEXMATCH(LOWER(AL24&amp;"" | ""&amp;E24),""ml про""),""ML про"",""""),IF(REGEXMATCH(LOWER(AL24&amp;"" | ""&amp;E24),""backend про""),""Backend про"",""""),IF(REGEXMATCH(LOWER(AL24&amp;"" | ""&amp;E24),""(а/в|ав|а в|ab)[ -]?тест""),""А/В-тесты"",""""),IF(REGEXMATCH(LOWER(AL"&amp;"24&amp;"" | ""&amp;E24),""data science""),""Data science"",""""),IF(REGEXMATCH(LOWER(AL24&amp;"" | ""&amp;E24),""data[- ]?инжен""),""Data-инженер"",""""),IF(REGEXMATCH(LOWER(AL24&amp;"" | ""&amp;E24),""frontend""),""Frontend"",""""))))"),"Аналитика старт | Алгоритмы старт | Backend старт | ML старт")</f>
        <v>Аналитика старт | Алгоритмы старт | Backend старт | ML старт</v>
      </c>
    </row>
    <row r="25">
      <c r="A25" s="6" t="str">
        <f>IFERROR(__xludf.DUMMYFUNCTION("""COMPUTED_VALUE"""),"INT-1797")</f>
        <v>INT-1797</v>
      </c>
      <c r="B25" s="6" t="str">
        <f>IFERROR(__xludf.DUMMYFUNCTION("""COMPUTED_VALUE"""),"2026-07-16 19:21:54")</f>
        <v>2026-07-16 19:21:54</v>
      </c>
      <c r="C25" s="6" t="str">
        <f>IFERROR(__xludf.DUMMYFUNCTION("""COMPUTED_VALUE"""),"@postypashki_old")</f>
        <v>@postypashki_old</v>
      </c>
      <c r="D25" s="4" t="str">
        <f>IFERROR(__xludf.DUMMYFUNCTION("""COMPUTED_VALUE"""),"Прочий контент")</f>
        <v>Прочий контент</v>
      </c>
      <c r="E25" s="6"/>
      <c r="F25" s="6" t="str">
        <f>IFERROR(__xludf.DUMMYFUNCTION("""COMPUTED_VALUE"""),"")</f>
        <v/>
      </c>
      <c r="G25" s="6" t="str">
        <f>IFERROR(__xludf.DUMMYFUNCTION("""COMPUTED_VALUE"""),"postypashki_old/1797")</f>
        <v>postypashki_old/1797</v>
      </c>
      <c r="H25" s="6" t="str">
        <f>IFERROR(__xludf.DUMMYFUNCTION("""COMPUTED_VALUE"""),"Сокращения продолжаются, поэтому в новом ролике обсудим как развести лакеев капитала на пять окладов! Смотрим! Смотрим!
 youtube.com/watch?v=K7IWP0BM-_M")</f>
        <v>Сокращения продолжаются, поэтому в новом ролике обсудим как развести лакеев капитала на пять окладов! Смотрим! Смотрим!
 youtube.com/watch?v=K7IWP0BM-_M</v>
      </c>
      <c r="I25" s="6" t="str">
        <f>IFERROR(__xludf.DUMMYFUNCTION("""COMPUTED_VALUE"""),"internal")</f>
        <v>internal</v>
      </c>
      <c r="J25" s="10" t="str">
        <f>IFERROR(__xludf.DUMMYFUNCTION("""COMPUTED_VALUE"""),"https://t.me/postypashki_old/1797")</f>
        <v>https://t.me/postypashki_old/1797</v>
      </c>
      <c r="K25" s="6">
        <f>IFERROR(__xludf.DUMMYFUNCTION("""COMPUTED_VALUE"""),22600.0)</f>
        <v>22600</v>
      </c>
      <c r="L25" s="6">
        <f>IFERROR(__xludf.DUMMYFUNCTION("""COMPUTED_VALUE"""),34.0)</f>
        <v>34</v>
      </c>
      <c r="M25" s="6" t="str">
        <f>IFERROR(__xludf.DUMMYFUNCTION("""COMPUTED_VALUE"""),"")</f>
        <v/>
      </c>
      <c r="N25" s="6" t="str">
        <f>IFERROR(__xludf.DUMMYFUNCTION("""COMPUTED_VALUE"""),"Telegram")</f>
        <v>Telegram</v>
      </c>
      <c r="O25" s="6" t="str">
        <f>IFERROR(__xludf.DUMMYFUNCTION("""COMPUTED_VALUE"""),"raw")</f>
        <v>raw</v>
      </c>
      <c r="P25" s="6" t="str">
        <f>IFERROR(__xludf.DUMMYFUNCTION("""COMPUTED_VALUE"""),"Codex")</f>
        <v>Codex</v>
      </c>
      <c r="Q25" s="6" t="str">
        <f>IFERROR(__xludf.DUMMYFUNCTION("""COMPUTED_VALUE"""),"Сокращения продолжаются, поэтому в новом ролике обсудим как развести лакеев капитала на пять окладов! Смотрим! Смотрим! youtube.com/watch?v=K7IWP0BM-_M")</f>
        <v>Сокращения продолжаются, поэтому в новом ролике обсудим как развести лакеев капитала на пять окладов! Смотрим! Смотрим! youtube.com/watch?v=K7IWP0BM-_M</v>
      </c>
      <c r="R25" s="6" t="str">
        <f>IFERROR(__xludf.DUMMYFUNCTION("""COMPUTED_VALUE"""),"internal")</f>
        <v>internal</v>
      </c>
      <c r="S25" s="6" t="str">
        <f>IFERROR(__xludf.DUMMYFUNCTION("""COMPUTED_VALUE"""),"unknown")</f>
        <v>unknown</v>
      </c>
      <c r="T25" s="6" t="str">
        <f>IFERROR(__xludf.DUMMYFUNCTION("""COMPUTED_VALUE"""),"telegram_internal")</f>
        <v>telegram_internal</v>
      </c>
      <c r="U25" s="6" t="str">
        <f>IFERROR(__xludf.DUMMYFUNCTION("""COMPUTED_VALUE"""),"Прочий контент")</f>
        <v>Прочий контент</v>
      </c>
      <c r="V25" s="6" t="str">
        <f>IFERROR(__xludf.DUMMYFUNCTION("""COMPUTED_VALUE"""),"Предыстория")</f>
        <v>Предыстория</v>
      </c>
      <c r="W25" s="6"/>
      <c r="X25" s="6"/>
      <c r="Y25" s="6" t="str">
        <f>IFERROR(__xludf.DUMMYFUNCTION("""COMPUTED_VALUE"""),"")</f>
        <v/>
      </c>
      <c r="Z25" s="6" t="str">
        <f>IFERROR(__xludf.DUMMYFUNCTION("""COMPUTED_VALUE"""),"")</f>
        <v/>
      </c>
      <c r="AA25" s="6" t="b">
        <f>IFERROR(__xludf.DUMMYFUNCTION("""COMPUTED_VALUE"""),FALSE)</f>
        <v>0</v>
      </c>
      <c r="AB25" s="6" t="b">
        <f>IFERROR(__xludf.DUMMYFUNCTION("""COMPUTED_VALUE"""),FALSE)</f>
        <v>0</v>
      </c>
      <c r="AC25" s="6" t="b">
        <f>IFERROR(__xludf.DUMMYFUNCTION("""COMPUTED_VALUE"""),FALSE)</f>
        <v>0</v>
      </c>
      <c r="AD25" s="6" t="b">
        <f>IFERROR(__xludf.DUMMYFUNCTION("""COMPUTED_VALUE"""),FALSE)</f>
        <v>0</v>
      </c>
      <c r="AE25" s="6"/>
      <c r="AF25" s="6" t="b">
        <f>IFERROR(__xludf.DUMMYFUNCTION("""COMPUTED_VALUE"""),FALSE)</f>
        <v>0</v>
      </c>
      <c r="AG25" s="6" t="str">
        <f>IFERROR(__xludf.DUMMYFUNCTION("""COMPUTED_VALUE"""),"2026-07-16T16:21:54+00:00")</f>
        <v>2026-07-16T16:21:54+00:00</v>
      </c>
      <c r="AH25" s="6" t="str">
        <f>IFERROR(__xludf.DUMMYFUNCTION("""COMPUTED_VALUE"""),"")</f>
        <v/>
      </c>
      <c r="AI25" s="6" t="str">
        <f>IFERROR(__xludf.DUMMYFUNCTION("""COMPUTED_VALUE"""),"#N/A")</f>
        <v>#N/A</v>
      </c>
      <c r="AJ25" s="9" t="s">
        <v>208</v>
      </c>
      <c r="AM25" s="9" t="s">
        <v>219</v>
      </c>
      <c r="AN25" s="6" t="str">
        <f>IFERROR(__xludf.DUMMYFUNCTION("IF(OR(AJ25=""general_brand"",AJ25=""external"",AJ25=""unknown""),"""",IF(AJ25=""product_line"",IF(AK25=""START"",""Аналитика старт | Алгоритмы старт | Backend старт | ML старт"",IF(AK25=""PRO"",""AI-агенты про | Алгоритмы про | Аналитика про | ML про | Ba"&amp;"ckend про"",IF(AK25=""START | PRO"",""Аналитика старт | Алгоритмы старт | Backend старт | ML старт | AI-агенты про | Алгоритмы про | Аналитика про | ML про | Backend про"",""""))),TEXTJOIN("" | "",TRUE,IF(REGEXMATCH(LOWER(AL25&amp;"" | ""&amp;E25),""аналитика ста"&amp;"рт""),""Аналитика старт"",""""),IF(REGEXMATCH(LOWER(AL25&amp;"" | ""&amp;E25),""алгоритмы старт""),""Алгоритмы старт"",""""),IF(REGEXMATCH(LOWER(AL25&amp;"" | ""&amp;E25),""backend старт""),""Backend старт"",""""),IF(REGEXMATCH(LOWER(AL25&amp;"" | ""&amp;E25),""ml старт""),""ML "&amp;"старт"",""""),IF(REGEXMATCH(LOWER(AL25&amp;"" | ""&amp;E25),""ai[ -]?агент""),""AI-агенты про"",""""),IF(REGEXMATCH(LOWER(AL25&amp;"" | ""&amp;E25),""алгоритмы про""),""Алгоритмы про"",""""),IF(REGEXMATCH(LOWER(AL25&amp;"" | ""&amp;E25),""аналитика про""),""Аналитика про"","""")"&amp;",IF(REGEXMATCH(LOWER(AL25&amp;"" | ""&amp;E25),""ml про""),""ML про"",""""),IF(REGEXMATCH(LOWER(AL25&amp;"" | ""&amp;E25),""backend про""),""Backend про"",""""),IF(REGEXMATCH(LOWER(AL25&amp;"" | ""&amp;E25),""(а/в|ав|а в|ab)[ -]?тест""),""А/В-тесты"",""""),IF(REGEXMATCH(LOWER(AL"&amp;"25&amp;"" | ""&amp;E25),""data science""),""Data science"",""""),IF(REGEXMATCH(LOWER(AL25&amp;"" | ""&amp;E25),""data[- ]?инжен""),""Data-инженер"",""""),IF(REGEXMATCH(LOWER(AL25&amp;"" | ""&amp;E25),""frontend""),""Frontend"",""""))))"),"")</f>
        <v/>
      </c>
    </row>
    <row r="26">
      <c r="A26" s="6" t="str">
        <f>IFERROR(__xludf.DUMMYFUNCTION("""COMPUTED_VALUE"""),"INT-1798")</f>
        <v>INT-1798</v>
      </c>
      <c r="B26" s="6" t="str">
        <f>IFERROR(__xludf.DUMMYFUNCTION("""COMPUTED_VALUE"""),"2026-07-17 15:05:23")</f>
        <v>2026-07-17 15:05:23</v>
      </c>
      <c r="C26" s="6" t="str">
        <f>IFERROR(__xludf.DUMMYFUNCTION("""COMPUTED_VALUE"""),"@postypashki_old")</f>
        <v>@postypashki_old</v>
      </c>
      <c r="D26" s="4" t="str">
        <f>IFERROR(__xludf.DUMMYFUNCTION("""COMPUTED_VALUE"""),"Промо со скидкой")</f>
        <v>Промо со скидкой</v>
      </c>
      <c r="E26" s="6"/>
      <c r="F26" s="6" t="str">
        <f>IFERROR(__xludf.DUMMYFUNCTION("""COMPUTED_VALUE"""),"")</f>
        <v/>
      </c>
      <c r="G26" s="6" t="str">
        <f>IFERROR(__xludf.DUMMYFUNCTION("""COMPUTED_VALUE"""),"postypashki_old/1798")</f>
        <v>postypashki_old/1798</v>
      </c>
      <c r="H26" s="6" t="str">
        <f>IFERROR(__xludf.DUMMYFUNCTION("""COMPUTED_VALUE"""),"Скидки на курсы и обучающие программы в школах «Фоксфорд», «Нетология» и «Алгоритмика», а также до 20%, скидка 10% на магистратуру «Школа 21» в МГИМО и МИФИ
Как получить скидки? Вступить в Клуб акционеров Сбера. В Клубе участвуют те, кто владеет хотя бы "&amp;"одной акцией банка в СберИнвестициях.
За год число участников выросло до 840 тысяч, и с каждым из них банк щедро делится привилегиями.
Что ещё нового по привилегиям:
✔️ Дебетовые карты с уникальным дизайном.
✔️ Надбавка до 0,6% к депозитам.
✔️ Скидка до"&amp;" 3% к ставке по кредитам.
✔️ Скидки до 30% на отдых на курортах.
✔️ Бронь жилья через Отелло и «Домклик» — выгоднее на 10%.
✔️ А для тех, кто хочет жить в центре инноваций, — скидка до 4% на квартиры в СберСити.
Список доступных привилегий зависит от кол"&amp;"ичества акций Сбера, которыми владеет инвестор.
Переходите по ссылке, чтобы увидеть полный список привилегий, и помните — для всех, кто хранит акции Сбера в СберИнвестициях, всегда доступно больше!")</f>
        <v>Скидки на курсы и обучающие программы в школах «Фоксфорд», «Нетология» и «Алгоритмика», а также до 20%, скидка 10% на магистратуру «Школа 21» в МГИМО и МИФИ
Как получить скидки? Вступить в Клуб акционеров Сбера. В Клубе участвуют те, кто владеет хотя бы одной акцией банка в СберИнвестициях.
За год число участников выросло до 840 тысяч, и с каждым из них банк щедро делится привилегиями.
Что ещё нового по привилегиям:
✔️ Дебетовые карты с уникальным дизайном.
✔️ Надбавка до 0,6% к депозитам.
✔️ Скидка до 3% к ставке по кредитам.
✔️ Скидки до 30% на отдых на курортах.
✔️ Бронь жилья через Отелло и «Домклик» — выгоднее на 10%.
✔️ А для тех, кто хочет жить в центре инноваций, — скидка до 4% на квартиры в СберСити.
Список доступных привилегий зависит от количества акций Сбера, которыми владеет инвестор.
Переходите по ссылке, чтобы увидеть полный список привилегий, и помните — для всех, кто хранит акции Сбера в СберИнвестициях, всегда доступно больше!</v>
      </c>
      <c r="I26" s="6" t="str">
        <f>IFERROR(__xludf.DUMMYFUNCTION("""COMPUTED_VALUE"""),"internal")</f>
        <v>internal</v>
      </c>
      <c r="J26" s="10" t="str">
        <f>IFERROR(__xludf.DUMMYFUNCTION("""COMPUTED_VALUE"""),"https://t.me/postypashki_old/1798")</f>
        <v>https://t.me/postypashki_old/1798</v>
      </c>
      <c r="K26" s="6">
        <f>IFERROR(__xludf.DUMMYFUNCTION("""COMPUTED_VALUE"""),17800.0)</f>
        <v>17800</v>
      </c>
      <c r="L26" s="6">
        <f>IFERROR(__xludf.DUMMYFUNCTION("""COMPUTED_VALUE"""),19.0)</f>
        <v>19</v>
      </c>
      <c r="M26" s="6" t="str">
        <f>IFERROR(__xludf.DUMMYFUNCTION("""COMPUTED_VALUE"""),"")</f>
        <v/>
      </c>
      <c r="N26" s="6" t="str">
        <f>IFERROR(__xludf.DUMMYFUNCTION("""COMPUTED_VALUE"""),"Telegram")</f>
        <v>Telegram</v>
      </c>
      <c r="O26" s="6" t="str">
        <f>IFERROR(__xludf.DUMMYFUNCTION("""COMPUTED_VALUE"""),"raw")</f>
        <v>raw</v>
      </c>
      <c r="P26" s="6" t="str">
        <f>IFERROR(__xludf.DUMMYFUNCTION("""COMPUTED_VALUE"""),"Codex")</f>
        <v>Codex</v>
      </c>
      <c r="Q26" s="6" t="str">
        <f>IFERROR(__xludf.DUMMYFUNCTION("""COMPUTED_VALUE"""),"Скидки на курсы и обучающие программы в школах «Фоксфорд», «Нетология» и «Алгоритмика», а также до 20%, скидка 10% на магистратуру «Школа 21» в МГИМО и МИФИ Как получить скидки? Вс")</f>
        <v>Скидки на курсы и обучающие программы в школах «Фоксфорд», «Нетология» и «Алгоритмика», а также до 20%, скидка 10% на магистратуру «Школа 21» в МГИМО и МИФИ Как получить скидки? Вс</v>
      </c>
      <c r="R26" s="6" t="str">
        <f>IFERROR(__xludf.DUMMYFUNCTION("""COMPUTED_VALUE"""),"internal")</f>
        <v>internal</v>
      </c>
      <c r="S26" s="6" t="str">
        <f>IFERROR(__xludf.DUMMYFUNCTION("""COMPUTED_VALUE"""),"unknown")</f>
        <v>unknown</v>
      </c>
      <c r="T26" s="6" t="str">
        <f>IFERROR(__xludf.DUMMYFUNCTION("""COMPUTED_VALUE"""),"telegram_internal")</f>
        <v>telegram_internal</v>
      </c>
      <c r="U26" s="6" t="str">
        <f>IFERROR(__xludf.DUMMYFUNCTION("""COMPUTED_VALUE"""),"Промо со скидкой")</f>
        <v>Промо со скидкой</v>
      </c>
      <c r="V26" s="6" t="str">
        <f>IFERROR(__xludf.DUMMYFUNCTION("""COMPUTED_VALUE"""),"Предыстория")</f>
        <v>Предыстория</v>
      </c>
      <c r="W26" s="6" t="str">
        <f>IFERROR(__xludf.DUMMYFUNCTION("""COMPUTED_VALUE"""),"Фото")</f>
        <v>Фото</v>
      </c>
      <c r="X26" s="6"/>
      <c r="Y26" s="6" t="str">
        <f>IFERROR(__xludf.DUMMYFUNCTION("""COMPUTED_VALUE"""),"")</f>
        <v/>
      </c>
      <c r="Z26" s="6" t="str">
        <f>IFERROR(__xludf.DUMMYFUNCTION("""COMPUTED_VALUE"""),"")</f>
        <v/>
      </c>
      <c r="AA26" s="6" t="b">
        <f>IFERROR(__xludf.DUMMYFUNCTION("""COMPUTED_VALUE"""),FALSE)</f>
        <v>0</v>
      </c>
      <c r="AB26" s="6" t="b">
        <f>IFERROR(__xludf.DUMMYFUNCTION("""COMPUTED_VALUE"""),TRUE)</f>
        <v>1</v>
      </c>
      <c r="AC26" s="6" t="b">
        <f>IFERROR(__xludf.DUMMYFUNCTION("""COMPUTED_VALUE"""),FALSE)</f>
        <v>0</v>
      </c>
      <c r="AD26" s="6" t="b">
        <f>IFERROR(__xludf.DUMMYFUNCTION("""COMPUTED_VALUE"""),FALSE)</f>
        <v>0</v>
      </c>
      <c r="AE26" s="6"/>
      <c r="AF26" s="6" t="b">
        <f>IFERROR(__xludf.DUMMYFUNCTION("""COMPUTED_VALUE"""),TRUE)</f>
        <v>1</v>
      </c>
      <c r="AG26" s="6" t="str">
        <f>IFERROR(__xludf.DUMMYFUNCTION("""COMPUTED_VALUE"""),"2026-07-17T12:05:23+00:00")</f>
        <v>2026-07-17T12:05:23+00:00</v>
      </c>
      <c r="AH26" s="6" t="str">
        <f>IFERROR(__xludf.DUMMYFUNCTION("""COMPUTED_VALUE"""),"")</f>
        <v/>
      </c>
      <c r="AI26" s="6" t="str">
        <f>IFERROR(__xludf.DUMMYFUNCTION("""COMPUTED_VALUE"""),"#N/A")</f>
        <v>#N/A</v>
      </c>
      <c r="AJ26" s="9" t="s">
        <v>176</v>
      </c>
      <c r="AM26" s="9" t="s">
        <v>237</v>
      </c>
      <c r="AN26" s="6" t="str">
        <f>IFERROR(__xludf.DUMMYFUNCTION("IF(OR(AJ26=""general_brand"",AJ26=""external"",AJ26=""unknown""),"""",IF(AJ26=""product_line"",IF(AK26=""START"",""Аналитика старт | Алгоритмы старт | Backend старт | ML старт"",IF(AK26=""PRO"",""AI-агенты про | Алгоритмы про | Аналитика про | ML про | Ba"&amp;"ckend про"",IF(AK26=""START | PRO"",""Аналитика старт | Алгоритмы старт | Backend старт | ML старт | AI-агенты про | Алгоритмы про | Аналитика про | ML про | Backend про"",""""))),TEXTJOIN("" | "",TRUE,IF(REGEXMATCH(LOWER(AL26&amp;"" | ""&amp;E26),""аналитика ста"&amp;"рт""),""Аналитика старт"",""""),IF(REGEXMATCH(LOWER(AL26&amp;"" | ""&amp;E26),""алгоритмы старт""),""Алгоритмы старт"",""""),IF(REGEXMATCH(LOWER(AL26&amp;"" | ""&amp;E26),""backend старт""),""Backend старт"",""""),IF(REGEXMATCH(LOWER(AL26&amp;"" | ""&amp;E26),""ml старт""),""ML "&amp;"старт"",""""),IF(REGEXMATCH(LOWER(AL26&amp;"" | ""&amp;E26),""ai[ -]?агент""),""AI-агенты про"",""""),IF(REGEXMATCH(LOWER(AL26&amp;"" | ""&amp;E26),""алгоритмы про""),""Алгоритмы про"",""""),IF(REGEXMATCH(LOWER(AL26&amp;"" | ""&amp;E26),""аналитика про""),""Аналитика про"","""")"&amp;",IF(REGEXMATCH(LOWER(AL26&amp;"" | ""&amp;E26),""ml про""),""ML про"",""""),IF(REGEXMATCH(LOWER(AL26&amp;"" | ""&amp;E26),""backend про""),""Backend про"",""""),IF(REGEXMATCH(LOWER(AL26&amp;"" | ""&amp;E26),""(а/в|ав|а в|ab)[ -]?тест""),""А/В-тесты"",""""),IF(REGEXMATCH(LOWER(AL"&amp;"26&amp;"" | ""&amp;E26),""data science""),""Data science"",""""),IF(REGEXMATCH(LOWER(AL26&amp;"" | ""&amp;E26),""data[- ]?инжен""),""Data-инженер"",""""),IF(REGEXMATCH(LOWER(AL26&amp;"" | ""&amp;E26),""frontend""),""Frontend"",""""))))"),"")</f>
        <v/>
      </c>
    </row>
    <row r="27">
      <c r="A27" s="6" t="str">
        <f>IFERROR(__xludf.DUMMYFUNCTION("""COMPUTED_VALUE"""),"INT-1799")</f>
        <v>INT-1799</v>
      </c>
      <c r="B27" s="6" t="str">
        <f>IFERROR(__xludf.DUMMYFUNCTION("""COMPUTED_VALUE"""),"2026-07-17 18:10:18")</f>
        <v>2026-07-17 18:10:18</v>
      </c>
      <c r="C27" s="6" t="str">
        <f>IFERROR(__xludf.DUMMYFUNCTION("""COMPUTED_VALUE"""),"@postypashki_old")</f>
        <v>@postypashki_old</v>
      </c>
      <c r="D27" s="4" t="str">
        <f>IFERROR(__xludf.DUMMYFUNCTION("""COMPUTED_VALUE"""),"Прочий контент")</f>
        <v>Прочий контент</v>
      </c>
      <c r="E27" s="6"/>
      <c r="F27" s="6" t="str">
        <f>IFERROR(__xludf.DUMMYFUNCTION("""COMPUTED_VALUE"""),"")</f>
        <v/>
      </c>
      <c r="G27" s="6" t="str">
        <f>IFERROR(__xludf.DUMMYFUNCTION("""COMPUTED_VALUE"""),"postypashki_old/1799")</f>
        <v>postypashki_old/1799</v>
      </c>
      <c r="H27" s="6" t="str">
        <f>IFERROR(__xludf.DUMMYFUNCTION("""COMPUTED_VALUE"""),"Слив направления MLops в Wildberries🍇
Сейчас выпускники наших прошлых потоков активно проходят собесы в бигтехи, делимся с вами вопросами. Далее сохранен оригинальный текст. В момент подачи на вакансию имелся годовой опыт работы с командами: 3 месяца ст"&amp;"ажки с альфа банке, 6 месяцев в Сбере джуном и месяц накручен.
Нашел вакансию в тг чате. Написал по указанным в посте контактам. Назначили собес. Прошлись по общим вопросам, не углублялись.
что такое Docker и зачем? платформа для создания или запуска ко"&amp;"нтейнеров - изолированных сред с приложением и зависимостями, обеспечивает консистентность окружения и переносимость
ограничения Docker?
меньшая изоляция чем у VM (общее ядро, риски безопасности), нельзя запустить приложение под другое ядро ОС без доп. у"&amp;"силий, сложности с GUI, данные по умолчанию непостоянны (нужны volumes)
что такое манифест?
файл (YAML/JSON), декларативно описывающий желаемое состояние объекта в кластере (ex., Deployment с числом реплик и образом)
как k8s взаимодействует с Docker? 
k"&amp;"8s командует container runtime (Docker/containerd/CRI-O) через CRI, где и когда запускать или останавливать контейнеры на нодах
зачем Ingress?
для управления входящим внешним трафиком: маршрутизация на основе хоста/пути (L7) и TLS-терминация (реализуется"&amp;" Ingress Controller'ами типа Nginx, Traefik)
зачем балансировщики?
распределять нагрузку между репликами сервиса и предоставлять единую точку входа для клиентов (внутри кластера - Service, снаружи - Service типа LoadBalancer или Ingress)
провайдеры k8s "&amp;"кластеров?
управляемые облачные (GKE, EKS, AKS), он-премис (kubeadm, OpenShift), дистрибутивы (RKE)
как взаимодействуют ML модели и k8s?
модель упаковывается в Docker-контейнер с serving-кодом; деплоится в k8s (Deployment для реплик и отказоустойчивости,"&amp;" Service для доступа); обеспечивает масштабируемость, отказоустойчивость и управление версиями моделей
разница многопоточность vs многопроцессорность?
потоки легковесны, делят память, но ограничены GIL
процессы тяжелее, изолированы, обходят блокировку
A"&amp;"irflow: платформа для оркестрации, планирования и мониторинга рабочих процессов, описываемых как код (DAG), состоящих из задач с зависимостями
MLflow- управление ML lifecycle: Tracking (логирование экспериментов), Projects (упаковка кода), Models (формат"&amp;" + Registry для управления версиями) и Serving
как Airflow и MLflow работают вместе?
Airflow задаёт пайплайн (запуск обучения, деплой), MLflow- отслеживает эксперименты и управляет моделями; задачи Airflow взаимодействуют с MLflow Tracking/Registry
Всё "&amp;"длилось в районе 1.5 часика. От момента подачи до оффера прошло 2 недели, в целом, оперативно. Еще больше подобных собесов и вопросов в нашем открытом банке собесов. 
@postypashki_old")</f>
        <v>Слив направления MLops в Wildberries🍇
Сейчас выпускники наших прошлых потоков активно проходят собесы в бигтехи, делимся с вами вопросами. Далее сохранен оригинальный текст. В момент подачи на вакансию имелся годовой опыт работы с командами: 3 месяца стажки с альфа банке, 6 месяцев в Сбере джуном и месяц накручен.
Нашел вакансию в тг чате. Написал по указанным в посте контактам. Назначили собес. Прошлись по общим вопросам, не углублялись.
что такое Docker и зачем? платформа для создания или запуска контейнеров - изолированных сред с приложением и зависимостями, обеспечивает консистентность окружения и переносимость
ограничения Docker?
меньшая изоляция чем у VM (общее ядро, риски безопасности), нельзя запустить приложение под другое ядро ОС без доп. усилий, сложности с GUI, данные по умолчанию непостоянны (нужны volumes)
что такое манифест?
файл (YAML/JSON), декларативно описывающий желаемое состояние объекта в кластере (ex., Deployment с числом реплик и образом)
как k8s взаимодействует с Docker? 
k8s командует container runtime (Docker/containerd/CRI-O) через CRI, где и когда запускать или останавливать контейнеры на нодах
зачем Ingress?
для управления входящим внешним трафиком: маршрутизация на основе хоста/пути (L7) и TLS-терминация (реализуется Ingress Controller'ами типа Nginx, Traefik)
зачем балансировщики?
распределять нагрузку между репликами сервиса и предоставлять единую точку входа для клиентов (внутри кластера - Service, снаружи - Service типа LoadBalancer или Ingress)
провайдеры k8s кластеров?
управляемые облачные (GKE, EKS, AKS), он-премис (kubeadm, OpenShift), дистрибутивы (RKE)
как взаимодействуют ML модели и k8s?
модель упаковывается в Docker-контейнер с serving-кодом; деплоится в k8s (Deployment для реплик и отказоустойчивости, Service для доступа); обеспечивает масштабируемость, отказоустойчивость и управление версиями моделей
разница многопоточность vs многопроцессорность?
потоки легковесны, делят память, но ограничены GIL
процессы тяжелее, изолированы, обходят блокировку
Airflow: платформа для оркестрации, планирования и мониторинга рабочих процессов, описываемых как код (DAG), состоящих из задач с зависимостями
MLflow- управление ML lifecycle: Tracking (логирование экспериментов), Projects (упаковка кода), Models (формат + Registry для управления версиями) и Serving
как Airflow и MLflow работают вместе?
Airflow задаёт пайплайн (запуск обучения, деплой), MLflow- отслеживает эксперименты и управляет моделями; задачи Airflow взаимодействуют с MLflow Tracking/Registry
Всё длилось в районе 1.5 часика. От момента подачи до оффера прошло 2 недели, в целом, оперативно. Еще больше подобных собесов и вопросов в нашем открытом банке собесов. 
@postypashki_old</v>
      </c>
      <c r="I27" s="6" t="str">
        <f>IFERROR(__xludf.DUMMYFUNCTION("""COMPUTED_VALUE"""),"internal")</f>
        <v>internal</v>
      </c>
      <c r="J27" s="10" t="str">
        <f>IFERROR(__xludf.DUMMYFUNCTION("""COMPUTED_VALUE"""),"https://t.me/postypashki_old/1799")</f>
        <v>https://t.me/postypashki_old/1799</v>
      </c>
      <c r="K27" s="6">
        <f>IFERROR(__xludf.DUMMYFUNCTION("""COMPUTED_VALUE"""),19600.0)</f>
        <v>19600</v>
      </c>
      <c r="L27" s="6">
        <f>IFERROR(__xludf.DUMMYFUNCTION("""COMPUTED_VALUE"""),39.0)</f>
        <v>39</v>
      </c>
      <c r="M27" s="6" t="str">
        <f>IFERROR(__xludf.DUMMYFUNCTION("""COMPUTED_VALUE"""),"")</f>
        <v/>
      </c>
      <c r="N27" s="6" t="str">
        <f>IFERROR(__xludf.DUMMYFUNCTION("""COMPUTED_VALUE"""),"Telegram")</f>
        <v>Telegram</v>
      </c>
      <c r="O27" s="6" t="str">
        <f>IFERROR(__xludf.DUMMYFUNCTION("""COMPUTED_VALUE"""),"raw")</f>
        <v>raw</v>
      </c>
      <c r="P27" s="6" t="str">
        <f>IFERROR(__xludf.DUMMYFUNCTION("""COMPUTED_VALUE"""),"Codex")</f>
        <v>Codex</v>
      </c>
      <c r="Q27" s="6" t="str">
        <f>IFERROR(__xludf.DUMMYFUNCTION("""COMPUTED_VALUE"""),"Слив направления MLops в Wildberries🍇 Сейчас выпускники наших прошлых потоков активно проходят собесы в бигтехи, делимся с вами вопросами. Далее сохранен оригинальный текст. В моме")</f>
        <v>Слив направления MLops в Wildberries🍇 Сейчас выпускники наших прошлых потоков активно проходят собесы в бигтехи, делимся с вами вопросами. Далее сохранен оригинальный текст. В моме</v>
      </c>
      <c r="R27" s="6" t="str">
        <f>IFERROR(__xludf.DUMMYFUNCTION("""COMPUTED_VALUE"""),"internal")</f>
        <v>internal</v>
      </c>
      <c r="S27" s="6" t="str">
        <f>IFERROR(__xludf.DUMMYFUNCTION("""COMPUTED_VALUE"""),"unknown")</f>
        <v>unknown</v>
      </c>
      <c r="T27" s="6" t="str">
        <f>IFERROR(__xludf.DUMMYFUNCTION("""COMPUTED_VALUE"""),"telegram_internal")</f>
        <v>telegram_internal</v>
      </c>
      <c r="U27" s="6" t="str">
        <f>IFERROR(__xludf.DUMMYFUNCTION("""COMPUTED_VALUE"""),"Прочий контент")</f>
        <v>Прочий контент</v>
      </c>
      <c r="V27" s="6" t="str">
        <f>IFERROR(__xludf.DUMMYFUNCTION("""COMPUTED_VALUE"""),"Предыстория")</f>
        <v>Предыстория</v>
      </c>
      <c r="W27" s="6"/>
      <c r="X27" s="6"/>
      <c r="Y27" s="6" t="str">
        <f>IFERROR(__xludf.DUMMYFUNCTION("""COMPUTED_VALUE"""),"")</f>
        <v/>
      </c>
      <c r="Z27" s="6" t="str">
        <f>IFERROR(__xludf.DUMMYFUNCTION("""COMPUTED_VALUE"""),"")</f>
        <v/>
      </c>
      <c r="AA27" s="6" t="b">
        <f>IFERROR(__xludf.DUMMYFUNCTION("""COMPUTED_VALUE"""),FALSE)</f>
        <v>0</v>
      </c>
      <c r="AB27" s="6" t="b">
        <f>IFERROR(__xludf.DUMMYFUNCTION("""COMPUTED_VALUE"""),FALSE)</f>
        <v>0</v>
      </c>
      <c r="AC27" s="6" t="b">
        <f>IFERROR(__xludf.DUMMYFUNCTION("""COMPUTED_VALUE"""),FALSE)</f>
        <v>0</v>
      </c>
      <c r="AD27" s="6" t="b">
        <f>IFERROR(__xludf.DUMMYFUNCTION("""COMPUTED_VALUE"""),FALSE)</f>
        <v>0</v>
      </c>
      <c r="AE27" s="6"/>
      <c r="AF27" s="6" t="b">
        <f>IFERROR(__xludf.DUMMYFUNCTION("""COMPUTED_VALUE"""),FALSE)</f>
        <v>0</v>
      </c>
      <c r="AG27" s="6" t="str">
        <f>IFERROR(__xludf.DUMMYFUNCTION("""COMPUTED_VALUE"""),"2026-07-17T15:10:18+00:00")</f>
        <v>2026-07-17T15:10:18+00:00</v>
      </c>
      <c r="AH27" s="6" t="str">
        <f>IFERROR(__xludf.DUMMYFUNCTION("""COMPUTED_VALUE"""),"")</f>
        <v/>
      </c>
      <c r="AI27" s="6" t="str">
        <f>IFERROR(__xludf.DUMMYFUNCTION("""COMPUTED_VALUE"""),"#N/A")</f>
        <v>#N/A</v>
      </c>
      <c r="AJ27" s="9" t="s">
        <v>233</v>
      </c>
      <c r="AM27" s="9" t="s">
        <v>226</v>
      </c>
      <c r="AN27" s="6" t="str">
        <f>IFERROR(__xludf.DUMMYFUNCTION("IF(OR(AJ27=""general_brand"",AJ27=""external"",AJ27=""unknown""),"""",IF(AJ27=""product_line"",IF(AK27=""START"",""Аналитика старт | Алгоритмы старт | Backend старт | ML старт"",IF(AK27=""PRO"",""AI-агенты про | Алгоритмы про | Аналитика про | ML про | Ba"&amp;"ckend про"",IF(AK27=""START | PRO"",""Аналитика старт | Алгоритмы старт | Backend старт | ML старт | AI-агенты про | Алгоритмы про | Аналитика про | ML про | Backend про"",""""))),TEXTJOIN("" | "",TRUE,IF(REGEXMATCH(LOWER(AL27&amp;"" | ""&amp;E27),""аналитика ста"&amp;"рт""),""Аналитика старт"",""""),IF(REGEXMATCH(LOWER(AL27&amp;"" | ""&amp;E27),""алгоритмы старт""),""Алгоритмы старт"",""""),IF(REGEXMATCH(LOWER(AL27&amp;"" | ""&amp;E27),""backend старт""),""Backend старт"",""""),IF(REGEXMATCH(LOWER(AL27&amp;"" | ""&amp;E27),""ml старт""),""ML "&amp;"старт"",""""),IF(REGEXMATCH(LOWER(AL27&amp;"" | ""&amp;E27),""ai[ -]?агент""),""AI-агенты про"",""""),IF(REGEXMATCH(LOWER(AL27&amp;"" | ""&amp;E27),""алгоритмы про""),""Алгоритмы про"",""""),IF(REGEXMATCH(LOWER(AL27&amp;"" | ""&amp;E27),""аналитика про""),""Аналитика про"","""")"&amp;",IF(REGEXMATCH(LOWER(AL27&amp;"" | ""&amp;E27),""ml про""),""ML про"",""""),IF(REGEXMATCH(LOWER(AL27&amp;"" | ""&amp;E27),""backend про""),""Backend про"",""""),IF(REGEXMATCH(LOWER(AL27&amp;"" | ""&amp;E27),""(а/в|ав|а в|ab)[ -]?тест""),""А/В-тесты"",""""),IF(REGEXMATCH(LOWER(AL"&amp;"27&amp;"" | ""&amp;E27),""data science""),""Data science"",""""),IF(REGEXMATCH(LOWER(AL27&amp;"" | ""&amp;E27),""data[- ]?инжен""),""Data-инженер"",""""),IF(REGEXMATCH(LOWER(AL27&amp;"" | ""&amp;E27),""frontend""),""Frontend"",""""))))"),"")</f>
        <v/>
      </c>
    </row>
    <row r="28">
      <c r="A28" s="6" t="str">
        <f>IFERROR(__xludf.DUMMYFUNCTION("""COMPUTED_VALUE"""),"INT-1800")</f>
        <v>INT-1800</v>
      </c>
      <c r="B28" s="6" t="str">
        <f>IFERROR(__xludf.DUMMYFUNCTION("""COMPUTED_VALUE"""),"2026-07-18 18:20:40")</f>
        <v>2026-07-18 18:20:40</v>
      </c>
      <c r="C28" s="6" t="str">
        <f>IFERROR(__xludf.DUMMYFUNCTION("""COMPUTED_VALUE"""),"@postypashki_old")</f>
        <v>@postypashki_old</v>
      </c>
      <c r="D28" s="4" t="str">
        <f>IFERROR(__xludf.DUMMYFUNCTION("""COMPUTED_VALUE"""),"Контент с упоминанием")</f>
        <v>Контент с упоминанием</v>
      </c>
      <c r="E28" s="6" t="str">
        <f>IFERROR(__xludf.DUMMYFUNCTION("""COMPUTED_VALUE"""),"Теория вероятностей | Дискретка | АВ тестам")</f>
        <v>Теория вероятностей | Дискретка | АВ тестам</v>
      </c>
      <c r="F28" s="6" t="str">
        <f>IFERROR(__xludf.DUMMYFUNCTION("""COMPUTED_VALUE"""),"")</f>
        <v/>
      </c>
      <c r="G28" s="6" t="str">
        <f>IFERROR(__xludf.DUMMYFUNCTION("""COMPUTED_VALUE"""),"postypashki_old/1800")</f>
        <v>postypashki_old/1800</v>
      </c>
      <c r="H28" s="6" t="str">
        <f>IFERROR(__xludf.DUMMYFUNCTION("""COMPUTED_VALUE"""),"Стажировка в Яндекс 
Половина лета уже прошла. Самое время начать ботать и подаваться на стакжи, чтобы вторая половина лета и вся оставшаяся жизнь не прошла впустую. Советую попробовать в Яндекс. Процесс найма очень прозрачный, буду сейчас вас мотивирова"&amp;"ть, товарищи 😎 
Вступительный контест
Меняется раз в пол года, задания тут. Разбор же уже выложен на наших курсах.  
С каждым годом количество мест на стажера выделяется все больше и больше, рост можно отслеживать хотя бы по растущему маркетингу (какие-"&amp;"то дорогущие фесты, ивенты, курсы). Потому иногда проходят даже с 1/3 решенных заданий (но лучше ориентироваться на 2/3). Главное не забудьте сделать хорошую анкету. 
Аналитическая секция
Математика на логику и теорию вероятностей, мат стат. Простые прак"&amp;"тические задачи: подсчитать дискретное мат ожидание, классическая вероятность или комбинаторика или найти минимальное количество взвешиваний. Пару таких математических задач могут попросить закодить то есть нужно просто знать питон и бинарный поиск, сорти"&amp;"ровки. Иногда встречается задача на SQL. Задачи уровня easy-medium. Все задачи с собесов ищутся на литкоде, потому перед самым собесом решаем какой-то топ задач, ну или вспоминаем, как решается. Если идете на аналитика, могут спросить кейс на метрики (Пар"&amp;"адокс Симпсона). Если идете на ml могут спросить самое простое по машинному обучение. Программы нашего курса будет более чем достаточно. 
Интервьюер обычно аналитик или dser, смотря куда идете. В столицах общение адекватное, всегда подскажут, если что-то "&amp;"оказалось не по зубам. Главное не только дать правильное решение, но и показать умение общаться, чтобы у интерьера сложилась о вас хорошее впечатление. К сожалению, по моим наблюдениям сухари нередко ловят реджект. 
Алгоритмическая секция
Обычно аналитик"&amp;"у и мл одна задача уровня medium литкод на пол часа. Все известно! У нас есть ранжирование задач по частоте за последние 6 месяцев на нашем сайте. Особенно обратите внимание на бинарный поиск, префиксные суммы, два указателя, хеш-таблицы. Если не очень си"&amp;"льны в алгосах, то лучше не расплываться на них впритык перед собесом смотреть что-то другое. Хотя вот для общего развития можно поботать монотонный стек, простые задачи на графы или дп.  Ну и чтобы уже окончательно разобраться с алгоритмами советую наш а"&amp;"лго курс. 
Интервьюер обычно разработчик, но и здесь случаются казусы: опоздания или просто попросили провести интервью HRа, дав листочек с решением (собес обещает быть интересным). Но не волнуемся, а включаем все свое обаяние.
Техническое интервью
Иногд"&amp;"а приглашают на еще одно техническое интервью, но все же такое происходит редко. Спрашивают то же, что в аналитической и алгоритмической секции.
Интервью с командой
Типичные смотрины, задач не будет, но могут быть простые кейсы на порассуждать или общие "&amp;"вопросы по мат стату, мл, АВ-тестам. Но самое главное опять же включить все свое очарование. Спросите у HR какие будут команды, посмотрите в интернетах чем примерно они занимаются и подумайте, чем вы хотели бы заниматься сами, составьте вопросы команде, ч"&amp;"тобы в конце принять взвешенное решение.
Подготовьте самопрезентацию заранее, рассказав о своих пет проектах и может скромный достижениях. Даже во время отбора достаточно времени, чтобы успеть сделать простые домашние проекты, чтобы попробовать все ""техн"&amp;"ологии"" на деле. Просто берем проекты, которые делал каждый, адаптируем под себя. Такого будет вполне достаточно, о них все равно будете рассказывать очень кратко.
Как и сказал все достаточно прозрачно, требуется минимальные усилия, намного меньше, чем "&amp;"на сессии. Перерыв между интервью больше недели! Просто спросят и дадут фидбек. Если не получится, попробуете через пол года. Ответьте на простой вопрос: если я прямо сейчас вам дам алгориты, вы их решите? А за 100 тысяч рублей в месяц решите?
@postypash"&amp;"ki_old")</f>
        <v>Стажировка в Яндекс 
Половина лета уже прошла. Самое время начать ботать и подаваться на стакжи, чтобы вторая половина лета и вся оставшаяся жизнь не прошла впустую. Советую попробовать в Яндекс. Процесс найма очень прозрачный, буду сейчас вас мотивировать, товарищи 😎 
Вступительный контест
Меняется раз в пол года, задания тут. Разбор же уже выложен на наших курсах.  
С каждым годом количество мест на стажера выделяется все больше и больше, рост можно отслеживать хотя бы по растущему маркетингу (какие-то дорогущие фесты, ивенты, курсы). Потому иногда проходят даже с 1/3 решенных заданий (но лучше ориентироваться на 2/3). Главное не забудьте сделать хорошую анкету. 
Аналитическая секция
Математика на логику и теорию вероятностей, мат стат. Простые практические задачи: подсчитать дискретное мат ожидание, классическая вероятность или комбинаторика или найти минимальное количество взвешиваний. Пару таких математических задач могут попросить закодить то есть нужно просто знать питон и бинарный поиск, сортировки. Иногда встречается задача на SQL. Задачи уровня easy-medium. Все задачи с собесов ищутся на литкоде, потому перед самым собесом решаем какой-то топ задач, ну или вспоминаем, как решается. Если идете на аналитика, могут спросить кейс на метрики (Парадокс Симпсона). Если идете на ml могут спросить самое простое по машинному обучение. Программы нашего курса будет более чем достаточно. 
Интервьюер обычно аналитик или dser, смотря куда идете. В столицах общение адекватное, всегда подскажут, если что-то оказалось не по зубам. Главное не только дать правильное решение, но и показать умение общаться, чтобы у интерьера сложилась о вас хорошее впечатление. К сожалению, по моим наблюдениям сухари нередко ловят реджект. 
Алгоритмическая секция
Обычно аналитику и мл одна задача уровня medium литкод на пол часа. Все известно! У нас есть ранжирование задач по частоте за последние 6 месяцев на нашем сайте. Особенно обратите внимание на бинарный поиск, префиксные суммы, два указателя, хеш-таблицы. Если не очень сильны в алгосах, то лучше не расплываться на них впритык перед собесом смотреть что-то другое. Хотя вот для общего развития можно поботать монотонный стек, простые задачи на графы или дп.  Ну и чтобы уже окончательно разобраться с алгоритмами советую наш алго курс. 
Интервьюер обычно разработчик, но и здесь случаются казусы: опоздания или просто попросили провести интервью HRа, дав листочек с решением (собес обещает быть интересным). Но не волнуемся, а включаем все свое обаяние.
Техническое интервью
Иногда приглашают на еще одно техническое интервью, но все же такое происходит редко. Спрашивают то же, что в аналитической и алгоритмической секции.
Интервью с командой
Типичные смотрины, задач не будет, но могут быть простые кейсы на порассуждать или общие вопросы по мат стату, мл, АВ-тестам. Но самое главное опять же включить все свое очарование. Спросите у HR какие будут команды, посмотрите в интернетах чем примерно они занимаются и подумайте, чем вы хотели бы заниматься сами, составьте вопросы команде, чтобы в конце принять взвешенное решение.
Подготовьте самопрезентацию заранее, рассказав о своих пет проектах и может скромный достижениях. Даже во время отбора достаточно времени, чтобы успеть сделать простые домашние проекты, чтобы попробовать все "технологии" на деле. Просто берем проекты, которые делал каждый, адаптируем под себя. Такого будет вполне достаточно, о них все равно будете рассказывать очень кратко.
Как и сказал все достаточно прозрачно, требуется минимальные усилия, намного меньше, чем на сессии. Перерыв между интервью больше недели! Просто спросят и дадут фидбек. Если не получится, попробуете через пол года. Ответьте на простой вопрос: если я прямо сейчас вам дам алгориты, вы их решите? А за 100 тысяч рублей в месяц решите?
@postypashki_old</v>
      </c>
      <c r="I28" s="6" t="str">
        <f>IFERROR(__xludf.DUMMYFUNCTION("""COMPUTED_VALUE"""),"internal")</f>
        <v>internal</v>
      </c>
      <c r="J28" s="10" t="str">
        <f>IFERROR(__xludf.DUMMYFUNCTION("""COMPUTED_VALUE"""),"https://t.me/postypashki_old/1800")</f>
        <v>https://t.me/postypashki_old/1800</v>
      </c>
      <c r="K28" s="6">
        <f>IFERROR(__xludf.DUMMYFUNCTION("""COMPUTED_VALUE"""),20900.0)</f>
        <v>20900</v>
      </c>
      <c r="L28" s="6">
        <f>IFERROR(__xludf.DUMMYFUNCTION("""COMPUTED_VALUE"""),74.0)</f>
        <v>74</v>
      </c>
      <c r="M28" s="6" t="str">
        <f>IFERROR(__xludf.DUMMYFUNCTION("""COMPUTED_VALUE"""),"")</f>
        <v/>
      </c>
      <c r="N28" s="6" t="str">
        <f>IFERROR(__xludf.DUMMYFUNCTION("""COMPUTED_VALUE"""),"Telegram")</f>
        <v>Telegram</v>
      </c>
      <c r="O28" s="6" t="str">
        <f>IFERROR(__xludf.DUMMYFUNCTION("""COMPUTED_VALUE"""),"raw")</f>
        <v>raw</v>
      </c>
      <c r="P28" s="6" t="str">
        <f>IFERROR(__xludf.DUMMYFUNCTION("""COMPUTED_VALUE"""),"Codex")</f>
        <v>Codex</v>
      </c>
      <c r="Q28" s="6" t="str">
        <f>IFERROR(__xludf.DUMMYFUNCTION("""COMPUTED_VALUE"""),"Стажировка в Яндекс Половина лета уже прошла. Самое время начать ботать и подаваться на стакжи, чтобы вторая половина лета и вся оставшаяся жизнь не прошла впустую. Советую попробо")</f>
        <v>Стажировка в Яндекс Половина лета уже прошла. Самое время начать ботать и подаваться на стакжи, чтобы вторая половина лета и вся оставшаяся жизнь не прошла впустую. Советую попробо</v>
      </c>
      <c r="R28" s="6" t="str">
        <f>IFERROR(__xludf.DUMMYFUNCTION("""COMPUTED_VALUE"""),"internal")</f>
        <v>internal</v>
      </c>
      <c r="S28" s="6" t="str">
        <f>IFERROR(__xludf.DUMMYFUNCTION("""COMPUTED_VALUE"""),"unknown")</f>
        <v>unknown</v>
      </c>
      <c r="T28" s="6" t="str">
        <f>IFERROR(__xludf.DUMMYFUNCTION("""COMPUTED_VALUE"""),"telegram_internal")</f>
        <v>telegram_internal</v>
      </c>
      <c r="U28" s="6" t="str">
        <f>IFERROR(__xludf.DUMMYFUNCTION("""COMPUTED_VALUE"""),"Контент с упоминанием")</f>
        <v>Контент с упоминанием</v>
      </c>
      <c r="V28" s="6" t="str">
        <f>IFERROR(__xludf.DUMMYFUNCTION("""COMPUTED_VALUE"""),"Предыстория")</f>
        <v>Предыстория</v>
      </c>
      <c r="W28" s="6"/>
      <c r="X28" s="6"/>
      <c r="Y28" s="6" t="str">
        <f>IFERROR(__xludf.DUMMYFUNCTION("""COMPUTED_VALUE"""),"")</f>
        <v/>
      </c>
      <c r="Z28" s="6" t="str">
        <f>IFERROR(__xludf.DUMMYFUNCTION("""COMPUTED_VALUE"""),"")</f>
        <v/>
      </c>
      <c r="AA28" s="6" t="b">
        <f>IFERROR(__xludf.DUMMYFUNCTION("""COMPUTED_VALUE"""),TRUE)</f>
        <v>1</v>
      </c>
      <c r="AB28" s="6" t="b">
        <f>IFERROR(__xludf.DUMMYFUNCTION("""COMPUTED_VALUE"""),FALSE)</f>
        <v>0</v>
      </c>
      <c r="AC28" s="6" t="b">
        <f>IFERROR(__xludf.DUMMYFUNCTION("""COMPUTED_VALUE"""),FALSE)</f>
        <v>0</v>
      </c>
      <c r="AD28" s="6" t="b">
        <f>IFERROR(__xludf.DUMMYFUNCTION("""COMPUTED_VALUE"""),FALSE)</f>
        <v>0</v>
      </c>
      <c r="AE28" s="6"/>
      <c r="AF28" s="6" t="b">
        <f>IFERROR(__xludf.DUMMYFUNCTION("""COMPUTED_VALUE"""),FALSE)</f>
        <v>0</v>
      </c>
      <c r="AG28" s="6" t="str">
        <f>IFERROR(__xludf.DUMMYFUNCTION("""COMPUTED_VALUE"""),"2026-07-18T15:20:40+00:00")</f>
        <v>2026-07-18T15:20:40+00:00</v>
      </c>
      <c r="AH28" s="6" t="str">
        <f>IFERROR(__xludf.DUMMYFUNCTION("""COMPUTED_VALUE"""),"")</f>
        <v/>
      </c>
      <c r="AI28" s="6" t="str">
        <f>IFERROR(__xludf.DUMMYFUNCTION("""COMPUTED_VALUE"""),"#N/A")</f>
        <v>#N/A</v>
      </c>
      <c r="AJ28" s="9" t="s">
        <v>224</v>
      </c>
      <c r="AK28" s="4" t="s">
        <v>213</v>
      </c>
      <c r="AL28" s="4" t="s">
        <v>234</v>
      </c>
      <c r="AM28" s="9" t="s">
        <v>228</v>
      </c>
      <c r="AN28" s="4" t="str">
        <f>IFERROR(__xludf.DUMMYFUNCTION("IF(OR(AJ28=""general_brand"",AJ28=""external"",AJ28=""unknown""),"""",IF(AJ28=""product_line"",IF(AK28=""START"",""Аналитика старт | Алгоритмы старт | Backend старт | ML старт"",IF(AK28=""PRO"",""AI-агенты про | Алгоритмы про | Аналитика про | ML про | Ba"&amp;"ckend про"",IF(AK28=""START | PRO"",""Аналитика старт | Алгоритмы старт | Backend старт | ML старт | AI-агенты про | Алгоритмы про | Аналитика про | ML про | Backend про"",""""))),TEXTJOIN("" | "",TRUE,IF(REGEXMATCH(LOWER(AL28&amp;"" | ""&amp;E28),""аналитика ста"&amp;"рт""),""Аналитика старт"",""""),IF(REGEXMATCH(LOWER(AL28&amp;"" | ""&amp;E28),""алгоритмы старт""),""Алгоритмы старт"",""""),IF(REGEXMATCH(LOWER(AL28&amp;"" | ""&amp;E28),""backend старт""),""Backend старт"",""""),IF(REGEXMATCH(LOWER(AL28&amp;"" | ""&amp;E28),""ml старт""),""ML "&amp;"старт"",""""),IF(REGEXMATCH(LOWER(AL28&amp;"" | ""&amp;E28),""ai[ -]?агент""),""AI-агенты про"",""""),IF(REGEXMATCH(LOWER(AL28&amp;"" | ""&amp;E28),""алгоритмы про""),""Алгоритмы про"",""""),IF(REGEXMATCH(LOWER(AL28&amp;"" | ""&amp;E28),""аналитика про""),""Аналитика про"","""")"&amp;",IF(REGEXMATCH(LOWER(AL28&amp;"" | ""&amp;E28),""ml про""),""ML про"",""""),IF(REGEXMATCH(LOWER(AL28&amp;"" | ""&amp;E28),""backend про""),""Backend про"",""""),IF(REGEXMATCH(LOWER(AL28&amp;"" | ""&amp;E28),""(а/в|ав|а в|ab)[ -]?тест""),""А/В-тесты"",""""),IF(REGEXMATCH(LOWER(AL"&amp;"28&amp;"" | ""&amp;E28),""data science""),""Data science"",""""),IF(REGEXMATCH(LOWER(AL28&amp;"" | ""&amp;E28),""data[- ]?инжен""),""Data-инженер"",""""),IF(REGEXMATCH(LOWER(AL28&amp;"" | ""&amp;E28),""frontend""),""Frontend"",""""))))"),"Алгоритмы старт | А/В-тесты")</f>
        <v>Алгоритмы старт | А/В-тесты</v>
      </c>
    </row>
    <row r="29">
      <c r="A29" s="6" t="str">
        <f>IFERROR(__xludf.DUMMYFUNCTION("""COMPUTED_VALUE"""),"INT-1801")</f>
        <v>INT-1801</v>
      </c>
      <c r="B29" s="6" t="str">
        <f>IFERROR(__xludf.DUMMYFUNCTION("""COMPUTED_VALUE"""),"2026-07-19 14:37:53")</f>
        <v>2026-07-19 14:37:53</v>
      </c>
      <c r="C29" s="6" t="str">
        <f>IFERROR(__xludf.DUMMYFUNCTION("""COMPUTED_VALUE"""),"@postypashki_old")</f>
        <v>@postypashki_old</v>
      </c>
      <c r="D29" s="4" t="str">
        <f>IFERROR(__xludf.DUMMYFUNCTION("""COMPUTED_VALUE"""),"Контент с предложением курсов")</f>
        <v>Контент с предложением курсов</v>
      </c>
      <c r="E29" s="6" t="str">
        <f>IFERROR(__xludf.DUMMYFUNCTION("""COMPUTED_VALUE"""),"ML старт")</f>
        <v>ML старт</v>
      </c>
      <c r="F29" s="6" t="str">
        <f>IFERROR(__xludf.DUMMYFUNCTION("""COMPUTED_VALUE"""),"")</f>
        <v/>
      </c>
      <c r="G29" s="6" t="str">
        <f>IFERROR(__xludf.DUMMYFUNCTION("""COMPUTED_VALUE"""),"postypashki_old/1801")</f>
        <v>postypashki_old/1801</v>
      </c>
      <c r="H29" s="6" t="str">
        <f>IFERROR(__xludf.DUMMYFUNCTION("""COMPUTED_VALUE"""),"Слив собеседования на ML-разработчика в WB
Выкладываем запись мок-собеседования с курса ML СТАРТ. Если вы готовитесь к стажировкам или первой работе, рекомендую посмотреть! 
https://youtu.be/gKafz8pXto4
В записи собес с практикующим MLOps-инженером из "&amp;"WB.
Что спрашивают на собеседовании? 
— Python: почему set работает быстрее списка;
— классический ML: L1/L2-регуляризация, корреляция признаков, выбор модели;
— NLP: transfer learning и fine-tuning;
— продуктовые вопросы: как проверить, что новая модель "&amp;"действительно стала лучше.
Почти после каждого ответа интервьюер задаёт уточнение. Важно вспомнить определение, проверяют, насколько глубоко кандидат понимает тему и может объяснить свои рассуждения.
Такие мок-собеседования — обязательная часть ML СТАРТ"&amp;" и других карьерных курсов. После того как студенты проходят все основные темы, они тренируются проходить технические интервью с практикующими инженерами и получают подробную обратную связь.
Ждём на наших карьерных курсах. Вместе подготовимся к реальным "&amp;"собеседованиям и станем на шаг ближе к офферу 😎
📌Для вопросов и записи на курс напишите менеджеру")</f>
        <v>Слив собеседования на ML-разработчика в WB
Выкладываем запись мок-собеседования с курса ML СТАРТ. Если вы готовитесь к стажировкам или первой работе, рекомендую посмотреть! 
https://youtu.be/gKafz8pXto4
В записи собес с практикующим MLOps-инженером из WB.
Что спрашивают на собеседовании? 
— Python: почему set работает быстрее списка;
— классический ML: L1/L2-регуляризация, корреляция признаков, выбор модели;
— NLP: transfer learning и fine-tuning;
— продуктовые вопросы: как проверить, что новая модель действительно стала лучше.
Почти после каждого ответа интервьюер задаёт уточнение. Важно вспомнить определение, проверяют, насколько глубоко кандидат понимает тему и может объяснить свои рассуждения.
Такие мок-собеседования — обязательная часть ML СТАРТ и других карьерных курсов. После того как студенты проходят все основные темы, они тренируются проходить технические интервью с практикующими инженерами и получают подробную обратную связь.
Ждём на наших карьерных курсах. Вместе подготовимся к реальным собеседованиям и станем на шаг ближе к офферу 😎
📌Для вопросов и записи на курс напишите менеджеру</v>
      </c>
      <c r="I29" s="6" t="str">
        <f>IFERROR(__xludf.DUMMYFUNCTION("""COMPUTED_VALUE"""),"internal")</f>
        <v>internal</v>
      </c>
      <c r="J29" s="10" t="str">
        <f>IFERROR(__xludf.DUMMYFUNCTION("""COMPUTED_VALUE"""),"https://t.me/postypashki_old/1801")</f>
        <v>https://t.me/postypashki_old/1801</v>
      </c>
      <c r="K29" s="6">
        <f>IFERROR(__xludf.DUMMYFUNCTION("""COMPUTED_VALUE"""),19800.0)</f>
        <v>19800</v>
      </c>
      <c r="L29" s="6">
        <f>IFERROR(__xludf.DUMMYFUNCTION("""COMPUTED_VALUE"""),55.0)</f>
        <v>55</v>
      </c>
      <c r="M29" s="6" t="str">
        <f>IFERROR(__xludf.DUMMYFUNCTION("""COMPUTED_VALUE"""),"")</f>
        <v/>
      </c>
      <c r="N29" s="6" t="str">
        <f>IFERROR(__xludf.DUMMYFUNCTION("""COMPUTED_VALUE"""),"Telegram")</f>
        <v>Telegram</v>
      </c>
      <c r="O29" s="6" t="str">
        <f>IFERROR(__xludf.DUMMYFUNCTION("""COMPUTED_VALUE"""),"raw")</f>
        <v>raw</v>
      </c>
      <c r="P29" s="6" t="str">
        <f>IFERROR(__xludf.DUMMYFUNCTION("""COMPUTED_VALUE"""),"Codex")</f>
        <v>Codex</v>
      </c>
      <c r="Q29" s="6" t="str">
        <f>IFERROR(__xludf.DUMMYFUNCTION("""COMPUTED_VALUE"""),"Слив собеседования на ML-разработчика в WB Выкладываем запись мок-собеседования с курса ML СТАРТ. Если вы готовитесь к стажировкам или первой работе, рекомендую посмотреть! https:/")</f>
        <v>Слив собеседования на ML-разработчика в WB Выкладываем запись мок-собеседования с курса ML СТАРТ. Если вы готовитесь к стажировкам или первой работе, рекомендую посмотреть! https:/</v>
      </c>
      <c r="R29" s="6" t="str">
        <f>IFERROR(__xludf.DUMMYFUNCTION("""COMPUTED_VALUE"""),"internal")</f>
        <v>internal</v>
      </c>
      <c r="S29" s="6" t="str">
        <f>IFERROR(__xludf.DUMMYFUNCTION("""COMPUTED_VALUE"""),"unknown")</f>
        <v>unknown</v>
      </c>
      <c r="T29" s="6" t="str">
        <f>IFERROR(__xludf.DUMMYFUNCTION("""COMPUTED_VALUE"""),"telegram_internal")</f>
        <v>telegram_internal</v>
      </c>
      <c r="U29" s="6" t="str">
        <f>IFERROR(__xludf.DUMMYFUNCTION("""COMPUTED_VALUE"""),"Контент с предложением курсов")</f>
        <v>Контент с предложением курсов</v>
      </c>
      <c r="V29" s="6" t="str">
        <f>IFERROR(__xludf.DUMMYFUNCTION("""COMPUTED_VALUE"""),"Предыстория")</f>
        <v>Предыстория</v>
      </c>
      <c r="W29" s="6"/>
      <c r="X29" s="6"/>
      <c r="Y29" s="6" t="str">
        <f>IFERROR(__xludf.DUMMYFUNCTION("""COMPUTED_VALUE"""),"")</f>
        <v/>
      </c>
      <c r="Z29" s="6" t="str">
        <f>IFERROR(__xludf.DUMMYFUNCTION("""COMPUTED_VALUE"""),"")</f>
        <v/>
      </c>
      <c r="AA29" s="6" t="b">
        <f>IFERROR(__xludf.DUMMYFUNCTION("""COMPUTED_VALUE"""),TRUE)</f>
        <v>1</v>
      </c>
      <c r="AB29" s="6" t="b">
        <f>IFERROR(__xludf.DUMMYFUNCTION("""COMPUTED_VALUE"""),FALSE)</f>
        <v>0</v>
      </c>
      <c r="AC29" s="6" t="b">
        <f>IFERROR(__xludf.DUMMYFUNCTION("""COMPUTED_VALUE"""),FALSE)</f>
        <v>0</v>
      </c>
      <c r="AD29" s="6" t="b">
        <f>IFERROR(__xludf.DUMMYFUNCTION("""COMPUTED_VALUE"""),FALSE)</f>
        <v>0</v>
      </c>
      <c r="AE29" s="6"/>
      <c r="AF29" s="6" t="b">
        <f>IFERROR(__xludf.DUMMYFUNCTION("""COMPUTED_VALUE"""),FALSE)</f>
        <v>0</v>
      </c>
      <c r="AG29" s="6" t="str">
        <f>IFERROR(__xludf.DUMMYFUNCTION("""COMPUTED_VALUE"""),"2026-07-19T11:37:53+00:00")</f>
        <v>2026-07-19T11:37:53+00:00</v>
      </c>
      <c r="AH29" s="6" t="str">
        <f>IFERROR(__xludf.DUMMYFUNCTION("""COMPUTED_VALUE"""),"")</f>
        <v/>
      </c>
      <c r="AI29" s="6" t="str">
        <f>IFERROR(__xludf.DUMMYFUNCTION("""COMPUTED_VALUE"""),"#N/A")</f>
        <v>#N/A</v>
      </c>
      <c r="AJ29" s="9" t="s">
        <v>224</v>
      </c>
      <c r="AK29" s="9" t="s">
        <v>213</v>
      </c>
      <c r="AL29" s="4" t="s">
        <v>225</v>
      </c>
      <c r="AM29" s="9" t="s">
        <v>226</v>
      </c>
      <c r="AN29" s="4" t="str">
        <f>IFERROR(__xludf.DUMMYFUNCTION("IF(OR(AJ29=""general_brand"",AJ29=""external"",AJ29=""unknown""),"""",IF(AJ29=""product_line"",IF(AK29=""START"",""Аналитика старт | Алгоритмы старт | Backend старт | ML старт"",IF(AK29=""PRO"",""AI-агенты про | Алгоритмы про | Аналитика про | ML про | Ba"&amp;"ckend про"",IF(AK29=""START | PRO"",""Аналитика старт | Алгоритмы старт | Backend старт | ML старт | AI-агенты про | Алгоритмы про | Аналитика про | ML про | Backend про"",""""))),TEXTJOIN("" | "",TRUE,IF(REGEXMATCH(LOWER(AL29&amp;"" | ""&amp;E29),""аналитика ста"&amp;"рт""),""Аналитика старт"",""""),IF(REGEXMATCH(LOWER(AL29&amp;"" | ""&amp;E29),""алгоритмы старт""),""Алгоритмы старт"",""""),IF(REGEXMATCH(LOWER(AL29&amp;"" | ""&amp;E29),""backend старт""),""Backend старт"",""""),IF(REGEXMATCH(LOWER(AL29&amp;"" | ""&amp;E29),""ml старт""),""ML "&amp;"старт"",""""),IF(REGEXMATCH(LOWER(AL29&amp;"" | ""&amp;E29),""ai[ -]?агент""),""AI-агенты про"",""""),IF(REGEXMATCH(LOWER(AL29&amp;"" | ""&amp;E29),""алгоритмы про""),""Алгоритмы про"",""""),IF(REGEXMATCH(LOWER(AL29&amp;"" | ""&amp;E29),""аналитика про""),""Аналитика про"","""")"&amp;",IF(REGEXMATCH(LOWER(AL29&amp;"" | ""&amp;E29),""ml про""),""ML про"",""""),IF(REGEXMATCH(LOWER(AL29&amp;"" | ""&amp;E29),""backend про""),""Backend про"",""""),IF(REGEXMATCH(LOWER(AL29&amp;"" | ""&amp;E29),""(а/в|ав|а в|ab)[ -]?тест""),""А/В-тесты"",""""),IF(REGEXMATCH(LOWER(AL"&amp;"29&amp;"" | ""&amp;E29),""data science""),""Data science"",""""),IF(REGEXMATCH(LOWER(AL29&amp;"" | ""&amp;E29),""data[- ]?инжен""),""Data-инженер"",""""),IF(REGEXMATCH(LOWER(AL29&amp;"" | ""&amp;E29),""frontend""),""Frontend"",""""))))"),"ML старт")</f>
        <v>ML старт</v>
      </c>
    </row>
    <row r="30">
      <c r="A30" s="6" t="str">
        <f>IFERROR(__xludf.DUMMYFUNCTION("""COMPUTED_VALUE"""),"INT-1802")</f>
        <v>INT-1802</v>
      </c>
      <c r="B30" s="6" t="str">
        <f>IFERROR(__xludf.DUMMYFUNCTION("""COMPUTED_VALUE"""),"2026-07-20 19:05:29")</f>
        <v>2026-07-20 19:05:29</v>
      </c>
      <c r="C30" s="6" t="str">
        <f>IFERROR(__xludf.DUMMYFUNCTION("""COMPUTED_VALUE"""),"@postypashki_old")</f>
        <v>@postypashki_old</v>
      </c>
      <c r="D30" s="4" t="str">
        <f>IFERROR(__xludf.DUMMYFUNCTION("""COMPUTED_VALUE"""),"Контент с упоминанием")</f>
        <v>Контент с упоминанием</v>
      </c>
      <c r="E30" s="6" t="str">
        <f>IFERROR(__xludf.DUMMYFUNCTION("""COMPUTED_VALUE"""),"Алгоритмы старт")</f>
        <v>Алгоритмы старт</v>
      </c>
      <c r="F30" s="6" t="str">
        <f>IFERROR(__xludf.DUMMYFUNCTION("""COMPUTED_VALUE"""),"")</f>
        <v/>
      </c>
      <c r="G30" s="6" t="str">
        <f>IFERROR(__xludf.DUMMYFUNCTION("""COMPUTED_VALUE"""),"postypashki_old/1802")</f>
        <v>postypashki_old/1802</v>
      </c>
      <c r="H30" s="6" t="str">
        <f>IFERROR(__xludf.DUMMYFUNCTION("""COMPUTED_VALUE"""),"Как пройти испытательный срок и сделать х2 к зарплате
Наши выпускники не только сейчас активно проходят собесы, но уже и активно строят карьеру. Дальше оригинальный текст от выпускника прошлого нашего потока курса алгоритмы старт, где качают не только ал"&amp;"горитмы, но и навыки, которые помогают расти в карьере. 
В первый рабочий день я спросил hr-ку, какие требования по прохождению испыта, и будет ли повышение зп после этого. «Всё зависит от твоих стараний на проекте», «зп редко повышаем после испыта» - вот"&amp;" такие ответы я получил и понял, что я не хочу просто закрыть испыт и получать свои крохи как джун, я хочу большего. 
Замечание с ревью не должно повториться дважды
Начал с малого. Первые недели - простые таски, закрывал в своем темпе, меня ревьюил колле"&amp;"га и как-то сам процесс ревью занимал много итераций (обычно это придирки в стиле «мы так не пишем», «тут мы уже изобрели велосипед, используй такой-то метод». Меня это бесило и я завел такое правило для себя: каждое замечание с ревью я не просто исправля"&amp;"ю и забываю, а складываю в отдельный md. За пару недель из заметок собралась личная база: по сути гайд того, как в команде принято писать код. Дальше я сверялся с ним ещё до отправики на ревью. Как итог, с 3-4 итераций уменьшил до 1, как по мне крутой рез"&amp;"ультат.
Когда файлик собрался приличный, я не оставил его себе, а предложил лиду релизнуть на основе него чеклист, чтобы новички в будущем быстрее вкатились. За пару созвонов все согласовали: гайд выкатили, и теперь его рекомендуют всем стажерам. 
Иници"&amp;"атива
Потихоньку бизнесовых задач на четырех фронтов стало слишком много, мне как джуну доверяли только баги в основном, мне это быстро надоело, и я спросил старшего, можно ли брать задачи из техбэклога, чтобы хоть как-то разнообразить задачки. Начал с лё"&amp;"гкого — настроил Storybook, потом посложнее : автотесты на старые сценарии. Лиду понравилось, что я и баги закрываю, и бэклог потихоньку уменьшается. Как по мне, на испыте/стажке важно быть активным, чтобы лид видел, что ты растешь и доверял тебе уже боле"&amp;"е серьезные задачи.
Начали больше доверять
Наш проект уходил в поддержку, задач становилось все меньше. Зато соседний проект готовился к новому заказчику: поменять интерфейс, добавить фичи под него. Загвоздка была в стеке: проект на Vue, а таких разработ"&amp;"чиков в компании мало и все заняты. У меня Vue был ровно раз в универе, я на реакте пишу. Но раз я стабильно тащил, решили, что осилю - и почти до конца испыта я тянул этот проект соло.
Доверие доверием, но тянуть в соло, без единого коммерческого Vue за"&amp;" плечами, было честно стрёмно - базу подтягивал на ходу. Спасло то, что я висел во всех фронтовых чатах компании и не отмалчивался. Окупилось это тем, что там я нашёл того, кто согласился меня ревьюить. В новом стеке такой ревьюер - спасение: есть кому по"&amp;"казать код перед мержем, когда сам не уверен. С ним я вкатился в Vue заметно быстрее.
Приходил с предложениями, а не жалобами
На встречах с руководством я никогда не жаловался, а наоборот — приносил решения проблем: добавить такую-то либу, которая улучши"&amp;"т нам жизнь, и прочее в таком духе. Жалоба перекладывает проблему на лида, а предложение снимает её. На этой разнице и рос респект ко мне.
Но респект - штука, которую к финалу ещё надо кому-то показать. Поэтому с первого дня я вёл список задачек/пр - и э"&amp;"то не занудство. Обычно ни ты, ни твой менто, ни пм не вспомнят, что ты делал в первый месяц. На финальной встрече с HR я показал конкретный список - что сделал, что понравилось команде. Она отнесла его руководству, и по итогам испыта мне подняли зп в два"&amp;" раза. Мало принести пользу - её надо ещё суметь показать.
И чтобы не выглядело, будто всё шло гладко
И при этом косячил я регулярно, на ревью постоянно были какие-то правки - это норм, у всех так. Главное, что я понял: оценивают не по объёму сделанного "&amp;"и не по числу ошибок, а стало ли лучше после тебя. Косяки забудутся, а польза для команды и проекта - нет.
Банк собесов, тестовых заданий, пет проектов и роадмапов можно найти на нашем сайте. 
@postypashki_old")</f>
        <v>Как пройти испытательный срок и сделать х2 к зарплате
Наши выпускники не только сейчас активно проходят собесы, но уже и активно строят карьеру. Дальше оригинальный текст от выпускника прошлого нашего потока курса алгоритмы старт, где качают не только алгоритмы, но и навыки, которые помогают расти в карьере. 
В первый рабочий день я спросил hr-ку, какие требования по прохождению испыта, и будет ли повышение зп после этого. «Всё зависит от твоих стараний на проекте», «зп редко повышаем после испыта» - вот такие ответы я получил и понял, что я не хочу просто закрыть испыт и получать свои крохи как джун, я хочу большего. 
Замечание с ревью не должно повториться дважды
Начал с малого. Первые недели - простые таски, закрывал в своем темпе, меня ревьюил коллега и как-то сам процесс ревью занимал много итераций (обычно это придирки в стиле «мы так не пишем», «тут мы уже изобрели велосипед, используй такой-то метод». Меня это бесило и я завел такое правило для себя: каждое замечание с ревью я не просто исправляю и забываю, а складываю в отдельный md. За пару недель из заметок собралась личная база: по сути гайд того, как в команде принято писать код. Дальше я сверялся с ним ещё до отправики на ревью. Как итог, с 3-4 итераций уменьшил до 1, как по мне крутой результат.
Когда файлик собрался приличный, я не оставил его себе, а предложил лиду релизнуть на основе него чеклист, чтобы новички в будущем быстрее вкатились. За пару созвонов все согласовали: гайд выкатили, и теперь его рекомендуют всем стажерам. 
Инициатива
Потихоньку бизнесовых задач на четырех фронтов стало слишком много, мне как джуну доверяли только баги в основном, мне это быстро надоело, и я спросил старшего, можно ли брать задачи из техбэклога, чтобы хоть как-то разнообразить задачки. Начал с лёгкого — настроил Storybook, потом посложнее : автотесты на старые сценарии. Лиду понравилось, что я и баги закрываю, и бэклог потихоньку уменьшается. Как по мне, на испыте/стажке важно быть активным, чтобы лид видел, что ты растешь и доверял тебе уже более серьезные задачи.
Начали больше доверять
Наш проект уходил в поддержку, задач становилось все меньше. Зато соседний проект готовился к новому заказчику: поменять интерфейс, добавить фичи под него. Загвоздка была в стеке: проект на Vue, а таких разработчиков в компании мало и все заняты. У меня Vue был ровно раз в универе, я на реакте пишу. Но раз я стабильно тащил, решили, что осилю - и почти до конца испыта я тянул этот проект соло.
Доверие доверием, но тянуть в соло, без единого коммерческого Vue за плечами, было честно стрёмно - базу подтягивал на ходу. Спасло то, что я висел во всех фронтовых чатах компании и не отмалчивался. Окупилось это тем, что там я нашёл того, кто согласился меня ревьюить. В новом стеке такой ревьюер - спасение: есть кому показать код перед мержем, когда сам не уверен. С ним я вкатился в Vue заметно быстрее.
Приходил с предложениями, а не жалобами
На встречах с руководством я никогда не жаловался, а наоборот — приносил решения проблем: добавить такую-то либу, которая улучшит нам жизнь, и прочее в таком духе. Жалоба перекладывает проблему на лида, а предложение снимает её. На этой разнице и рос респект ко мне.
Но респект - штука, которую к финалу ещё надо кому-то показать. Поэтому с первого дня я вёл список задачек/пр - и это не занудство. Обычно ни ты, ни твой менто, ни пм не вспомнят, что ты делал в первый месяц. На финальной встрече с HR я показал конкретный список - что сделал, что понравилось команде. Она отнесла его руководству, и по итогам испыта мне подняли зп в два раза. Мало принести пользу - её надо ещё суметь показать.
И чтобы не выглядело, будто всё шло гладко
И при этом косячил я регулярно, на ревью постоянно были какие-то правки - это норм, у всех так. Главное, что я понял: оценивают не по объёму сделанного и не по числу ошибок, а стало ли лучше после тебя. Косяки забудутся, а польза для команды и проекта - нет.
Банк собесов, тестовых заданий, пет проектов и роадмапов можно найти на нашем сайте. 
@postypashki_old</v>
      </c>
      <c r="I30" s="6" t="str">
        <f>IFERROR(__xludf.DUMMYFUNCTION("""COMPUTED_VALUE"""),"internal")</f>
        <v>internal</v>
      </c>
      <c r="J30" s="10" t="str">
        <f>IFERROR(__xludf.DUMMYFUNCTION("""COMPUTED_VALUE"""),"https://t.me/postypashki_old/1802")</f>
        <v>https://t.me/postypashki_old/1802</v>
      </c>
      <c r="K30" s="6">
        <f>IFERROR(__xludf.DUMMYFUNCTION("""COMPUTED_VALUE"""),15400.0)</f>
        <v>15400</v>
      </c>
      <c r="L30" s="6">
        <f>IFERROR(__xludf.DUMMYFUNCTION("""COMPUTED_VALUE"""),114.0)</f>
        <v>114</v>
      </c>
      <c r="M30" s="6" t="str">
        <f>IFERROR(__xludf.DUMMYFUNCTION("""COMPUTED_VALUE"""),"")</f>
        <v/>
      </c>
      <c r="N30" s="6" t="str">
        <f>IFERROR(__xludf.DUMMYFUNCTION("""COMPUTED_VALUE"""),"Telegram")</f>
        <v>Telegram</v>
      </c>
      <c r="O30" s="6" t="str">
        <f>IFERROR(__xludf.DUMMYFUNCTION("""COMPUTED_VALUE"""),"raw")</f>
        <v>raw</v>
      </c>
      <c r="P30" s="6" t="str">
        <f>IFERROR(__xludf.DUMMYFUNCTION("""COMPUTED_VALUE"""),"Codex")</f>
        <v>Codex</v>
      </c>
      <c r="Q30" s="6" t="str">
        <f>IFERROR(__xludf.DUMMYFUNCTION("""COMPUTED_VALUE"""),"Как пройти испытательный срок и сделать х2 к зарплате Наши выпускники не только сейчас активно проходят собесы, но уже и активно строят карьеру. Дальше оригинальный текст от выпуск")</f>
        <v>Как пройти испытательный срок и сделать х2 к зарплате Наши выпускники не только сейчас активно проходят собесы, но уже и активно строят карьеру. Дальше оригинальный текст от выпуск</v>
      </c>
      <c r="R30" s="6" t="str">
        <f>IFERROR(__xludf.DUMMYFUNCTION("""COMPUTED_VALUE"""),"internal")</f>
        <v>internal</v>
      </c>
      <c r="S30" s="6" t="str">
        <f>IFERROR(__xludf.DUMMYFUNCTION("""COMPUTED_VALUE"""),"unknown")</f>
        <v>unknown</v>
      </c>
      <c r="T30" s="6" t="str">
        <f>IFERROR(__xludf.DUMMYFUNCTION("""COMPUTED_VALUE"""),"telegram_internal")</f>
        <v>telegram_internal</v>
      </c>
      <c r="U30" s="6" t="str">
        <f>IFERROR(__xludf.DUMMYFUNCTION("""COMPUTED_VALUE"""),"Контент с упоминанием")</f>
        <v>Контент с упоминанием</v>
      </c>
      <c r="V30" s="6" t="str">
        <f>IFERROR(__xludf.DUMMYFUNCTION("""COMPUTED_VALUE"""),"Предыстория")</f>
        <v>Предыстория</v>
      </c>
      <c r="W30" s="6"/>
      <c r="X30" s="6"/>
      <c r="Y30" s="6" t="str">
        <f>IFERROR(__xludf.DUMMYFUNCTION("""COMPUTED_VALUE"""),"")</f>
        <v/>
      </c>
      <c r="Z30" s="6" t="str">
        <f>IFERROR(__xludf.DUMMYFUNCTION("""COMPUTED_VALUE"""),"")</f>
        <v/>
      </c>
      <c r="AA30" s="6" t="b">
        <f>IFERROR(__xludf.DUMMYFUNCTION("""COMPUTED_VALUE"""),TRUE)</f>
        <v>1</v>
      </c>
      <c r="AB30" s="6" t="b">
        <f>IFERROR(__xludf.DUMMYFUNCTION("""COMPUTED_VALUE"""),FALSE)</f>
        <v>0</v>
      </c>
      <c r="AC30" s="6" t="b">
        <f>IFERROR(__xludf.DUMMYFUNCTION("""COMPUTED_VALUE"""),FALSE)</f>
        <v>0</v>
      </c>
      <c r="AD30" s="6" t="b">
        <f>IFERROR(__xludf.DUMMYFUNCTION("""COMPUTED_VALUE"""),FALSE)</f>
        <v>0</v>
      </c>
      <c r="AE30" s="6"/>
      <c r="AF30" s="6" t="b">
        <f>IFERROR(__xludf.DUMMYFUNCTION("""COMPUTED_VALUE"""),FALSE)</f>
        <v>0</v>
      </c>
      <c r="AG30" s="6" t="str">
        <f>IFERROR(__xludf.DUMMYFUNCTION("""COMPUTED_VALUE"""),"2026-07-20T16:05:29+00:00")</f>
        <v>2026-07-20T16:05:29+00:00</v>
      </c>
      <c r="AH30" s="6" t="str">
        <f>IFERROR(__xludf.DUMMYFUNCTION("""COMPUTED_VALUE"""),"")</f>
        <v/>
      </c>
      <c r="AI30" s="6" t="str">
        <f>IFERROR(__xludf.DUMMYFUNCTION("""COMPUTED_VALUE"""),"#N/A")</f>
        <v>#N/A</v>
      </c>
      <c r="AJ30" s="9" t="s">
        <v>224</v>
      </c>
      <c r="AK30" s="9" t="s">
        <v>213</v>
      </c>
      <c r="AL30" s="4" t="s">
        <v>234</v>
      </c>
      <c r="AM30" s="9" t="s">
        <v>235</v>
      </c>
      <c r="AN30" s="4" t="str">
        <f>IFERROR(__xludf.DUMMYFUNCTION("IF(OR(AJ30=""general_brand"",AJ30=""external"",AJ30=""unknown""),"""",IF(AJ30=""product_line"",IF(AK30=""START"",""Аналитика старт | Алгоритмы старт | Backend старт | ML старт"",IF(AK30=""PRO"",""AI-агенты про | Алгоритмы про | Аналитика про | ML про | Ba"&amp;"ckend про"",IF(AK30=""START | PRO"",""Аналитика старт | Алгоритмы старт | Backend старт | ML старт | AI-агенты про | Алгоритмы про | Аналитика про | ML про | Backend про"",""""))),TEXTJOIN("" | "",TRUE,IF(REGEXMATCH(LOWER(AL30&amp;"" | ""&amp;E30),""аналитика ста"&amp;"рт""),""Аналитика старт"",""""),IF(REGEXMATCH(LOWER(AL30&amp;"" | ""&amp;E30),""алгоритмы старт""),""Алгоритмы старт"",""""),IF(REGEXMATCH(LOWER(AL30&amp;"" | ""&amp;E30),""backend старт""),""Backend старт"",""""),IF(REGEXMATCH(LOWER(AL30&amp;"" | ""&amp;E30),""ml старт""),""ML "&amp;"старт"",""""),IF(REGEXMATCH(LOWER(AL30&amp;"" | ""&amp;E30),""ai[ -]?агент""),""AI-агенты про"",""""),IF(REGEXMATCH(LOWER(AL30&amp;"" | ""&amp;E30),""алгоритмы про""),""Алгоритмы про"",""""),IF(REGEXMATCH(LOWER(AL30&amp;"" | ""&amp;E30),""аналитика про""),""Аналитика про"","""")"&amp;",IF(REGEXMATCH(LOWER(AL30&amp;"" | ""&amp;E30),""ml про""),""ML про"",""""),IF(REGEXMATCH(LOWER(AL30&amp;"" | ""&amp;E30),""backend про""),""Backend про"",""""),IF(REGEXMATCH(LOWER(AL30&amp;"" | ""&amp;E30),""(а/в|ав|а в|ab)[ -]?тест""),""А/В-тесты"",""""),IF(REGEXMATCH(LOWER(AL"&amp;"30&amp;"" | ""&amp;E30),""data science""),""Data science"",""""),IF(REGEXMATCH(LOWER(AL30&amp;"" | ""&amp;E30),""data[- ]?инжен""),""Data-инженер"",""""),IF(REGEXMATCH(LOWER(AL30&amp;"" | ""&amp;E30),""frontend""),""Frontend"",""""))))"),"Алгоритмы старт")</f>
        <v>Алгоритмы старт</v>
      </c>
    </row>
    <row r="31">
      <c r="A31" s="6" t="str">
        <f>IFERROR(__xludf.DUMMYFUNCTION("""COMPUTED_VALUE"""),"INT-1804")</f>
        <v>INT-1804</v>
      </c>
      <c r="B31" s="6" t="str">
        <f>IFERROR(__xludf.DUMMYFUNCTION("""COMPUTED_VALUE"""),"2026-07-21 17:04:33")</f>
        <v>2026-07-21 17:04:33</v>
      </c>
      <c r="C31" s="6" t="str">
        <f>IFERROR(__xludf.DUMMYFUNCTION("""COMPUTED_VALUE"""),"@postypashki_old")</f>
        <v>@postypashki_old</v>
      </c>
      <c r="D31" s="4" t="str">
        <f>IFERROR(__xludf.DUMMYFUNCTION("""COMPUTED_VALUE"""),"Прочий контент")</f>
        <v>Прочий контент</v>
      </c>
      <c r="E31" s="6"/>
      <c r="F31" s="6" t="str">
        <f>IFERROR(__xludf.DUMMYFUNCTION("""COMPUTED_VALUE"""),"")</f>
        <v/>
      </c>
      <c r="G31" s="6" t="str">
        <f>IFERROR(__xludf.DUMMYFUNCTION("""COMPUTED_VALUE"""),"postypashki_old/1804")</f>
        <v>postypashki_old/1804</v>
      </c>
      <c r="H31" s="6" t="str">
        <f>IFERROR(__xludf.DUMMYFUNCTION("""COMPUTED_VALUE"""),"Как пройти службу безопасности 
Очень обидно провалиться на этом эатпе, когда уже есть идеальное обкатанное резюме и легенда, а собесы пройдены на 5+. Хотя на этом этапе нужно просто убедить компанию, что ты не принесёшь ей рисков: судимости, долги, связ"&amp;"и с сомнительными организациями или расхождения в документах. 
На что смотрят
— непогашенные судимости;
— крупные просроченные долги (особенно исполнительные производства);
— участие в экстремистских или террористических организациях;
— иногда – сопостав"&amp;"ляют записи в трудовой книжке с тем, что ты указал в резюме и анкете.
Никакой паники
Никто не ждёт, что у всех документы идеальны. Главное – не юлить и не выдумывать на ходу. Лучше заранее продумать «легенду» для неофициального опыта, чем краснеть перед "&amp;"сотрудником СБ за свой опыт в экстремальном порно. 
Если в трудовой у тебя запись «официант», а ты претендуешь на позицию аналитика – это нормально. Ты можешь спокойно объяснить, что параллельно развивался в IT, а официально был трудоустроен в другой сфер"&amp;"е. Не надо отрицать очевидное и врать, что компании с такими названиями не существовало – иногда проверяют по ИНН, и ложь всплывает.
Что говорить про расхождения в трудовой
Вот несколько проверенных формулировок для разных ситуаций. Их можно использовать"&amp;" как шаблон – они звучат естественно и не вызывают подозрений.
1. Если ты работал в IT без официального оформления:
«Я работал по договору ГПХ на проектной основе. Запись в трудовую не вносилась, потому что это были краткосрочные проекты.»
2. Если был сам"&amp;"озанятым или фрилансером:
«Я был оформлен как самозанятый. Выполнял задачи для нескольких небольших команд и стартапов, официального трудового договора не было.»
3. Если работал в стартапе без штата:
«Стартап был на начальной стадии, оформления в штат не "&amp;"было, все договорённости – устные. Я занимался тестированием, но трудовую не вели.»
4. Если совмещал с другой работой:
«Основной доход давала подработка в другой сфере, а IT-опыт я нарабатывал параллельно. Сейчас полностью переключился на аналитику.»
Все "&amp;"эти объяснения рабочие – они не противоречат законам и понятиям, не выглядят как попытка обмануть.
Как заполнять анкету: по трудовой или по легенде?
Здесь есть важный нюанс. По опросу более 10^6 кандидатов выяснилось, что если заполнять анкету строго по "&amp;"записям в трудовой книжке, включая даже не-IT места (например, официант или менеджер по продажам), то шанс пройти СБ выше. Потому что СБ видит реальную историю и не находит расхождений.
А неофициальный опыт (ГПХ, фриланс, стажировки) можно указать в отдел"&amp;"ьной графе «дополнительная информация» или просто предупредить HR заранее. Лучше сказать HR: «Я заполнил анкету строго по трудовой, а мой опыт в аналитике был неофициальным, я могу рассказать о нём отдельно». Так ты будешь выглядеть честным, и у СБ не буд"&amp;"ет повода придраться.
Про высшее образование: если его нет – не пиши. Ложь про диплом может всплыть, и откажут именно из-за неё, а не из-за отсутствия корочки. Пиши как есть.
Как быть с рекомендациями и контактами
В анкете часто просят указать телефоны б"&amp;"ывших руководителей. Можно поставить галочку «Не звонить» – это не считается чем-то подозрительным, особенно если ты объяснишь: «компания закрылась», «руководитель уволился и его контакты утеряны» или «я работал на проекте, и контактов не сохранилось».
Ес"&amp;"ли ты всё же указываешь контакты (например, для подтверждения неофициального опыта), убедись, что они рабочие. Если ты договариваешься с бывшим коллегой, чтобы он подтвердил твою занятость, – это нормальная практика. Главное, чтобы человек был готов ответ"&amp;"ить на звонок или сообщение.
Про родственников: в анкете обычно спрашивают родителей, братьев и сестёр. Лучше указывай реальные данные – ложь о близких часто проверяется по открытым базам, и её легко обнаружить.
Что делать, если звонят из СБ
Если тебе по"&amp;"звонили – говори спокойно, без оправданий. Повторяй ту же информацию, что указал в анкете. Не добавляй лишних деталей, не пытайся шутить. Если спросят про расхождения, используй одну из заготовленных фраз:
«Да, в трудовой этого места нет. Я работал как вн"&amp;"ештатный специалист на проектной основе, без оформления. Могу подтвердить задачи, если потребуется.»
Главное – уверенность и ровный тон.
Что делать, если СБ отказала
Отказ – не конец света. Обычно причину не называют, но ты можешь вежливо спросить у HR: "&amp;"«Можно ли узнать, с чем связано решение? Это поможет мне учесть в будущем». Иногда удаётся выяснить, что дело в долгах родственников или в расхождениях в датах.
Подумай, что могло пойти не так:
— расхождения между трудовой и анкетой;
— неубедительная леге"&amp;"нда;
— финансовые проблемы (просроченные кредиты);
— наличие судимостей у близких;
— длительные поездки за границу без пояснений (для банков это триггер).
Но главное – один отказ не значит, что тебя не возьмут в другую компанию. У каждой организации свои "&amp;"фильтры. Есть реальные случаи, когда кандидата не пропускали в ОТП и Райффайзен, но он спокойно проходил в Тинькофф и ВТБ. Поэтому не зацикливайся – пробуй дальше и
Подпишись на наш канал: @chad_protocol")</f>
        <v>Как пройти службу безопасности 
Очень обидно провалиться на этом эатпе, когда уже есть идеальное обкатанное резюме и легенда, а собесы пройдены на 5+. Хотя на этом этапе нужно просто убедить компанию, что ты не принесёшь ей рисков: судимости, долги, связи с сомнительными организациями или расхождения в документах. 
На что смотрят
— непогашенные судимости;
— крупные просроченные долги (особенно исполнительные производства);
— участие в экстремистских или террористических организациях;
— иногда – сопоставляют записи в трудовой книжке с тем, что ты указал в резюме и анкете.
Никакой паники
Никто не ждёт, что у всех документы идеальны. Главное – не юлить и не выдумывать на ходу. Лучше заранее продумать «легенду» для неофициального опыта, чем краснеть перед сотрудником СБ за свой опыт в экстремальном порно. 
Если в трудовой у тебя запись «официант», а ты претендуешь на позицию аналитика – это нормально. Ты можешь спокойно объяснить, что параллельно развивался в IT, а официально был трудоустроен в другой сфере. Не надо отрицать очевидное и врать, что компании с такими названиями не существовало – иногда проверяют по ИНН, и ложь всплывает.
Что говорить про расхождения в трудовой
Вот несколько проверенных формулировок для разных ситуаций. Их можно использовать как шаблон – они звучат естественно и не вызывают подозрений.
1. Если ты работал в IT без официального оформления:
«Я работал по договору ГПХ на проектной основе. Запись в трудовую не вносилась, потому что это были краткосрочные проекты.»
2. Если был самозанятым или фрилансером:
«Я был оформлен как самозанятый. Выполнял задачи для нескольких небольших команд и стартапов, официального трудового договора не было.»
3. Если работал в стартапе без штата:
«Стартап был на начальной стадии, оформления в штат не было, все договорённости – устные. Я занимался тестированием, но трудовую не вели.»
4. Если совмещал с другой работой:
«Основной доход давала подработка в другой сфере, а IT-опыт я нарабатывал параллельно. Сейчас полностью переключился на аналитику.»
Все эти объяснения рабочие – они не противоречат законам и понятиям, не выглядят как попытка обмануть.
Как заполнять анкету: по трудовой или по легенде?
Здесь есть важный нюанс. По опросу более 10^6 кандидатов выяснилось, что если заполнять анкету строго по записям в трудовой книжке, включая даже не-IT места (например, официант или менеджер по продажам), то шанс пройти СБ выше. Потому что СБ видит реальную историю и не находит расхождений.
А неофициальный опыт (ГПХ, фриланс, стажировки) можно указать в отдельной графе «дополнительная информация» или просто предупредить HR заранее. Лучше сказать HR: «Я заполнил анкету строго по трудовой, а мой опыт в аналитике был неофициальным, я могу рассказать о нём отдельно». Так ты будешь выглядеть честным, и у СБ не будет повода придраться.
Про высшее образование: если его нет – не пиши. Ложь про диплом может всплыть, и откажут именно из-за неё, а не из-за отсутствия корочки. Пиши как есть.
Как быть с рекомендациями и контактами
В анкете часто просят указать телефоны бывших руководителей. Можно поставить галочку «Не звонить» – это не считается чем-то подозрительным, особенно если ты объяснишь: «компания закрылась», «руководитель уволился и его контакты утеряны» или «я работал на проекте, и контактов не сохранилось».
Если ты всё же указываешь контакты (например, для подтверждения неофициального опыта), убедись, что они рабочие. Если ты договариваешься с бывшим коллегой, чтобы он подтвердил твою занятость, – это нормальная практика. Главное, чтобы человек был готов ответить на звонок или сообщение.
Про родственников: в анкете обычно спрашивают родителей, братьев и сестёр. Лучше указывай реальные данные – ложь о близких часто проверяется по открытым базам, и её легко обнаружить.
Что делать, если звонят из СБ
Если тебе позвонили – говори спокойно, без оправданий. Повторяй ту же информацию, что указал в анкете. Не добавляй лишних деталей, не пытайся шутить. Если спросят про расхождения, используй одну из заготовленных фраз:
«Да, в трудовой этого места нет. Я работал как внештатный специалист на проектной основе, без оформления. Могу подтвердить задачи, если потребуется.»
Главное – уверенность и ровный тон.
Что делать, если СБ отказала
Отказ – не конец света. Обычно причину не называют, но ты можешь вежливо спросить у HR: «Можно ли узнать, с чем связано решение? Это поможет мне учесть в будущем». Иногда удаётся выяснить, что дело в долгах родственников или в расхождениях в датах.
Подумай, что могло пойти не так:
— расхождения между трудовой и анкетой;
— неубедительная легенда;
— финансовые проблемы (просроченные кредиты);
— наличие судимостей у близких;
— длительные поездки за границу без пояснений (для банков это триггер).
Но главное – один отказ не значит, что тебя не возьмут в другую компанию. У каждой организации свои фильтры. Есть реальные случаи, когда кандидата не пропускали в ОТП и Райффайзен, но он спокойно проходил в Тинькофф и ВТБ. Поэтому не зацикливайся – пробуй дальше и
Подпишись на наш канал: @chad_protocol</v>
      </c>
      <c r="I31" s="6" t="str">
        <f>IFERROR(__xludf.DUMMYFUNCTION("""COMPUTED_VALUE"""),"internal")</f>
        <v>internal</v>
      </c>
      <c r="J31" s="10" t="str">
        <f>IFERROR(__xludf.DUMMYFUNCTION("""COMPUTED_VALUE"""),"https://t.me/postypashki_old/1804")</f>
        <v>https://t.me/postypashki_old/1804</v>
      </c>
      <c r="K31" s="6">
        <f>IFERROR(__xludf.DUMMYFUNCTION("""COMPUTED_VALUE"""),15400.0)</f>
        <v>15400</v>
      </c>
      <c r="L31" s="6">
        <f>IFERROR(__xludf.DUMMYFUNCTION("""COMPUTED_VALUE"""),48.0)</f>
        <v>48</v>
      </c>
      <c r="M31" s="6" t="str">
        <f>IFERROR(__xludf.DUMMYFUNCTION("""COMPUTED_VALUE"""),"")</f>
        <v/>
      </c>
      <c r="N31" s="6" t="str">
        <f>IFERROR(__xludf.DUMMYFUNCTION("""COMPUTED_VALUE"""),"Telegram")</f>
        <v>Telegram</v>
      </c>
      <c r="O31" s="6" t="str">
        <f>IFERROR(__xludf.DUMMYFUNCTION("""COMPUTED_VALUE"""),"raw")</f>
        <v>raw</v>
      </c>
      <c r="P31" s="6" t="str">
        <f>IFERROR(__xludf.DUMMYFUNCTION("""COMPUTED_VALUE"""),"Codex")</f>
        <v>Codex</v>
      </c>
      <c r="Q31" s="6" t="str">
        <f>IFERROR(__xludf.DUMMYFUNCTION("""COMPUTED_VALUE"""),"Как пройти службу безопасности Очень обидно провалиться на этом эатпе, когда уже есть идеальное обкатанное резюме и легенда, а собесы пройдены на 5+. Хотя на этом этапе нужно прост")</f>
        <v>Как пройти службу безопасности Очень обидно провалиться на этом эатпе, когда уже есть идеальное обкатанное резюме и легенда, а собесы пройдены на 5+. Хотя на этом этапе нужно прост</v>
      </c>
      <c r="R31" s="6" t="str">
        <f>IFERROR(__xludf.DUMMYFUNCTION("""COMPUTED_VALUE"""),"internal")</f>
        <v>internal</v>
      </c>
      <c r="S31" s="6" t="str">
        <f>IFERROR(__xludf.DUMMYFUNCTION("""COMPUTED_VALUE"""),"unknown")</f>
        <v>unknown</v>
      </c>
      <c r="T31" s="6" t="str">
        <f>IFERROR(__xludf.DUMMYFUNCTION("""COMPUTED_VALUE"""),"telegram_internal")</f>
        <v>telegram_internal</v>
      </c>
      <c r="U31" s="6" t="str">
        <f>IFERROR(__xludf.DUMMYFUNCTION("""COMPUTED_VALUE"""),"Прочий контент")</f>
        <v>Прочий контент</v>
      </c>
      <c r="V31" s="6" t="str">
        <f>IFERROR(__xludf.DUMMYFUNCTION("""COMPUTED_VALUE"""),"Предыстория")</f>
        <v>Предыстория</v>
      </c>
      <c r="W31" s="6"/>
      <c r="X31" s="6" t="str">
        <f>IFERROR(__xludf.DUMMYFUNCTION("""COMPUTED_VALUE"""),"Forwarded from Chad Protocol - карьера, IT, успех")</f>
        <v>Forwarded from Chad Protocol - карьера, IT, успех</v>
      </c>
      <c r="Y31" s="6" t="str">
        <f>IFERROR(__xludf.DUMMYFUNCTION("""COMPUTED_VALUE"""),"")</f>
        <v/>
      </c>
      <c r="Z31" s="6" t="str">
        <f>IFERROR(__xludf.DUMMYFUNCTION("""COMPUTED_VALUE"""),"")</f>
        <v/>
      </c>
      <c r="AA31" s="6" t="b">
        <f>IFERROR(__xludf.DUMMYFUNCTION("""COMPUTED_VALUE"""),TRUE)</f>
        <v>1</v>
      </c>
      <c r="AB31" s="6" t="b">
        <f>IFERROR(__xludf.DUMMYFUNCTION("""COMPUTED_VALUE"""),FALSE)</f>
        <v>0</v>
      </c>
      <c r="AC31" s="6" t="b">
        <f>IFERROR(__xludf.DUMMYFUNCTION("""COMPUTED_VALUE"""),FALSE)</f>
        <v>0</v>
      </c>
      <c r="AD31" s="6" t="b">
        <f>IFERROR(__xludf.DUMMYFUNCTION("""COMPUTED_VALUE"""),FALSE)</f>
        <v>0</v>
      </c>
      <c r="AE31" s="6" t="str">
        <f>IFERROR(__xludf.DUMMYFUNCTION("""COMPUTED_VALUE"""),"мпании с такими названиями не существовало – иногда проверяют по ИНН, и ложь всплывает. Что говорить про расхождения в трудовой Вот несколько проверенных формулировок для разных ситуаций. Их можно использовать как шаблон – они")</f>
        <v>мпании с такими названиями не существовало – иногда проверяют по ИНН, и ложь всплывает. Что говорить про расхождения в трудовой Вот несколько проверенных формулировок для разных ситуаций. Их можно использовать как шаблон – они</v>
      </c>
      <c r="AF31" s="6" t="b">
        <f>IFERROR(__xludf.DUMMYFUNCTION("""COMPUTED_VALUE"""),FALSE)</f>
        <v>0</v>
      </c>
      <c r="AG31" s="6" t="str">
        <f>IFERROR(__xludf.DUMMYFUNCTION("""COMPUTED_VALUE"""),"2026-07-21T14:04:33+00:00")</f>
        <v>2026-07-21T14:04:33+00:00</v>
      </c>
      <c r="AH31" s="6" t="str">
        <f>IFERROR(__xludf.DUMMYFUNCTION("""COMPUTED_VALUE"""),"")</f>
        <v/>
      </c>
      <c r="AI31" s="6" t="str">
        <f>IFERROR(__xludf.DUMMYFUNCTION("""COMPUTED_VALUE"""),"#N/A")</f>
        <v>#N/A</v>
      </c>
      <c r="AJ31" s="9" t="s">
        <v>208</v>
      </c>
      <c r="AM31" s="9" t="s">
        <v>219</v>
      </c>
      <c r="AN31" s="6" t="str">
        <f>IFERROR(__xludf.DUMMYFUNCTION("IF(OR(AJ31=""general_brand"",AJ31=""external"",AJ31=""unknown""),"""",IF(AJ31=""product_line"",IF(AK31=""START"",""Аналитика старт | Алгоритмы старт | Backend старт | ML старт"",IF(AK31=""PRO"",""AI-агенты про | Алгоритмы про | Аналитика про | ML про | Ba"&amp;"ckend про"",IF(AK31=""START | PRO"",""Аналитика старт | Алгоритмы старт | Backend старт | ML старт | AI-агенты про | Алгоритмы про | Аналитика про | ML про | Backend про"",""""))),TEXTJOIN("" | "",TRUE,IF(REGEXMATCH(LOWER(AL31&amp;"" | ""&amp;E31),""аналитика ста"&amp;"рт""),""Аналитика старт"",""""),IF(REGEXMATCH(LOWER(AL31&amp;"" | ""&amp;E31),""алгоритмы старт""),""Алгоритмы старт"",""""),IF(REGEXMATCH(LOWER(AL31&amp;"" | ""&amp;E31),""backend старт""),""Backend старт"",""""),IF(REGEXMATCH(LOWER(AL31&amp;"" | ""&amp;E31),""ml старт""),""ML "&amp;"старт"",""""),IF(REGEXMATCH(LOWER(AL31&amp;"" | ""&amp;E31),""ai[ -]?агент""),""AI-агенты про"",""""),IF(REGEXMATCH(LOWER(AL31&amp;"" | ""&amp;E31),""алгоритмы про""),""Алгоритмы про"",""""),IF(REGEXMATCH(LOWER(AL31&amp;"" | ""&amp;E31),""аналитика про""),""Аналитика про"","""")"&amp;",IF(REGEXMATCH(LOWER(AL31&amp;"" | ""&amp;E31),""ml про""),""ML про"",""""),IF(REGEXMATCH(LOWER(AL31&amp;"" | ""&amp;E31),""backend про""),""Backend про"",""""),IF(REGEXMATCH(LOWER(AL31&amp;"" | ""&amp;E31),""(а/в|ав|а в|ab)[ -]?тест""),""А/В-тесты"",""""),IF(REGEXMATCH(LOWER(AL"&amp;"31&amp;"" | ""&amp;E31),""data science""),""Data science"",""""),IF(REGEXMATCH(LOWER(AL31&amp;"" | ""&amp;E31),""data[- ]?инжен""),""Data-инженер"",""""),IF(REGEXMATCH(LOWER(AL31&amp;"" | ""&amp;E31),""frontend""),""Frontend"",""""))))"),"")</f>
        <v/>
      </c>
    </row>
    <row r="32">
      <c r="A32" s="6" t="str">
        <f>IFERROR(__xludf.DUMMYFUNCTION("""COMPUTED_VALUE"""),"INT-1805")</f>
        <v>INT-1805</v>
      </c>
      <c r="B32" s="6" t="str">
        <f>IFERROR(__xludf.DUMMYFUNCTION("""COMPUTED_VALUE"""),"2026-07-21 19:26:14")</f>
        <v>2026-07-21 19:26:14</v>
      </c>
      <c r="C32" s="6" t="str">
        <f>IFERROR(__xludf.DUMMYFUNCTION("""COMPUTED_VALUE"""),"@postypashki_old")</f>
        <v>@postypashki_old</v>
      </c>
      <c r="D32" s="4" t="str">
        <f>IFERROR(__xludf.DUMMYFUNCTION("""COMPUTED_VALUE"""),"Прочий контент")</f>
        <v>Прочий контент</v>
      </c>
      <c r="E32" s="6"/>
      <c r="F32" s="6" t="str">
        <f>IFERROR(__xludf.DUMMYFUNCTION("""COMPUTED_VALUE"""),"")</f>
        <v/>
      </c>
      <c r="G32" s="6" t="str">
        <f>IFERROR(__xludf.DUMMYFUNCTION("""COMPUTED_VALUE"""),"postypashki_old/1805")</f>
        <v>postypashki_old/1805</v>
      </c>
      <c r="H32" s="6" t="str">
        <f>IFERROR(__xludf.DUMMYFUNCTION("""COMPUTED_VALUE"""),"Скоро начнутся отборы на осенние стажировки. Самое время обсудить на какие программы обратить свое внимание в первую очередь и как гарантировано пройти отбор! Смотрим! Смотрим!
https://www.youtube.com/watch?v=8QxduqUBn3g")</f>
        <v>Скоро начнутся отборы на осенние стажировки. Самое время обсудить на какие программы обратить свое внимание в первую очередь и как гарантировано пройти отбор! Смотрим! Смотрим!
https://www.youtube.com/watch?v=8QxduqUBn3g</v>
      </c>
      <c r="I32" s="6" t="str">
        <f>IFERROR(__xludf.DUMMYFUNCTION("""COMPUTED_VALUE"""),"internal")</f>
        <v>internal</v>
      </c>
      <c r="J32" s="10" t="str">
        <f>IFERROR(__xludf.DUMMYFUNCTION("""COMPUTED_VALUE"""),"https://t.me/postypashki_old/1805")</f>
        <v>https://t.me/postypashki_old/1805</v>
      </c>
      <c r="K32" s="6">
        <f>IFERROR(__xludf.DUMMYFUNCTION("""COMPUTED_VALUE"""),20700.0)</f>
        <v>20700</v>
      </c>
      <c r="L32" s="6">
        <f>IFERROR(__xludf.DUMMYFUNCTION("""COMPUTED_VALUE"""),33.0)</f>
        <v>33</v>
      </c>
      <c r="M32" s="6" t="str">
        <f>IFERROR(__xludf.DUMMYFUNCTION("""COMPUTED_VALUE"""),"")</f>
        <v/>
      </c>
      <c r="N32" s="6" t="str">
        <f>IFERROR(__xludf.DUMMYFUNCTION("""COMPUTED_VALUE"""),"Telegram")</f>
        <v>Telegram</v>
      </c>
      <c r="O32" s="6" t="str">
        <f>IFERROR(__xludf.DUMMYFUNCTION("""COMPUTED_VALUE"""),"raw")</f>
        <v>raw</v>
      </c>
      <c r="P32" s="6" t="str">
        <f>IFERROR(__xludf.DUMMYFUNCTION("""COMPUTED_VALUE"""),"Codex")</f>
        <v>Codex</v>
      </c>
      <c r="Q32" s="6" t="str">
        <f>IFERROR(__xludf.DUMMYFUNCTION("""COMPUTED_VALUE"""),"Скоро начнутся отборы на осенние стажировки. Самое время обсудить на какие программы обратить свое внимание в первую очередь и как гарантировано пройти отбор! Смотрим! Смотрим! htt")</f>
        <v>Скоро начнутся отборы на осенние стажировки. Самое время обсудить на какие программы обратить свое внимание в первую очередь и как гарантировано пройти отбор! Смотрим! Смотрим! htt</v>
      </c>
      <c r="R32" s="6" t="str">
        <f>IFERROR(__xludf.DUMMYFUNCTION("""COMPUTED_VALUE"""),"internal")</f>
        <v>internal</v>
      </c>
      <c r="S32" s="6" t="str">
        <f>IFERROR(__xludf.DUMMYFUNCTION("""COMPUTED_VALUE"""),"unknown")</f>
        <v>unknown</v>
      </c>
      <c r="T32" s="6" t="str">
        <f>IFERROR(__xludf.DUMMYFUNCTION("""COMPUTED_VALUE"""),"telegram_internal")</f>
        <v>telegram_internal</v>
      </c>
      <c r="U32" s="6" t="str">
        <f>IFERROR(__xludf.DUMMYFUNCTION("""COMPUTED_VALUE"""),"Прочий контент")</f>
        <v>Прочий контент</v>
      </c>
      <c r="V32" s="6" t="str">
        <f>IFERROR(__xludf.DUMMYFUNCTION("""COMPUTED_VALUE"""),"Предыстория")</f>
        <v>Предыстория</v>
      </c>
      <c r="W32" s="6"/>
      <c r="X32" s="6"/>
      <c r="Y32" s="6" t="str">
        <f>IFERROR(__xludf.DUMMYFUNCTION("""COMPUTED_VALUE"""),"")</f>
        <v/>
      </c>
      <c r="Z32" s="6" t="str">
        <f>IFERROR(__xludf.DUMMYFUNCTION("""COMPUTED_VALUE"""),"")</f>
        <v/>
      </c>
      <c r="AA32" s="6" t="b">
        <f>IFERROR(__xludf.DUMMYFUNCTION("""COMPUTED_VALUE"""),FALSE)</f>
        <v>0</v>
      </c>
      <c r="AB32" s="6" t="b">
        <f>IFERROR(__xludf.DUMMYFUNCTION("""COMPUTED_VALUE"""),FALSE)</f>
        <v>0</v>
      </c>
      <c r="AC32" s="6" t="b">
        <f>IFERROR(__xludf.DUMMYFUNCTION("""COMPUTED_VALUE"""),FALSE)</f>
        <v>0</v>
      </c>
      <c r="AD32" s="6" t="b">
        <f>IFERROR(__xludf.DUMMYFUNCTION("""COMPUTED_VALUE"""),FALSE)</f>
        <v>0</v>
      </c>
      <c r="AE32" s="6"/>
      <c r="AF32" s="6" t="b">
        <f>IFERROR(__xludf.DUMMYFUNCTION("""COMPUTED_VALUE"""),FALSE)</f>
        <v>0</v>
      </c>
      <c r="AG32" s="6" t="str">
        <f>IFERROR(__xludf.DUMMYFUNCTION("""COMPUTED_VALUE"""),"2026-07-21T16:26:14+00:00")</f>
        <v>2026-07-21T16:26:14+00:00</v>
      </c>
      <c r="AH32" s="6" t="str">
        <f>IFERROR(__xludf.DUMMYFUNCTION("""COMPUTED_VALUE"""),"")</f>
        <v/>
      </c>
      <c r="AI32" s="6" t="str">
        <f>IFERROR(__xludf.DUMMYFUNCTION("""COMPUTED_VALUE"""),"#N/A")</f>
        <v>#N/A</v>
      </c>
      <c r="AJ32" s="9" t="s">
        <v>208</v>
      </c>
      <c r="AM32" s="9" t="s">
        <v>219</v>
      </c>
      <c r="AN32" s="6" t="str">
        <f>IFERROR(__xludf.DUMMYFUNCTION("IF(OR(AJ32=""general_brand"",AJ32=""external"",AJ32=""unknown""),"""",IF(AJ32=""product_line"",IF(AK32=""START"",""Аналитика старт | Алгоритмы старт | Backend старт | ML старт"",IF(AK32=""PRO"",""AI-агенты про | Алгоритмы про | Аналитика про | ML про | Ba"&amp;"ckend про"",IF(AK32=""START | PRO"",""Аналитика старт | Алгоритмы старт | Backend старт | ML старт | AI-агенты про | Алгоритмы про | Аналитика про | ML про | Backend про"",""""))),TEXTJOIN("" | "",TRUE,IF(REGEXMATCH(LOWER(AL32&amp;"" | ""&amp;E32),""аналитика ста"&amp;"рт""),""Аналитика старт"",""""),IF(REGEXMATCH(LOWER(AL32&amp;"" | ""&amp;E32),""алгоритмы старт""),""Алгоритмы старт"",""""),IF(REGEXMATCH(LOWER(AL32&amp;"" | ""&amp;E32),""backend старт""),""Backend старт"",""""),IF(REGEXMATCH(LOWER(AL32&amp;"" | ""&amp;E32),""ml старт""),""ML "&amp;"старт"",""""),IF(REGEXMATCH(LOWER(AL32&amp;"" | ""&amp;E32),""ai[ -]?агент""),""AI-агенты про"",""""),IF(REGEXMATCH(LOWER(AL32&amp;"" | ""&amp;E32),""алгоритмы про""),""Алгоритмы про"",""""),IF(REGEXMATCH(LOWER(AL32&amp;"" | ""&amp;E32),""аналитика про""),""Аналитика про"","""")"&amp;",IF(REGEXMATCH(LOWER(AL32&amp;"" | ""&amp;E32),""ml про""),""ML про"",""""),IF(REGEXMATCH(LOWER(AL32&amp;"" | ""&amp;E32),""backend про""),""Backend про"",""""),IF(REGEXMATCH(LOWER(AL32&amp;"" | ""&amp;E32),""(а/в|ав|а в|ab)[ -]?тест""),""А/В-тесты"",""""),IF(REGEXMATCH(LOWER(AL"&amp;"32&amp;"" | ""&amp;E32),""data science""),""Data science"",""""),IF(REGEXMATCH(LOWER(AL32&amp;"" | ""&amp;E32),""data[- ]?инжен""),""Data-инженер"",""""),IF(REGEXMATCH(LOWER(AL32&amp;"" | ""&amp;E32),""frontend""),""Frontend"",""""))))"),"")</f>
        <v/>
      </c>
    </row>
    <row r="33">
      <c r="A33" s="6" t="str">
        <f>IFERROR(__xludf.DUMMYFUNCTION("""COMPUTED_VALUE"""),"INT-1806")</f>
        <v>INT-1806</v>
      </c>
      <c r="B33" s="6" t="str">
        <f>IFERROR(__xludf.DUMMYFUNCTION("""COMPUTED_VALUE"""),"2026-07-22 12:31:50")</f>
        <v>2026-07-22 12:31:50</v>
      </c>
      <c r="C33" s="6" t="str">
        <f>IFERROR(__xludf.DUMMYFUNCTION("""COMPUTED_VALUE"""),"@postypashki_old")</f>
        <v>@postypashki_old</v>
      </c>
      <c r="D33" s="4" t="str">
        <f>IFERROR(__xludf.DUMMYFUNCTION("""COMPUTED_VALUE"""),"Бесплатное событие / лид-магнит")</f>
        <v>Бесплатное событие / лид-магнит</v>
      </c>
      <c r="E33" s="6" t="str">
        <f>IFERROR(__xludf.DUMMYFUNCTION("""COMPUTED_VALUE"""),"AI агенты")</f>
        <v>AI агенты</v>
      </c>
      <c r="F33" s="6" t="str">
        <f>IFERROR(__xludf.DUMMYFUNCTION("""COMPUTED_VALUE"""),"")</f>
        <v/>
      </c>
      <c r="G33" s="6" t="str">
        <f>IFERROR(__xludf.DUMMYFUNCTION("""COMPUTED_VALUE"""),"postypashki_old/1806")</f>
        <v>postypashki_old/1806</v>
      </c>
      <c r="H33" s="6" t="str">
        <f>IFERROR(__xludf.DUMMYFUNCTION("""COMPUTED_VALUE"""),"AI Agents Security Week от ШАДа — разбираемся, как делать ИИ-агентов, которым можно доверять
ИИ-агенты уже пишут код, работают с данными, дёргают инструменты и подключаются к внешним сервисам. Вместе с этим растёт и интерес индустрии к инженерной стороне"&amp;" безопасности таких систем — тема всё чаще всплывает и на собеседованиях в BigTech.
С 27 по 31 июля ШАД проводит бесплатный онлайн-интенсив AI Agents Security Week с экспертами Яндекса.
Что разберут:
 ⚡️ чем автономные агенты отличаются от LLM
 ⚡️ как б"&amp;"езопасно давать агентам доступ к инструментам и инфраструктуре
 ⚡️ как защищать персональные и корпоративные данные
 ⚡️ какие уязвимости и проблемы уже встречались у разработчиков разных ИИ-моделей
Формат — 5 вечерних занятий с возможностью задать вопрос"&amp;"ы экспертам напрямую. Пройдёте отборочное тестирование и итоговую работу — получите сертификат.
Подойдёт ML-разработчикам, DevOps/DevSecOps-инженерам и студентам старших курсов, которые целятся в ШАД и BigTech.
Заявки принимают до 27 июля включительно. "&amp;"Программа, спикеры и регистрация — по ссылке.")</f>
        <v>AI Agents Security Week от ШАДа — разбираемся, как делать ИИ-агентов, которым можно доверять
ИИ-агенты уже пишут код, работают с данными, дёргают инструменты и подключаются к внешним сервисам. Вместе с этим растёт и интерес индустрии к инженерной стороне безопасности таких систем — тема всё чаще всплывает и на собеседованиях в BigTech.
С 27 по 31 июля ШАД проводит бесплатный онлайн-интенсив AI Agents Security Week с экспертами Яндекса.
Что разберут:
 ⚡️ чем автономные агенты отличаются от LLM
 ⚡️ как безопасно давать агентам доступ к инструментам и инфраструктуре
 ⚡️ как защищать персональные и корпоративные данные
 ⚡️ какие уязвимости и проблемы уже встречались у разработчиков разных ИИ-моделей
Формат — 5 вечерних занятий с возможностью задать вопросы экспертам напрямую. Пройдёте отборочное тестирование и итоговую работу — получите сертификат.
Подойдёт ML-разработчикам, DevOps/DevSecOps-инженерам и студентам старших курсов, которые целятся в ШАД и BigTech.
Заявки принимают до 27 июля включительно. Программа, спикеры и регистрация — по ссылке.</v>
      </c>
      <c r="I33" s="6" t="str">
        <f>IFERROR(__xludf.DUMMYFUNCTION("""COMPUTED_VALUE"""),"internal")</f>
        <v>internal</v>
      </c>
      <c r="J33" s="10" t="str">
        <f>IFERROR(__xludf.DUMMYFUNCTION("""COMPUTED_VALUE"""),"https://t.me/postypashki_old/1806")</f>
        <v>https://t.me/postypashki_old/1806</v>
      </c>
      <c r="K33" s="6">
        <f>IFERROR(__xludf.DUMMYFUNCTION("""COMPUTED_VALUE"""),20600.0)</f>
        <v>20600</v>
      </c>
      <c r="L33" s="6">
        <f>IFERROR(__xludf.DUMMYFUNCTION("""COMPUTED_VALUE"""),22.0)</f>
        <v>22</v>
      </c>
      <c r="M33" s="6" t="str">
        <f>IFERROR(__xludf.DUMMYFUNCTION("""COMPUTED_VALUE"""),"")</f>
        <v/>
      </c>
      <c r="N33" s="6" t="str">
        <f>IFERROR(__xludf.DUMMYFUNCTION("""COMPUTED_VALUE"""),"Telegram")</f>
        <v>Telegram</v>
      </c>
      <c r="O33" s="6" t="str">
        <f>IFERROR(__xludf.DUMMYFUNCTION("""COMPUTED_VALUE"""),"raw")</f>
        <v>raw</v>
      </c>
      <c r="P33" s="6" t="str">
        <f>IFERROR(__xludf.DUMMYFUNCTION("""COMPUTED_VALUE"""),"Codex")</f>
        <v>Codex</v>
      </c>
      <c r="Q33" s="6" t="str">
        <f>IFERROR(__xludf.DUMMYFUNCTION("""COMPUTED_VALUE"""),"AI Agents Security Week от ШАДа — разбираемся, как делать ИИ-агентов, которым можно доверять ИИ-агенты уже пишут код, работают с данными, дёргают инструменты и подключаются к внешн")</f>
        <v>AI Agents Security Week от ШАДа — разбираемся, как делать ИИ-агентов, которым можно доверять ИИ-агенты уже пишут код, работают с данными, дёргают инструменты и подключаются к внешн</v>
      </c>
      <c r="R33" s="6" t="str">
        <f>IFERROR(__xludf.DUMMYFUNCTION("""COMPUTED_VALUE"""),"internal")</f>
        <v>internal</v>
      </c>
      <c r="S33" s="6" t="str">
        <f>IFERROR(__xludf.DUMMYFUNCTION("""COMPUTED_VALUE"""),"unknown")</f>
        <v>unknown</v>
      </c>
      <c r="T33" s="6" t="str">
        <f>IFERROR(__xludf.DUMMYFUNCTION("""COMPUTED_VALUE"""),"telegram_internal")</f>
        <v>telegram_internal</v>
      </c>
      <c r="U33" s="6" t="str">
        <f>IFERROR(__xludf.DUMMYFUNCTION("""COMPUTED_VALUE"""),"Бесплатное событие / лид-магнит")</f>
        <v>Бесплатное событие / лид-магнит</v>
      </c>
      <c r="V33" s="6" t="str">
        <f>IFERROR(__xludf.DUMMYFUNCTION("""COMPUTED_VALUE"""),"Предыстория")</f>
        <v>Предыстория</v>
      </c>
      <c r="W33" s="6" t="str">
        <f>IFERROR(__xludf.DUMMYFUNCTION("""COMPUTED_VALUE"""),"Фото")</f>
        <v>Фото</v>
      </c>
      <c r="X33" s="6"/>
      <c r="Y33" s="6" t="str">
        <f>IFERROR(__xludf.DUMMYFUNCTION("""COMPUTED_VALUE"""),"")</f>
        <v/>
      </c>
      <c r="Z33" s="6" t="str">
        <f>IFERROR(__xludf.DUMMYFUNCTION("""COMPUTED_VALUE"""),"")</f>
        <v/>
      </c>
      <c r="AA33" s="6" t="b">
        <f>IFERROR(__xludf.DUMMYFUNCTION("""COMPUTED_VALUE"""),FALSE)</f>
        <v>0</v>
      </c>
      <c r="AB33" s="6" t="b">
        <f>IFERROR(__xludf.DUMMYFUNCTION("""COMPUTED_VALUE"""),FALSE)</f>
        <v>0</v>
      </c>
      <c r="AC33" s="6" t="b">
        <f>IFERROR(__xludf.DUMMYFUNCTION("""COMPUTED_VALUE"""),FALSE)</f>
        <v>0</v>
      </c>
      <c r="AD33" s="6" t="b">
        <f>IFERROR(__xludf.DUMMYFUNCTION("""COMPUTED_VALUE"""),TRUE)</f>
        <v>1</v>
      </c>
      <c r="AE33" s="6"/>
      <c r="AF33" s="6" t="b">
        <f>IFERROR(__xludf.DUMMYFUNCTION("""COMPUTED_VALUE"""),TRUE)</f>
        <v>1</v>
      </c>
      <c r="AG33" s="6" t="str">
        <f>IFERROR(__xludf.DUMMYFUNCTION("""COMPUTED_VALUE"""),"2026-07-22T09:31:50+00:00")</f>
        <v>2026-07-22T09:31:50+00:00</v>
      </c>
      <c r="AH33" s="6" t="str">
        <f>IFERROR(__xludf.DUMMYFUNCTION("""COMPUTED_VALUE"""),"")</f>
        <v/>
      </c>
      <c r="AI33" s="6" t="str">
        <f>IFERROR(__xludf.DUMMYFUNCTION("""COMPUTED_VALUE"""),"#N/A")</f>
        <v>#N/A</v>
      </c>
      <c r="AJ33" s="9" t="s">
        <v>176</v>
      </c>
      <c r="AM33" s="9" t="s">
        <v>238</v>
      </c>
      <c r="AN33" s="6" t="str">
        <f>IFERROR(__xludf.DUMMYFUNCTION("IF(OR(AJ33=""general_brand"",AJ33=""external"",AJ33=""unknown""),"""",IF(AJ33=""product_line"",IF(AK33=""START"",""Аналитика старт | Алгоритмы старт | Backend старт | ML старт"",IF(AK33=""PRO"",""AI-агенты про | Алгоритмы про | Аналитика про | ML про | Ba"&amp;"ckend про"",IF(AK33=""START | PRO"",""Аналитика старт | Алгоритмы старт | Backend старт | ML старт | AI-агенты про | Алгоритмы про | Аналитика про | ML про | Backend про"",""""))),TEXTJOIN("" | "",TRUE,IF(REGEXMATCH(LOWER(AL33&amp;"" | ""&amp;E33),""аналитика ста"&amp;"рт""),""Аналитика старт"",""""),IF(REGEXMATCH(LOWER(AL33&amp;"" | ""&amp;E33),""алгоритмы старт""),""Алгоритмы старт"",""""),IF(REGEXMATCH(LOWER(AL33&amp;"" | ""&amp;E33),""backend старт""),""Backend старт"",""""),IF(REGEXMATCH(LOWER(AL33&amp;"" | ""&amp;E33),""ml старт""),""ML "&amp;"старт"",""""),IF(REGEXMATCH(LOWER(AL33&amp;"" | ""&amp;E33),""ai[ -]?агент""),""AI-агенты про"",""""),IF(REGEXMATCH(LOWER(AL33&amp;"" | ""&amp;E33),""алгоритмы про""),""Алгоритмы про"",""""),IF(REGEXMATCH(LOWER(AL33&amp;"" | ""&amp;E33),""аналитика про""),""Аналитика про"","""")"&amp;",IF(REGEXMATCH(LOWER(AL33&amp;"" | ""&amp;E33),""ml про""),""ML про"",""""),IF(REGEXMATCH(LOWER(AL33&amp;"" | ""&amp;E33),""backend про""),""Backend про"",""""),IF(REGEXMATCH(LOWER(AL33&amp;"" | ""&amp;E33),""(а/в|ав|а в|ab)[ -]?тест""),""А/В-тесты"",""""),IF(REGEXMATCH(LOWER(AL"&amp;"33&amp;"" | ""&amp;E33),""data science""),""Data science"",""""),IF(REGEXMATCH(LOWER(AL33&amp;"" | ""&amp;E33),""data[- ]?инжен""),""Data-инженер"",""""),IF(REGEXMATCH(LOWER(AL33&amp;"" | ""&amp;E33),""frontend""),""Frontend"",""""))))"),"")</f>
        <v/>
      </c>
    </row>
    <row r="34">
      <c r="A34" s="6" t="str">
        <f>IFERROR(__xludf.DUMMYFUNCTION("""COMPUTED_VALUE"""),"INT-1809")</f>
        <v>INT-1809</v>
      </c>
      <c r="B34" s="6" t="str">
        <f>IFERROR(__xludf.DUMMYFUNCTION("""COMPUTED_VALUE"""),"2026-07-23 16:05:30")</f>
        <v>2026-07-23 16:05:30</v>
      </c>
      <c r="C34" s="6" t="str">
        <f>IFERROR(__xludf.DUMMYFUNCTION("""COMPUTED_VALUE"""),"@postypashki_old")</f>
        <v>@postypashki_old</v>
      </c>
      <c r="D34" s="4" t="str">
        <f>IFERROR(__xludf.DUMMYFUNCTION("""COMPUTED_VALUE"""),"Контент с предложением курсов")</f>
        <v>Контент с предложением курсов</v>
      </c>
      <c r="E34" s="6" t="str">
        <f>IFERROR(__xludf.DUMMYFUNCTION("""COMPUTED_VALUE"""),"ML старт | Backend старт | Алгоритмы старт | Аналитика старт")</f>
        <v>ML старт | Backend старт | Алгоритмы старт | Аналитика старт</v>
      </c>
      <c r="F34" s="6" t="str">
        <f>IFERROR(__xludf.DUMMYFUNCTION("""COMPUTED_VALUE"""),"")</f>
        <v/>
      </c>
      <c r="G34" s="6" t="str">
        <f>IFERROR(__xludf.DUMMYFUNCTION("""COMPUTED_VALUE"""),"postypashki_old/1809")</f>
        <v>postypashki_old/1809</v>
      </c>
      <c r="H34" s="6" t="str">
        <f>IFERROR(__xludf.DUMMYFUNCTION("""COMPUTED_VALUE"""),"Т-Академия и Т-Интенсив
Товарищи, прямо сейчас Т-Банк набирает участников на программы по аналитике и разработке.
Мы разберём вступительные испытания на карьерных курсах — выбирайте направление и смотрите, какой курс поможет подготовиться:
⭐️Т-Академия
"&amp;"— Разработка ПО: программирование
Разбор экзамена будет на  «Бэкенд Старт» и «Алгоритмы Старт»
Дедлайн: 31 июля
— Продуктовая аналитика: математика и SQL
Разбор экзамена будет на «Аналитика Старт»
Дедлайн: 31 июля
⭐️Т-Интенсив
— Риск-аналитика: математи"&amp;"ка и программирование
Разбор экзамена будет на «ML Старт»
Дедлайн: 26 июля
— Бизнес-аналитика: математика, SQL и аналитический кейс
Разбор экзамена будет на «Аналитика Старт»
Дедлайн: 8 августа
Программы дают возможность поработать над реальными задачам"&amp;"и со специалистами Т-Банка, а финалисты могут получить фаст-трек на стажировку или джуновскую позицию. Но сначала нужно пройти отбор. Делимся мини-гайдом с неочевидными нюансами, которые помогут повысить шансы на поступление.
➡️Т-Академия: не пытайтесь к"&amp;"азаться слишком опытным
Программа состоит из двух семестров, и требования к участникам отличаются: летом идёт отбор на первый семестр, ближе к осени - на второй.
На первый семестр нужен хороший технический фундамент, но именно выбранное направление должн"&amp;"о оставаться для вас новой ступенью. 
То есть берут тех, которых есть чему учить - это прямо следует из описания программы. Если у вас серьёзный опыт именно по этому направлению, на первый семестр по нему, скорее всего, не возьмут.
Поэтому играем от смежн"&amp;"ого опыта:
— шарите за Go -&gt; на Go шансы низкие, а на Scala - заметно выше;
— опытный бэкендер -&gt; пробуйте фронт или мобилки.
А второй семестр как раз берут с опытом по направлению. Есть релевантный бэкграунд -&gt; подавайтесь сразу на второй, на первый даж"&amp;"е не тратьте время.
2. Т-Интенсив: подбираем поток под свой опыт
Интенсив — это две-три недели очень плотного погружения.
Вот два кейса наших студентов:
Кейс №1. Студент подался сразу на несколько аналитических интенсивов. Контест решил полностью, но в "&amp;"резюме не было ни проекта, ни опыта, связанного с аналитикой. В итоге — отказ.
Вывод: заполняйте нормальную анкету, контекст не дает гарантий.
Перед подачей сделайте хотя бы один релевантный пет-проект и опишите: какую задачу решали, какие данные использо"&amp;"вали, какие инструменты применяли и к какому результату пришли.
Кейс №2. Другой студент подался на базовый JS-интенсив, имея несколько пет-проектов и опыт работы в университетской лабе. На базовую программу получил отказ как слишком опытный, зато на прод"&amp;"винутый поток прошёл без проблем.
Поэтому путь такой:
— есть только база и один-два учебных проекта → базовый поток;
— есть сильные проекты или коммерческий опыт → продвинутый.
Что сделать перед подачей
1. Подавайтесь на несколько подходящих направлений"&amp;"
Это не запрещено. Если программы пересекутся, вас попросят выбрать одну. Но на этапе отбора вы увеличиваете количество возможностей. Главное, чтобы ваш опыт частично совпадал с требованиями направления.
2. Адаптируйте резюме под каждую программу
Релеван"&amp;"тные проекты и стек - наверх, лишнее либо убрать, либо в самый низ. И причесать GitHub: нормальные названия реп, ридми с описанием, что это и как запустить. Навряд ли живой человек будет проверять ваш профиль, но вот ллмка скорее всего заглянет и посмотри"&amp;"т, что там у вас творится, поэтому это лишним не будет.
3. Самая важная часть - мотивация
Пишем конкретно: курс - новый шаг в карьере, заряжены пройти до конца и хотите потом работать в Т-Банке. Заряженных ребят рады видеть, а раздолбаев - нет. Покажите,"&amp;" что свободное время есть и программу вытянете спокойно.
Подробнее, как заполнить анкету, смотрите в этом ролике
Подготовиться ко всем программам можно на наших карьерных курсах, там проходим все, что нужно для отборов: харды, софты, типовые вопросы с с"&amp;"обесов и практикуемся на мок-интервью 
@postypashki_old")</f>
        <v>Т-Академия и Т-Интенсив
Товарищи, прямо сейчас Т-Банк набирает участников на программы по аналитике и разработке.
Мы разберём вступительные испытания на карьерных курсах — выбирайте направление и смотрите, какой курс поможет подготовиться:
⭐️Т-Академия
— Разработка ПО: программирование
Разбор экзамена будет на  «Бэкенд Старт» и «Алгоритмы Старт»
Дедлайн: 31 июля
— Продуктовая аналитика: математика и SQL
Разбор экзамена будет на «Аналитика Старт»
Дедлайн: 31 июля
⭐️Т-Интенсив
— Риск-аналитика: математика и программирование
Разбор экзамена будет на «ML Старт»
Дедлайн: 26 июля
— Бизнес-аналитика: математика, SQL и аналитический кейс
Разбор экзамена будет на «Аналитика Старт»
Дедлайн: 8 августа
Программы дают возможность поработать над реальными задачами со специалистами Т-Банка, а финалисты могут получить фаст-трек на стажировку или джуновскую позицию. Но сначала нужно пройти отбор. Делимся мини-гайдом с неочевидными нюансами, которые помогут повысить шансы на поступление.
➡️Т-Академия: не пытайтесь казаться слишком опытным
Программа состоит из двух семестров, и требования к участникам отличаются: летом идёт отбор на первый семестр, ближе к осени - на второй.
На первый семестр нужен хороший технический фундамент, но именно выбранное направление должно оставаться для вас новой ступенью. 
То есть берут тех, которых есть чему учить - это прямо следует из описания программы. Если у вас серьёзный опыт именно по этому направлению, на первый семестр по нему, скорее всего, не возьмут.
Поэтому играем от смежного опыта:
— шарите за Go -&gt; на Go шансы низкие, а на Scala - заметно выше;
— опытный бэкендер -&gt; пробуйте фронт или мобилки.
А второй семестр как раз берут с опытом по направлению. Есть релевантный бэкграунд -&gt; подавайтесь сразу на второй, на первый даже не тратьте время.
2. Т-Интенсив: подбираем поток под свой опыт
Интенсив — это две-три недели очень плотного погружения.
Вот два кейса наших студентов:
Кейс №1. Студент подался сразу на несколько аналитических интенсивов. Контест решил полностью, но в резюме не было ни проекта, ни опыта, связанного с аналитикой. В итоге — отказ.
Вывод: заполняйте нормальную анкету, контекст не дает гарантий.
Перед подачей сделайте хотя бы один релевантный пет-проект и опишите: какую задачу решали, какие данные использовали, какие инструменты применяли и к какому результату пришли.
Кейс №2. Другой студент подался на базовый JS-интенсив, имея несколько пет-проектов и опыт работы в университетской лабе. На базовую программу получил отказ как слишком опытный, зато на продвинутый поток прошёл без проблем.
Поэтому путь такой:
— есть только база и один-два учебных проекта → базовый поток;
— есть сильные проекты или коммерческий опыт → продвинутый.
Что сделать перед подачей
1. Подавайтесь на несколько подходящих направлений
Это не запрещено. Если программы пересекутся, вас попросят выбрать одну. Но на этапе отбора вы увеличиваете количество возможностей. Главное, чтобы ваш опыт частично совпадал с требованиями направления.
2. Адаптируйте резюме под каждую программу
Релевантные проекты и стек - наверх, лишнее либо убрать, либо в самый низ. И причесать GitHub: нормальные названия реп, ридми с описанием, что это и как запустить. Навряд ли живой человек будет проверять ваш профиль, но вот ллмка скорее всего заглянет и посмотрит, что там у вас творится, поэтому это лишним не будет.
3. Самая важная часть - мотивация
Пишем конкретно: курс - новый шаг в карьере, заряжены пройти до конца и хотите потом работать в Т-Банке. Заряженных ребят рады видеть, а раздолбаев - нет. Покажите, что свободное время есть и программу вытянете спокойно.
Подробнее, как заполнить анкету, смотрите в этом ролике
Подготовиться ко всем программам можно на наших карьерных курсах, там проходим все, что нужно для отборов: харды, софты, типовые вопросы с собесов и практикуемся на мок-интервью 
@postypashki_old</v>
      </c>
      <c r="I34" s="6" t="str">
        <f>IFERROR(__xludf.DUMMYFUNCTION("""COMPUTED_VALUE"""),"internal")</f>
        <v>internal</v>
      </c>
      <c r="J34" s="10" t="str">
        <f>IFERROR(__xludf.DUMMYFUNCTION("""COMPUTED_VALUE"""),"https://t.me/postypashki_old/1809")</f>
        <v>https://t.me/postypashki_old/1809</v>
      </c>
      <c r="K34" s="6">
        <f>IFERROR(__xludf.DUMMYFUNCTION("""COMPUTED_VALUE"""),21200.0)</f>
        <v>21200</v>
      </c>
      <c r="L34" s="6">
        <f>IFERROR(__xludf.DUMMYFUNCTION("""COMPUTED_VALUE"""),52.0)</f>
        <v>52</v>
      </c>
      <c r="M34" s="6" t="str">
        <f>IFERROR(__xludf.DUMMYFUNCTION("""COMPUTED_VALUE"""),"")</f>
        <v/>
      </c>
      <c r="N34" s="6" t="str">
        <f>IFERROR(__xludf.DUMMYFUNCTION("""COMPUTED_VALUE"""),"Telegram")</f>
        <v>Telegram</v>
      </c>
      <c r="O34" s="6" t="str">
        <f>IFERROR(__xludf.DUMMYFUNCTION("""COMPUTED_VALUE"""),"raw")</f>
        <v>raw</v>
      </c>
      <c r="P34" s="6" t="str">
        <f>IFERROR(__xludf.DUMMYFUNCTION("""COMPUTED_VALUE"""),"Codex")</f>
        <v>Codex</v>
      </c>
      <c r="Q34" s="6" t="str">
        <f>IFERROR(__xludf.DUMMYFUNCTION("""COMPUTED_VALUE"""),"Т-Академия и Т-Интенсив Товарищи, прямо сейчас Т-Банк набирает участников на программы по аналитике и разработке. Мы разберём вступительные испытания на карьерных курсах — выбирайт")</f>
        <v>Т-Академия и Т-Интенсив Товарищи, прямо сейчас Т-Банк набирает участников на программы по аналитике и разработке. Мы разберём вступительные испытания на карьерных курсах — выбирайт</v>
      </c>
      <c r="R34" s="6" t="str">
        <f>IFERROR(__xludf.DUMMYFUNCTION("""COMPUTED_VALUE"""),"internal")</f>
        <v>internal</v>
      </c>
      <c r="S34" s="6" t="str">
        <f>IFERROR(__xludf.DUMMYFUNCTION("""COMPUTED_VALUE"""),"unknown")</f>
        <v>unknown</v>
      </c>
      <c r="T34" s="6" t="str">
        <f>IFERROR(__xludf.DUMMYFUNCTION("""COMPUTED_VALUE"""),"telegram_internal")</f>
        <v>telegram_internal</v>
      </c>
      <c r="U34" s="6" t="str">
        <f>IFERROR(__xludf.DUMMYFUNCTION("""COMPUTED_VALUE"""),"Контент с предложением курсов")</f>
        <v>Контент с предложением курсов</v>
      </c>
      <c r="V34" s="6" t="str">
        <f>IFERROR(__xludf.DUMMYFUNCTION("""COMPUTED_VALUE"""),"Предыстория")</f>
        <v>Предыстория</v>
      </c>
      <c r="W34" s="6"/>
      <c r="X34" s="6"/>
      <c r="Y34" s="6" t="str">
        <f>IFERROR(__xludf.DUMMYFUNCTION("""COMPUTED_VALUE"""),"")</f>
        <v/>
      </c>
      <c r="Z34" s="6" t="str">
        <f>IFERROR(__xludf.DUMMYFUNCTION("""COMPUTED_VALUE"""),"")</f>
        <v/>
      </c>
      <c r="AA34" s="6" t="b">
        <f>IFERROR(__xludf.DUMMYFUNCTION("""COMPUTED_VALUE"""),TRUE)</f>
        <v>1</v>
      </c>
      <c r="AB34" s="6" t="b">
        <f>IFERROR(__xludf.DUMMYFUNCTION("""COMPUTED_VALUE"""),FALSE)</f>
        <v>0</v>
      </c>
      <c r="AC34" s="6" t="b">
        <f>IFERROR(__xludf.DUMMYFUNCTION("""COMPUTED_VALUE"""),FALSE)</f>
        <v>0</v>
      </c>
      <c r="AD34" s="6" t="b">
        <f>IFERROR(__xludf.DUMMYFUNCTION("""COMPUTED_VALUE"""),FALSE)</f>
        <v>0</v>
      </c>
      <c r="AE34" s="6"/>
      <c r="AF34" s="6" t="b">
        <f>IFERROR(__xludf.DUMMYFUNCTION("""COMPUTED_VALUE"""),FALSE)</f>
        <v>0</v>
      </c>
      <c r="AG34" s="6" t="str">
        <f>IFERROR(__xludf.DUMMYFUNCTION("""COMPUTED_VALUE"""),"2026-07-23T13:05:30+00:00")</f>
        <v>2026-07-23T13:05:30+00:00</v>
      </c>
      <c r="AH34" s="6" t="str">
        <f>IFERROR(__xludf.DUMMYFUNCTION("""COMPUTED_VALUE"""),"")</f>
        <v/>
      </c>
      <c r="AI34" s="6" t="str">
        <f>IFERROR(__xludf.DUMMYFUNCTION("""COMPUTED_VALUE"""),"#N/A")</f>
        <v>#N/A</v>
      </c>
      <c r="AJ34" s="9" t="s">
        <v>223</v>
      </c>
      <c r="AK34" s="9" t="s">
        <v>213</v>
      </c>
      <c r="AL34" s="4" t="s">
        <v>239</v>
      </c>
      <c r="AM34" s="9" t="s">
        <v>219</v>
      </c>
      <c r="AN34" s="4" t="str">
        <f>IFERROR(__xludf.DUMMYFUNCTION("IF(OR(AJ34=""general_brand"",AJ34=""external"",AJ34=""unknown""),"""",IF(AJ34=""product_line"",IF(AK34=""START"",""Аналитика старт | Алгоритмы старт | Backend старт | ML старт"",IF(AK34=""PRO"",""AI-агенты про | Алгоритмы про | Аналитика про | ML про | Ba"&amp;"ckend про"",IF(AK34=""START | PRO"",""Аналитика старт | Алгоритмы старт | Backend старт | ML старт | AI-агенты про | Алгоритмы про | Аналитика про | ML про | Backend про"",""""))),TEXTJOIN("" | "",TRUE,IF(REGEXMATCH(LOWER(AL34&amp;"" | ""&amp;E34),""аналитика ста"&amp;"рт""),""Аналитика старт"",""""),IF(REGEXMATCH(LOWER(AL34&amp;"" | ""&amp;E34),""алгоритмы старт""),""Алгоритмы старт"",""""),IF(REGEXMATCH(LOWER(AL34&amp;"" | ""&amp;E34),""backend старт""),""Backend старт"",""""),IF(REGEXMATCH(LOWER(AL34&amp;"" | ""&amp;E34),""ml старт""),""ML "&amp;"старт"",""""),IF(REGEXMATCH(LOWER(AL34&amp;"" | ""&amp;E34),""ai[ -]?агент""),""AI-агенты про"",""""),IF(REGEXMATCH(LOWER(AL34&amp;"" | ""&amp;E34),""алгоритмы про""),""Алгоритмы про"",""""),IF(REGEXMATCH(LOWER(AL34&amp;"" | ""&amp;E34),""аналитика про""),""Аналитика про"","""")"&amp;",IF(REGEXMATCH(LOWER(AL34&amp;"" | ""&amp;E34),""ml про""),""ML про"",""""),IF(REGEXMATCH(LOWER(AL34&amp;"" | ""&amp;E34),""backend про""),""Backend про"",""""),IF(REGEXMATCH(LOWER(AL34&amp;"" | ""&amp;E34),""(а/в|ав|а в|ab)[ -]?тест""),""А/В-тесты"",""""),IF(REGEXMATCH(LOWER(AL"&amp;"34&amp;"" | ""&amp;E34),""data science""),""Data science"",""""),IF(REGEXMATCH(LOWER(AL34&amp;"" | ""&amp;E34),""data[- ]?инжен""),""Data-инженер"",""""),IF(REGEXMATCH(LOWER(AL34&amp;"" | ""&amp;E34),""frontend""),""Frontend"",""""))))"),"Аналитика старт | Алгоритмы старт | Backend старт | ML старт")</f>
        <v>Аналитика старт | Алгоритмы старт | Backend старт | ML старт</v>
      </c>
    </row>
    <row r="35">
      <c r="A35" s="6" t="str">
        <f>IFERROR(__xludf.DUMMYFUNCTION("""COMPUTED_VALUE"""),"INT-1811")</f>
        <v>INT-1811</v>
      </c>
      <c r="B35" s="6" t="str">
        <f>IFERROR(__xludf.DUMMYFUNCTION("""COMPUTED_VALUE"""),"2026-07-24 19:05:26")</f>
        <v>2026-07-24 19:05:26</v>
      </c>
      <c r="C35" s="6" t="str">
        <f>IFERROR(__xludf.DUMMYFUNCTION("""COMPUTED_VALUE"""),"@postypashki_old")</f>
        <v>@postypashki_old</v>
      </c>
      <c r="D35" s="4" t="str">
        <f>IFERROR(__xludf.DUMMYFUNCTION("""COMPUTED_VALUE"""),"Контент с предложением курсов")</f>
        <v>Контент с предложением курсов</v>
      </c>
      <c r="E35" s="6"/>
      <c r="F35" s="6" t="str">
        <f>IFERROR(__xludf.DUMMYFUNCTION("""COMPUTED_VALUE"""),"")</f>
        <v/>
      </c>
      <c r="G35" s="6" t="str">
        <f>IFERROR(__xludf.DUMMYFUNCTION("""COMPUTED_VALUE"""),"postypashki_old/1811")</f>
        <v>postypashki_old/1811</v>
      </c>
      <c r="H35" s="6" t="str">
        <f>IFERROR(__xludf.DUMMYFUNCTION("""COMPUTED_VALUE"""),"Почему ты не можешь попасть на стажировку
Можно жаловаться на большую конкуренцию, что сейчас вакансий мало, кризис нейросети, крах айти и капитализма. Я слышу эти песни уже десятки лет. Нужно просто принять то, что мир меняется и что работало раньше, се"&amp;"йчас не работает. В посте обсудим какие стратегии получения оффера работают сейчас. 
Сезонные курсы, школы
Для участия нужно написать контест аналогичный стажировки и попасть в топ. Конкурс традиционно ниже просто из-за меньшего количества участников. Да"&amp;" и совсем жёсткие ботари не станут участвовать в каком-нибудь курсе по основам java. Иногда их прям открыто отшивают, тот же Тинек. Поэтому пишем анкету аккуратней: не нужно писать про мощные пет проекты, другие курсы, а то рекрутеры подумают, что вы слиш"&amp;"ком для них хороши и лучше дать возможность другим ребятам. Но такое происходит не всегда, нужно следить за позиционированием программы. Например, в прошлый раз как мне показалось у рекрутеров летних школ Яндекса ожидания были завышены. 
Не все курсы прям"&amp;" топ, зато бесплатно (бес платит). У того же Тинька они обычно очень поверхностные. Но зато если окажетесь около топа в рейтинге по дз, сразу позовут на собес. Хотя быть в топе необязательно, когда появляется вакансия стажёра, рекрутеры первым делом прохо"&amp;"дятся именно по участникам таких курсов. При том могут скипнуть несколько этапов собесов. 
Даже если и не позовут на собес, то курсы отлично будут смотреться в вашей анкете и добавят очков лояльности. 
Сейчас проходит набор на Т-академию и Т-интенсив, ра"&amp;"збор заданий будет на наших курсах. Кстати завтра уже стартуют первые семинары, торопитесь! 
➡️ Записаться
Фесты
Проходят довольно часто. Иногда для участия нужно решить скромный контест, так как офис не резиновый.
Полно всяких конкурсов на месте, где мо"&amp;"жно выиграть гаджеты, прикольный мерч,  который поможет вам клеить первокурсниц, или фаст трек (скип нескольких этапов). Конкурсы из разряда решите задачи уровня ЕГЭ. Хотя никакого соревновательного процесса нет, нужно просто заморочиться и решить пару за"&amp;"дач. 
Также это отличный повод просто выйти из дома и пообщаться. Особенно хорошая возможность для ребят, которые приехали учиться из регионов и только строят свой круг общения. Я , кстати, если заметил, что организаторы в рекламные посты специально выбир"&amp;"ают фотографии как можно с большим количеством девушек. 
Дни карьеры, митапы
Все аналогично предыдущему, но могут проходить в стенах вуза, из-за чего воронка меньше. Вот, какой план. Приезжаете в субботу утром на очную встречу. Спикер говорит в духе: ""Е"&amp;"сли остались вопросы — буду рад ответить на них после доклада у стенда"". Можно подойти и сказать: ""Классный доклад! А как попасть к вам на стажировку?"". Ему внимание приятно, ему эндорфин сознание плавит. Он может и не собирался ещё вчера никого нанима"&amp;"ть, но видит, что вы вместе с ним, превозмогая сон, приехали к 10 утра в РГГУ на Выхино. И отвечает: ""Ну приходи, вот мой номер"". 
Хакатоны, соревнования
Конечно, это хорошая идея для свидания, но также часто спонсорами таких событий являются именно ко"&amp;"мпании. Если займете призовое место, то дадут  фаст трек, денежный призы, мерч, гаджеты или хотя бы чокопай. Но для нас больше интересно, что соревнование очно, а значит там есть и представители компании, которым нужен интерн / джун. Действуем по предыдущ"&amp;"ей схеме и приглашение на собес в кармане. Причем вам ненужно что-то выигрывать, рассматриваем темку просто как нетворк. 
Обычные вакансии
Помимо топовых компаний есть и ""ноунеймы"", у которых не так много вакансий и для них сильно тратиться на пиар про"&amp;"сто иррационально, но при этом проекты, команда и тд не хуже чем в бигтехах, а отбор конечно намного проще, главное поискать. Искать можно на любом агрегаторе в духе HH/ТГ или у каждой компании есть страничка с вакансиями на своем сайте (гуглим в духе ""Т"&amp;"инькофф вакансии в it""). Только не подаемся на всякий кринж без перспективы развития в духе скл писателя.   
Главное помним, что выиграть в этой лотерее вполне реально, что доказывают реальные истории ваших знакомых и одногруппников, главное знать прави"&amp;"ла игры! Узнать их вам поможет наш чат единомышленников. 
@postypashki_old")</f>
        <v>Почему ты не можешь попасть на стажировку
Можно жаловаться на большую конкуренцию, что сейчас вакансий мало, кризис нейросети, крах айти и капитализма. Я слышу эти песни уже десятки лет. Нужно просто принять то, что мир меняется и что работало раньше, сейчас не работает. В посте обсудим какие стратегии получения оффера работают сейчас. 
Сезонные курсы, школы
Для участия нужно написать контест аналогичный стажировки и попасть в топ. Конкурс традиционно ниже просто из-за меньшего количества участников. Да и совсем жёсткие ботари не станут участвовать в каком-нибудь курсе по основам java. Иногда их прям открыто отшивают, тот же Тинек. Поэтому пишем анкету аккуратней: не нужно писать про мощные пет проекты, другие курсы, а то рекрутеры подумают, что вы слишком для них хороши и лучше дать возможность другим ребятам. Но такое происходит не всегда, нужно следить за позиционированием программы. Например, в прошлый раз как мне показалось у рекрутеров летних школ Яндекса ожидания были завышены. 
Не все курсы прям топ, зато бесплатно (бес платит). У того же Тинька они обычно очень поверхностные. Но зато если окажетесь около топа в рейтинге по дз, сразу позовут на собес. Хотя быть в топе необязательно, когда появляется вакансия стажёра, рекрутеры первым делом проходятся именно по участникам таких курсов. При том могут скипнуть несколько этапов собесов. 
Даже если и не позовут на собес, то курсы отлично будут смотреться в вашей анкете и добавят очков лояльности. 
Сейчас проходит набор на Т-академию и Т-интенсив, разбор заданий будет на наших курсах. Кстати завтра уже стартуют первые семинары, торопитесь! 
➡️ Записаться
Фесты
Проходят довольно часто. Иногда для участия нужно решить скромный контест, так как офис не резиновый.
Полно всяких конкурсов на месте, где можно выиграть гаджеты, прикольный мерч,  который поможет вам клеить первокурсниц, или фаст трек (скип нескольких этапов). Конкурсы из разряда решите задачи уровня ЕГЭ. Хотя никакого соревновательного процесса нет, нужно просто заморочиться и решить пару задач. 
Также это отличный повод просто выйти из дома и пообщаться. Особенно хорошая возможность для ребят, которые приехали учиться из регионов и только строят свой круг общения. Я , кстати, если заметил, что организаторы в рекламные посты специально выбирают фотографии как можно с большим количеством девушек. 
Дни карьеры, митапы
Все аналогично предыдущему, но могут проходить в стенах вуза, из-за чего воронка меньше. Вот, какой план. Приезжаете в субботу утром на очную встречу. Спикер говорит в духе: "Если остались вопросы — буду рад ответить на них после доклада у стенда". Можно подойти и сказать: "Классный доклад! А как попасть к вам на стажировку?". Ему внимание приятно, ему эндорфин сознание плавит. Он может и не собирался ещё вчера никого нанимать, но видит, что вы вместе с ним, превозмогая сон, приехали к 10 утра в РГГУ на Выхино. И отвечает: "Ну приходи, вот мой номер". 
Хакатоны, соревнования
Конечно, это хорошая идея для свидания, но также часто спонсорами таких событий являются именно компании. Если займете призовое место, то дадут  фаст трек, денежный призы, мерч, гаджеты или хотя бы чокопай. Но для нас больше интересно, что соревнование очно, а значит там есть и представители компании, которым нужен интерн / джун. Действуем по предыдущей схеме и приглашение на собес в кармане. Причем вам ненужно что-то выигрывать, рассматриваем темку просто как нетворк. 
Обычные вакансии
Помимо топовых компаний есть и "ноунеймы", у которых не так много вакансий и для них сильно тратиться на пиар просто иррационально, но при этом проекты, команда и тд не хуже чем в бигтехах, а отбор конечно намного проще, главное поискать. Искать можно на любом агрегаторе в духе HH/ТГ или у каждой компании есть страничка с вакансиями на своем сайте (гуглим в духе "Тинькофф вакансии в it"). Только не подаемся на всякий кринж без перспективы развития в духе скл писателя.   
Главное помним, что выиграть в этой лотерее вполне реально, что доказывают реальные истории ваших знакомых и одногруппников, главное знать правила игры! Узнать их вам поможет наш чат единомышленников. 
@postypashki_old</v>
      </c>
      <c r="I35" s="6" t="str">
        <f>IFERROR(__xludf.DUMMYFUNCTION("""COMPUTED_VALUE"""),"internal")</f>
        <v>internal</v>
      </c>
      <c r="J35" s="10" t="str">
        <f>IFERROR(__xludf.DUMMYFUNCTION("""COMPUTED_VALUE"""),"https://t.me/postypashki_old/1811")</f>
        <v>https://t.me/postypashki_old/1811</v>
      </c>
      <c r="K35" s="6">
        <f>IFERROR(__xludf.DUMMYFUNCTION("""COMPUTED_VALUE"""),20700.0)</f>
        <v>20700</v>
      </c>
      <c r="L35" s="6">
        <f>IFERROR(__xludf.DUMMYFUNCTION("""COMPUTED_VALUE"""),70.0)</f>
        <v>70</v>
      </c>
      <c r="M35" s="6" t="str">
        <f>IFERROR(__xludf.DUMMYFUNCTION("""COMPUTED_VALUE"""),"")</f>
        <v/>
      </c>
      <c r="N35" s="6" t="str">
        <f>IFERROR(__xludf.DUMMYFUNCTION("""COMPUTED_VALUE"""),"Telegram")</f>
        <v>Telegram</v>
      </c>
      <c r="O35" s="6" t="str">
        <f>IFERROR(__xludf.DUMMYFUNCTION("""COMPUTED_VALUE"""),"raw")</f>
        <v>raw</v>
      </c>
      <c r="P35" s="6" t="str">
        <f>IFERROR(__xludf.DUMMYFUNCTION("""COMPUTED_VALUE"""),"Codex")</f>
        <v>Codex</v>
      </c>
      <c r="Q35" s="6" t="str">
        <f>IFERROR(__xludf.DUMMYFUNCTION("""COMPUTED_VALUE"""),"Почему ты не можешь попасть на стажировку Можно жаловаться на большую конкуренцию, что сейчас вакансий мало, кризис нейросети, крах айти и капитализма. Я слышу эти песни уже десятк")</f>
        <v>Почему ты не можешь попасть на стажировку Можно жаловаться на большую конкуренцию, что сейчас вакансий мало, кризис нейросети, крах айти и капитализма. Я слышу эти песни уже десятк</v>
      </c>
      <c r="R35" s="6" t="str">
        <f>IFERROR(__xludf.DUMMYFUNCTION("""COMPUTED_VALUE"""),"internal")</f>
        <v>internal</v>
      </c>
      <c r="S35" s="6" t="str">
        <f>IFERROR(__xludf.DUMMYFUNCTION("""COMPUTED_VALUE"""),"unknown")</f>
        <v>unknown</v>
      </c>
      <c r="T35" s="6" t="str">
        <f>IFERROR(__xludf.DUMMYFUNCTION("""COMPUTED_VALUE"""),"telegram_internal")</f>
        <v>telegram_internal</v>
      </c>
      <c r="U35" s="6" t="str">
        <f>IFERROR(__xludf.DUMMYFUNCTION("""COMPUTED_VALUE"""),"Контент с предложением курсов")</f>
        <v>Контент с предложением курсов</v>
      </c>
      <c r="V35" s="6" t="str">
        <f>IFERROR(__xludf.DUMMYFUNCTION("""COMPUTED_VALUE"""),"Предыстория")</f>
        <v>Предыстория</v>
      </c>
      <c r="W35" s="6"/>
      <c r="X35" s="6"/>
      <c r="Y35" s="6" t="str">
        <f>IFERROR(__xludf.DUMMYFUNCTION("""COMPUTED_VALUE"""),"")</f>
        <v/>
      </c>
      <c r="Z35" s="6" t="str">
        <f>IFERROR(__xludf.DUMMYFUNCTION("""COMPUTED_VALUE"""),"")</f>
        <v/>
      </c>
      <c r="AA35" s="6" t="b">
        <f>IFERROR(__xludf.DUMMYFUNCTION("""COMPUTED_VALUE"""),TRUE)</f>
        <v>1</v>
      </c>
      <c r="AB35" s="6" t="b">
        <f>IFERROR(__xludf.DUMMYFUNCTION("""COMPUTED_VALUE"""),FALSE)</f>
        <v>0</v>
      </c>
      <c r="AC35" s="6" t="b">
        <f>IFERROR(__xludf.DUMMYFUNCTION("""COMPUTED_VALUE"""),FALSE)</f>
        <v>0</v>
      </c>
      <c r="AD35" s="6" t="b">
        <f>IFERROR(__xludf.DUMMYFUNCTION("""COMPUTED_VALUE"""),TRUE)</f>
        <v>1</v>
      </c>
      <c r="AE35" s="6"/>
      <c r="AF35" s="6" t="b">
        <f>IFERROR(__xludf.DUMMYFUNCTION("""COMPUTED_VALUE"""),FALSE)</f>
        <v>0</v>
      </c>
      <c r="AG35" s="6" t="str">
        <f>IFERROR(__xludf.DUMMYFUNCTION("""COMPUTED_VALUE"""),"2026-07-24T16:05:26+00:00")</f>
        <v>2026-07-24T16:05:26+00:00</v>
      </c>
      <c r="AH35" s="6" t="str">
        <f>IFERROR(__xludf.DUMMYFUNCTION("""COMPUTED_VALUE"""),"")</f>
        <v/>
      </c>
      <c r="AI35" s="6" t="str">
        <f>IFERROR(__xludf.DUMMYFUNCTION("""COMPUTED_VALUE"""),"#N/A")</f>
        <v>#N/A</v>
      </c>
      <c r="AJ35" s="9" t="s">
        <v>233</v>
      </c>
      <c r="AM35" s="9" t="s">
        <v>219</v>
      </c>
      <c r="AN35" s="6" t="str">
        <f>IFERROR(__xludf.DUMMYFUNCTION("IF(OR(AJ35=""general_brand"",AJ35=""external"",AJ35=""unknown""),"""",IF(AJ35=""product_line"",IF(AK35=""START"",""Аналитика старт | Алгоритмы старт | Backend старт | ML старт"",IF(AK35=""PRO"",""AI-агенты про | Алгоритмы про | Аналитика про | ML про | Ba"&amp;"ckend про"",IF(AK35=""START | PRO"",""Аналитика старт | Алгоритмы старт | Backend старт | ML старт | AI-агенты про | Алгоритмы про | Аналитика про | ML про | Backend про"",""""))),TEXTJOIN("" | "",TRUE,IF(REGEXMATCH(LOWER(AL35&amp;"" | ""&amp;E35),""аналитика ста"&amp;"рт""),""Аналитика старт"",""""),IF(REGEXMATCH(LOWER(AL35&amp;"" | ""&amp;E35),""алгоритмы старт""),""Алгоритмы старт"",""""),IF(REGEXMATCH(LOWER(AL35&amp;"" | ""&amp;E35),""backend старт""),""Backend старт"",""""),IF(REGEXMATCH(LOWER(AL35&amp;"" | ""&amp;E35),""ml старт""),""ML "&amp;"старт"",""""),IF(REGEXMATCH(LOWER(AL35&amp;"" | ""&amp;E35),""ai[ -]?агент""),""AI-агенты про"",""""),IF(REGEXMATCH(LOWER(AL35&amp;"" | ""&amp;E35),""алгоритмы про""),""Алгоритмы про"",""""),IF(REGEXMATCH(LOWER(AL35&amp;"" | ""&amp;E35),""аналитика про""),""Аналитика про"","""")"&amp;",IF(REGEXMATCH(LOWER(AL35&amp;"" | ""&amp;E35),""ml про""),""ML про"",""""),IF(REGEXMATCH(LOWER(AL35&amp;"" | ""&amp;E35),""backend про""),""Backend про"",""""),IF(REGEXMATCH(LOWER(AL35&amp;"" | ""&amp;E35),""(а/в|ав|а в|ab)[ -]?тест""),""А/В-тесты"",""""),IF(REGEXMATCH(LOWER(AL"&amp;"35&amp;"" | ""&amp;E35),""data science""),""Data science"",""""),IF(REGEXMATCH(LOWER(AL35&amp;"" | ""&amp;E35),""data[- ]?инжен""),""Data-инженер"",""""),IF(REGEXMATCH(LOWER(AL35&amp;"" | ""&amp;E35),""frontend""),""Frontend"",""""))))"),"")</f>
        <v/>
      </c>
    </row>
    <row r="36">
      <c r="A36" s="6" t="str">
        <f>IFERROR(__xludf.DUMMYFUNCTION("""COMPUTED_VALUE"""),"INT-1812")</f>
        <v>INT-1812</v>
      </c>
      <c r="B36" s="6" t="str">
        <f>IFERROR(__xludf.DUMMYFUNCTION("""COMPUTED_VALUE"""),"2026-07-25 12:05:19")</f>
        <v>2026-07-25 12:05:19</v>
      </c>
      <c r="C36" s="6" t="str">
        <f>IFERROR(__xludf.DUMMYFUNCTION("""COMPUTED_VALUE"""),"@postypashki_old")</f>
        <v>@postypashki_old</v>
      </c>
      <c r="D36" s="4" t="str">
        <f>IFERROR(__xludf.DUMMYFUNCTION("""COMPUTED_VALUE"""),"Бесплатное событие / лид-магнит")</f>
        <v>Бесплатное событие / лид-магнит</v>
      </c>
      <c r="E36" s="6"/>
      <c r="F36" s="6" t="str">
        <f>IFERROR(__xludf.DUMMYFUNCTION("""COMPUTED_VALUE"""),"")</f>
        <v/>
      </c>
      <c r="G36" s="6" t="str">
        <f>IFERROR(__xludf.DUMMYFUNCTION("""COMPUTED_VALUE"""),"postypashki_old/1812")</f>
        <v>postypashki_old/1812</v>
      </c>
      <c r="H36" s="6" t="str">
        <f>IFERROR(__xludf.DUMMYFUNCTION("""COMPUTED_VALUE"""),"Собрали гайд по секции liveo coding в Авито, которая проходит у всех разработчиков и ML-инженеров. 
Гайд основан на реальных внутренних документах и позволяет понять, как устроено интервью и что именно оценивают на секции.
В гайдете найдете:
➡️ как прохо"&amp;"дит секция;
➡️ чек-лист интервьюера и критерии оценки кандидата;
➡️ реальные задачи с собеседования;
➡️ готовые решения на разных языках, которые составляет сам Авито;
➡️ тесты, типичные ошибки и вопросы, которые может задать интервьюер
Забирай в прикреп"&amp;"ленном файле и делись с друзьями такой годнотой 🔥 
Еще больше инсайдерских материалов и контента показываем на наших курсах.")</f>
        <v>Собрали гайд по секции liveo coding в Авито, которая проходит у всех разработчиков и ML-инженеров. 
Гайд основан на реальных внутренних документах и позволяет понять, как устроено интервью и что именно оценивают на секции.
В гайдете найдете:
➡️ как проходит секция;
➡️ чек-лист интервьюера и критерии оценки кандидата;
➡️ реальные задачи с собеседования;
➡️ готовые решения на разных языках, которые составляет сам Авито;
➡️ тесты, типичные ошибки и вопросы, которые может задать интервьюер
Забирай в прикрепленном файле и делись с друзьями такой годнотой 🔥 
Еще больше инсайдерских материалов и контента показываем на наших курсах.</v>
      </c>
      <c r="I36" s="6" t="str">
        <f>IFERROR(__xludf.DUMMYFUNCTION("""COMPUTED_VALUE"""),"internal")</f>
        <v>internal</v>
      </c>
      <c r="J36" s="10" t="str">
        <f>IFERROR(__xludf.DUMMYFUNCTION("""COMPUTED_VALUE"""),"https://t.me/postypashki_old/1812")</f>
        <v>https://t.me/postypashki_old/1812</v>
      </c>
      <c r="K36" s="6">
        <f>IFERROR(__xludf.DUMMYFUNCTION("""COMPUTED_VALUE"""),20200.0)</f>
        <v>20200</v>
      </c>
      <c r="L36" s="6">
        <f>IFERROR(__xludf.DUMMYFUNCTION("""COMPUTED_VALUE"""),32.0)</f>
        <v>32</v>
      </c>
      <c r="M36" s="6" t="str">
        <f>IFERROR(__xludf.DUMMYFUNCTION("""COMPUTED_VALUE"""),"")</f>
        <v/>
      </c>
      <c r="N36" s="6" t="str">
        <f>IFERROR(__xludf.DUMMYFUNCTION("""COMPUTED_VALUE"""),"Telegram")</f>
        <v>Telegram</v>
      </c>
      <c r="O36" s="6" t="str">
        <f>IFERROR(__xludf.DUMMYFUNCTION("""COMPUTED_VALUE"""),"raw")</f>
        <v>raw</v>
      </c>
      <c r="P36" s="6" t="str">
        <f>IFERROR(__xludf.DUMMYFUNCTION("""COMPUTED_VALUE"""),"Codex")</f>
        <v>Codex</v>
      </c>
      <c r="Q36" s="6" t="str">
        <f>IFERROR(__xludf.DUMMYFUNCTION("""COMPUTED_VALUE"""),"Собрали гайд по секции liveo coding в Авито, которая проходит у всех разработчиков и ML-инженеров. Гайд основан на реальных внутренних документах и позволяет понять, как устроено и")</f>
        <v>Собрали гайд по секции liveo coding в Авито, которая проходит у всех разработчиков и ML-инженеров. Гайд основан на реальных внутренних документах и позволяет понять, как устроено и</v>
      </c>
      <c r="R36" s="6" t="str">
        <f>IFERROR(__xludf.DUMMYFUNCTION("""COMPUTED_VALUE"""),"internal")</f>
        <v>internal</v>
      </c>
      <c r="S36" s="6" t="str">
        <f>IFERROR(__xludf.DUMMYFUNCTION("""COMPUTED_VALUE"""),"unknown")</f>
        <v>unknown</v>
      </c>
      <c r="T36" s="6" t="str">
        <f>IFERROR(__xludf.DUMMYFUNCTION("""COMPUTED_VALUE"""),"telegram_internal")</f>
        <v>telegram_internal</v>
      </c>
      <c r="U36" s="6" t="str">
        <f>IFERROR(__xludf.DUMMYFUNCTION("""COMPUTED_VALUE"""),"Бесплатное событие / лид-магнит")</f>
        <v>Бесплатное событие / лид-магнит</v>
      </c>
      <c r="V36" s="6" t="str">
        <f>IFERROR(__xludf.DUMMYFUNCTION("""COMPUTED_VALUE"""),"Предыстория")</f>
        <v>Предыстория</v>
      </c>
      <c r="W36" s="6" t="str">
        <f>IFERROR(__xludf.DUMMYFUNCTION("""COMPUTED_VALUE"""),"Файл")</f>
        <v>Файл</v>
      </c>
      <c r="X36" s="6"/>
      <c r="Y36" s="6" t="str">
        <f>IFERROR(__xludf.DUMMYFUNCTION("""COMPUTED_VALUE"""),"")</f>
        <v/>
      </c>
      <c r="Z36" s="6" t="str">
        <f>IFERROR(__xludf.DUMMYFUNCTION("""COMPUTED_VALUE"""),"")</f>
        <v/>
      </c>
      <c r="AA36" s="6" t="b">
        <f>IFERROR(__xludf.DUMMYFUNCTION("""COMPUTED_VALUE"""),TRUE)</f>
        <v>1</v>
      </c>
      <c r="AB36" s="6" t="b">
        <f>IFERROR(__xludf.DUMMYFUNCTION("""COMPUTED_VALUE"""),FALSE)</f>
        <v>0</v>
      </c>
      <c r="AC36" s="6" t="b">
        <f>IFERROR(__xludf.DUMMYFUNCTION("""COMPUTED_VALUE"""),FALSE)</f>
        <v>0</v>
      </c>
      <c r="AD36" s="6" t="b">
        <f>IFERROR(__xludf.DUMMYFUNCTION("""COMPUTED_VALUE"""),FALSE)</f>
        <v>0</v>
      </c>
      <c r="AE36" s="6"/>
      <c r="AF36" s="6" t="b">
        <f>IFERROR(__xludf.DUMMYFUNCTION("""COMPUTED_VALUE"""),FALSE)</f>
        <v>0</v>
      </c>
      <c r="AG36" s="6" t="str">
        <f>IFERROR(__xludf.DUMMYFUNCTION("""COMPUTED_VALUE"""),"2026-07-25T09:05:19+00:00")</f>
        <v>2026-07-25T09:05:19+00:00</v>
      </c>
      <c r="AH36" s="6" t="str">
        <f>IFERROR(__xludf.DUMMYFUNCTION("""COMPUTED_VALUE"""),"")</f>
        <v/>
      </c>
      <c r="AI36" s="6" t="str">
        <f>IFERROR(__xludf.DUMMYFUNCTION("""COMPUTED_VALUE"""),"#N/A")</f>
        <v>#N/A</v>
      </c>
      <c r="AJ36" s="9" t="s">
        <v>233</v>
      </c>
      <c r="AM36" s="9" t="s">
        <v>219</v>
      </c>
      <c r="AN36" s="6" t="str">
        <f>IFERROR(__xludf.DUMMYFUNCTION("IF(OR(AJ36=""general_brand"",AJ36=""external"",AJ36=""unknown""),"""",IF(AJ36=""product_line"",IF(AK36=""START"",""Аналитика старт | Алгоритмы старт | Backend старт | ML старт"",IF(AK36=""PRO"",""AI-агенты про | Алгоритмы про | Аналитика про | ML про | Ba"&amp;"ckend про"",IF(AK36=""START | PRO"",""Аналитика старт | Алгоритмы старт | Backend старт | ML старт | AI-агенты про | Алгоритмы про | Аналитика про | ML про | Backend про"",""""))),TEXTJOIN("" | "",TRUE,IF(REGEXMATCH(LOWER(AL36&amp;"" | ""&amp;E36),""аналитика ста"&amp;"рт""),""Аналитика старт"",""""),IF(REGEXMATCH(LOWER(AL36&amp;"" | ""&amp;E36),""алгоритмы старт""),""Алгоритмы старт"",""""),IF(REGEXMATCH(LOWER(AL36&amp;"" | ""&amp;E36),""backend старт""),""Backend старт"",""""),IF(REGEXMATCH(LOWER(AL36&amp;"" | ""&amp;E36),""ml старт""),""ML "&amp;"старт"",""""),IF(REGEXMATCH(LOWER(AL36&amp;"" | ""&amp;E36),""ai[ -]?агент""),""AI-агенты про"",""""),IF(REGEXMATCH(LOWER(AL36&amp;"" | ""&amp;E36),""алгоритмы про""),""Алгоритмы про"",""""),IF(REGEXMATCH(LOWER(AL36&amp;"" | ""&amp;E36),""аналитика про""),""Аналитика про"","""")"&amp;",IF(REGEXMATCH(LOWER(AL36&amp;"" | ""&amp;E36),""ml про""),""ML про"",""""),IF(REGEXMATCH(LOWER(AL36&amp;"" | ""&amp;E36),""backend про""),""Backend про"",""""),IF(REGEXMATCH(LOWER(AL36&amp;"" | ""&amp;E36),""(а/в|ав|а в|ab)[ -]?тест""),""А/В-тесты"",""""),IF(REGEXMATCH(LOWER(AL"&amp;"36&amp;"" | ""&amp;E36),""data science""),""Data science"",""""),IF(REGEXMATCH(LOWER(AL36&amp;"" | ""&amp;E36),""data[- ]?инжен""),""Data-инженер"",""""),IF(REGEXMATCH(LOWER(AL36&amp;"" | ""&amp;E36),""frontend""),""Frontend"",""""))))"),"")</f>
        <v/>
      </c>
    </row>
    <row r="37">
      <c r="A37" s="6" t="str">
        <f>IFERROR(__xludf.DUMMYFUNCTION("""COMPUTED_VALUE"""),"INT-1815")</f>
        <v>INT-1815</v>
      </c>
      <c r="B37" s="6" t="str">
        <f>IFERROR(__xludf.DUMMYFUNCTION("""COMPUTED_VALUE"""),"2026-07-26 15:35:00")</f>
        <v>2026-07-26 15:35:00</v>
      </c>
      <c r="C37" s="6" t="str">
        <f>IFERROR(__xludf.DUMMYFUNCTION("""COMPUTED_VALUE"""),"@postypashki_old")</f>
        <v>@postypashki_old</v>
      </c>
      <c r="D37" s="4" t="str">
        <f>IFERROR(__xludf.DUMMYFUNCTION("""COMPUTED_VALUE"""),"Промо со скидкой")</f>
        <v>Промо со скидкой</v>
      </c>
      <c r="E37" s="6"/>
      <c r="F37" s="6" t="str">
        <f>IFERROR(__xludf.DUMMYFUNCTION("""COMPUTED_VALUE"""),"")</f>
        <v/>
      </c>
      <c r="G37" s="6" t="str">
        <f>IFERROR(__xludf.DUMMYFUNCTION("""COMPUTED_VALUE"""),"postypashki_old/1815")</f>
        <v>postypashki_old/1815</v>
      </c>
      <c r="H37" s="6" t="str">
        <f>IFERROR(__xludf.DUMMYFUNCTION("""COMPUTED_VALUE"""),"Кого первым уволит ИИ 
Backend? Аналитиков? ML-инженеров? Или всё это очередной пузырь? Мы собрали представителей каждого направления и устроили дебаты. Каждый защищает свою профессию и объясняет, почему именно она останется востребованной в эпоху ИИ. См"&amp;"отрим! Смотрим! И ищем промокод! 
https://www.youtube.com/watch?v=QwAjmDGJIlY")</f>
        <v>Кого первым уволит ИИ 
Backend? Аналитиков? ML-инженеров? Или всё это очередной пузырь? Мы собрали представителей каждого направления и устроили дебаты. Каждый защищает свою профессию и объясняет, почему именно она останется востребованной в эпоху ИИ. Смотрим! Смотрим! И ищем промокод! 
https://www.youtube.com/watch?v=QwAjmDGJIlY</v>
      </c>
      <c r="I37" s="6" t="str">
        <f>IFERROR(__xludf.DUMMYFUNCTION("""COMPUTED_VALUE"""),"internal")</f>
        <v>internal</v>
      </c>
      <c r="J37" s="10" t="str">
        <f>IFERROR(__xludf.DUMMYFUNCTION("""COMPUTED_VALUE"""),"https://t.me/postypashki_old/1815")</f>
        <v>https://t.me/postypashki_old/1815</v>
      </c>
      <c r="K37" s="6">
        <f>IFERROR(__xludf.DUMMYFUNCTION("""COMPUTED_VALUE"""),19200.0)</f>
        <v>19200</v>
      </c>
      <c r="L37" s="6">
        <f>IFERROR(__xludf.DUMMYFUNCTION("""COMPUTED_VALUE"""),49.0)</f>
        <v>49</v>
      </c>
      <c r="M37" s="6" t="str">
        <f>IFERROR(__xludf.DUMMYFUNCTION("""COMPUTED_VALUE"""),"")</f>
        <v/>
      </c>
      <c r="N37" s="6" t="str">
        <f>IFERROR(__xludf.DUMMYFUNCTION("""COMPUTED_VALUE"""),"Telegram")</f>
        <v>Telegram</v>
      </c>
      <c r="O37" s="6" t="str">
        <f>IFERROR(__xludf.DUMMYFUNCTION("""COMPUTED_VALUE"""),"raw")</f>
        <v>raw</v>
      </c>
      <c r="P37" s="6" t="str">
        <f>IFERROR(__xludf.DUMMYFUNCTION("""COMPUTED_VALUE"""),"Codex")</f>
        <v>Codex</v>
      </c>
      <c r="Q37" s="6" t="str">
        <f>IFERROR(__xludf.DUMMYFUNCTION("""COMPUTED_VALUE"""),"Кого первым уволит ИИ Backend? Аналитиков? ML-инженеров? Или всё это очередной пузырь? Мы собрали представителей каждого направления и устроили дебаты. Каждый защищает свою професс")</f>
        <v>Кого первым уволит ИИ Backend? Аналитиков? ML-инженеров? Или всё это очередной пузырь? Мы собрали представителей каждого направления и устроили дебаты. Каждый защищает свою професс</v>
      </c>
      <c r="R37" s="6" t="str">
        <f>IFERROR(__xludf.DUMMYFUNCTION("""COMPUTED_VALUE"""),"internal")</f>
        <v>internal</v>
      </c>
      <c r="S37" s="6" t="str">
        <f>IFERROR(__xludf.DUMMYFUNCTION("""COMPUTED_VALUE"""),"unknown")</f>
        <v>unknown</v>
      </c>
      <c r="T37" s="6" t="str">
        <f>IFERROR(__xludf.DUMMYFUNCTION("""COMPUTED_VALUE"""),"telegram_internal")</f>
        <v>telegram_internal</v>
      </c>
      <c r="U37" s="6" t="str">
        <f>IFERROR(__xludf.DUMMYFUNCTION("""COMPUTED_VALUE"""),"Промо со скидкой")</f>
        <v>Промо со скидкой</v>
      </c>
      <c r="V37" s="6" t="str">
        <f>IFERROR(__xludf.DUMMYFUNCTION("""COMPUTED_VALUE"""),"Предыстория")</f>
        <v>Предыстория</v>
      </c>
      <c r="W37" s="6"/>
      <c r="X37" s="6"/>
      <c r="Y37" s="6" t="str">
        <f>IFERROR(__xludf.DUMMYFUNCTION("""COMPUTED_VALUE"""),"")</f>
        <v/>
      </c>
      <c r="Z37" s="6" t="str">
        <f>IFERROR(__xludf.DUMMYFUNCTION("""COMPUTED_VALUE"""),"")</f>
        <v/>
      </c>
      <c r="AA37" s="6" t="b">
        <f>IFERROR(__xludf.DUMMYFUNCTION("""COMPUTED_VALUE"""),FALSE)</f>
        <v>0</v>
      </c>
      <c r="AB37" s="6" t="b">
        <f>IFERROR(__xludf.DUMMYFUNCTION("""COMPUTED_VALUE"""),TRUE)</f>
        <v>1</v>
      </c>
      <c r="AC37" s="6" t="b">
        <f>IFERROR(__xludf.DUMMYFUNCTION("""COMPUTED_VALUE"""),FALSE)</f>
        <v>0</v>
      </c>
      <c r="AD37" s="6" t="b">
        <f>IFERROR(__xludf.DUMMYFUNCTION("""COMPUTED_VALUE"""),FALSE)</f>
        <v>0</v>
      </c>
      <c r="AE37" s="6"/>
      <c r="AF37" s="6" t="b">
        <f>IFERROR(__xludf.DUMMYFUNCTION("""COMPUTED_VALUE"""),FALSE)</f>
        <v>0</v>
      </c>
      <c r="AG37" s="6" t="str">
        <f>IFERROR(__xludf.DUMMYFUNCTION("""COMPUTED_VALUE"""),"2026-07-26T12:35:00+00:00")</f>
        <v>2026-07-26T12:35:00+00:00</v>
      </c>
      <c r="AH37" s="6" t="str">
        <f>IFERROR(__xludf.DUMMYFUNCTION("""COMPUTED_VALUE"""),"")</f>
        <v/>
      </c>
      <c r="AI37" s="6" t="str">
        <f>IFERROR(__xludf.DUMMYFUNCTION("""COMPUTED_VALUE"""),"#N/A")</f>
        <v>#N/A</v>
      </c>
      <c r="AJ37" s="9" t="s">
        <v>233</v>
      </c>
      <c r="AM37" s="9" t="s">
        <v>229</v>
      </c>
      <c r="AN37" s="6" t="str">
        <f>IFERROR(__xludf.DUMMYFUNCTION("IF(OR(AJ37=""general_brand"",AJ37=""external"",AJ37=""unknown""),"""",IF(AJ37=""product_line"",IF(AK37=""START"",""Аналитика старт | Алгоритмы старт | Backend старт | ML старт"",IF(AK37=""PRO"",""AI-агенты про | Алгоритмы про | Аналитика про | ML про | Ba"&amp;"ckend про"",IF(AK37=""START | PRO"",""Аналитика старт | Алгоритмы старт | Backend старт | ML старт | AI-агенты про | Алгоритмы про | Аналитика про | ML про | Backend про"",""""))),TEXTJOIN("" | "",TRUE,IF(REGEXMATCH(LOWER(AL37&amp;"" | ""&amp;E37),""аналитика ста"&amp;"рт""),""Аналитика старт"",""""),IF(REGEXMATCH(LOWER(AL37&amp;"" | ""&amp;E37),""алгоритмы старт""),""Алгоритмы старт"",""""),IF(REGEXMATCH(LOWER(AL37&amp;"" | ""&amp;E37),""backend старт""),""Backend старт"",""""),IF(REGEXMATCH(LOWER(AL37&amp;"" | ""&amp;E37),""ml старт""),""ML "&amp;"старт"",""""),IF(REGEXMATCH(LOWER(AL37&amp;"" | ""&amp;E37),""ai[ -]?агент""),""AI-агенты про"",""""),IF(REGEXMATCH(LOWER(AL37&amp;"" | ""&amp;E37),""алгоритмы про""),""Алгоритмы про"",""""),IF(REGEXMATCH(LOWER(AL37&amp;"" | ""&amp;E37),""аналитика про""),""Аналитика про"","""")"&amp;",IF(REGEXMATCH(LOWER(AL37&amp;"" | ""&amp;E37),""ml про""),""ML про"",""""),IF(REGEXMATCH(LOWER(AL37&amp;"" | ""&amp;E37),""backend про""),""Backend про"",""""),IF(REGEXMATCH(LOWER(AL37&amp;"" | ""&amp;E37),""(а/в|ав|а в|ab)[ -]?тест""),""А/В-тесты"",""""),IF(REGEXMATCH(LOWER(AL"&amp;"37&amp;"" | ""&amp;E37),""data science""),""Data science"",""""),IF(REGEXMATCH(LOWER(AL37&amp;"" | ""&amp;E37),""data[- ]?инжен""),""Data-инженер"",""""),IF(REGEXMATCH(LOWER(AL37&amp;"" | ""&amp;E37),""frontend""),""Frontend"",""""))))"),"")</f>
        <v/>
      </c>
    </row>
    <row r="38">
      <c r="A38" s="6" t="str">
        <f>IFERROR(__xludf.DUMMYFUNCTION("""COMPUTED_VALUE"""),"INT-1818")</f>
        <v>INT-1818</v>
      </c>
      <c r="B38" s="6" t="str">
        <f>IFERROR(__xludf.DUMMYFUNCTION("""COMPUTED_VALUE"""),"2026-07-27 20:05:25")</f>
        <v>2026-07-27 20:05:25</v>
      </c>
      <c r="C38" s="6" t="str">
        <f>IFERROR(__xludf.DUMMYFUNCTION("""COMPUTED_VALUE"""),"@postypashki_old")</f>
        <v>@postypashki_old</v>
      </c>
      <c r="D38" s="4" t="str">
        <f>IFERROR(__xludf.DUMMYFUNCTION("""COMPUTED_VALUE"""),"Контент с предложением курсов")</f>
        <v>Контент с предложением курсов</v>
      </c>
      <c r="E38" s="6" t="str">
        <f>IFERROR(__xludf.DUMMYFUNCTION("""COMPUTED_VALUE"""),"Data Science")</f>
        <v>Data Science</v>
      </c>
      <c r="F38" s="6" t="str">
        <f>IFERROR(__xludf.DUMMYFUNCTION("""COMPUTED_VALUE"""),"")</f>
        <v/>
      </c>
      <c r="G38" s="6" t="str">
        <f>IFERROR(__xludf.DUMMYFUNCTION("""COMPUTED_VALUE"""),"postypashki_old/1818")</f>
        <v>postypashki_old/1818</v>
      </c>
      <c r="H38" s="6" t="str">
        <f>IFERROR(__xludf.DUMMYFUNCTION("""COMPUTED_VALUE"""),"Дайджет сокращений 
Собрал слухи, интриги и расследования в айти и смежных отраслях за последние два месяца. Поддержите реакцией и делитесь с друзьями, если нравится такой контент и хотите больше инсайдов/анализа. 
Wildberries
В пятницу начал отзывать о"&amp;"фферы, переносит даты выхода на работу (оффер в юридическом плане мало, что гарантирует). У компании большие проблемы: склады фигачат, их банки попали в санкционный список, скоро будут сносить приложения. Для маркет плейсов ожидаются непростые времена. 
К"&amp;"асаемо WB в начале мая попрощались с частью руководителей Data Science. Официально - оптимизация, неофициально - замена на более управляемых людей. Часть тимлидов ушла сама, без выходных пособий. Рядовых разработчиков не трогали, точечно отсеивают лишь те"&amp;"х, кто провалил перформанс-ревью. У WB очень много денег, руководству всегда насыпали щедро, но похоже сейчас пытаются обойтись точечными сокращениями - держим руку на пульсе! 
Есть стойкое ощущение, что многие ""вечно открытые"" вакансии WB с мгновенным "&amp;"автоотказом - бутафория. Их разбирают только когда действительно нужно, в остальное время просто собирают базу резюме.
Райффайзенбанк
Классическая стратегия ""мягкого выдавливания"". С прошлого года при уходе сотрудника из некритичных направлений замену "&amp;"не нанимали - просто замораживали позицию. С конца 2025 начали целиком расформировывать отделы, которые перестали быть нужны и генерировали только косты. 
С начала года убрали несколько платформенных IT-команд, чью пользу посчитали необязательной. Позже с"&amp;"ократили персонал в рознице, финансах и рисках. При официальном увольнении обещают два оклада.
Параллельно банк обязывает сотрудников подписать допсоглашение о трёх днях в офисе - расчёт на то, что часть людей уйдёт сама. Также практикуют заморозку зарпла"&amp;"т и отказ в индексации ""из-за отсутствия бюджета"", что тоже подталкивает к увольнению по собственному. 
Postgres Professional
Планируют сократить до 30% штата. Причина: падение чистой прибыли с 7 до 3 млрд. Забавно, что компания остаётся глубоко прибыл"&amp;"ьной, но режет людей. Похоже, готовятся к затяжному снижению спроса или просто решили увеличить маржу за счёт персонала.
Яндекс Маркет (и ""Поисковые сервисы и ИИ"")
Главная волна затронет направление ""Поиск и ИИ"". Здесь собираются ужать коммерческий д"&amp;"епартамент и отдельные продукты, включая сервис маркетинговых исследований ""Яндекс Взгляд"". Активные увольнения уже идут, во вторую фазу попадут те, у кого плохие метрики эффективности.
Почему: в 2025 году это направление показало рост выручки всего на "&amp;"10% - намного хуже других сегментов, хотя на него приходится 34% всей выручки Яндекса. Хотят уволить до 15% сотрудников.
Схема такая: людей не выгоняют сразу, а предлагают заново пройти собеседования в другие команды. Не прошёл - покидаешь компанию.
Общая"&amp;" идеология Яндекса сейчас - ""Найм 2.0"": берут Middle-разработчиков, владеющих AI-инструментами, и ожидают, что они закроют задачи уровня Senior. Это как всегда откровенный демпинг зарплатных ожиданий.
Сбер
Готовятся к сокращению до 20% сотрудников в ря"&amp;"де департаментов к концу Q3.
Формальный повод - ""огромные успехи"" GigaChat. Топ-менеджеров убедили, что с помощью ИИ люди могут делать гораздо больше. Нарисованные метрики использования AI уже демонстрируют невероятный рост эффективности, и руководство "&amp;"верит в это.
Для IT-подразделений повысили KPI на 50%, объяснив это внедрением ИИ. Вводят строгий контроль: метрики использования AI-инструментов и запрет дробить крупные задачи на мелкие (чтобы не накручивать ""количество выполненных задач"").
Цель: сокр"&amp;"атив людей, сохранить продуктивность за счёт новых AI-практик. Основной удар придётся на роли, которые решили упразднить, и на сотрудников с рутинной работой, которую можно автоматизировать связкой ""Junior + GigaChat"". Вместо дорогостоящих специалистов "&amp;"будут нанимать дешёвую рабочую силу.
Первая волна намечена на конец Q2. Всё это нужно, чтобы оправдать огромные вливания в ИИ-проекты.
X5 Group
Сообщают о сокращении 20–30% персонала. Причина: недополученная в 2026 году прибыль (минус 20 млрд к уровню 20"&amp;"25) и рост налоговой нагрузки. Бюджеты на проекты серьёзно порезали.
Пока всё на стадии встреч 1-на-1, конкретики мало. Скорее всего, будут давить на добровольный уход. Внешних подрядчиков (аутстафф) уже сократили.
Интересные штрихи: весной заморозили инд"&amp;"ексацию зарплат, а прямо сейчас проводят опросы лояльности - при том, что людей предупреждают о сокращениях. Так же было и перед отменой индексации. После прихода менеджеров из Авито и Яндекса внедрили перф-ревью и оценку 360. На общих встречах до последн"&amp;"его уверяли, что сокращений не будет. Сейчас говорят, что постараются найти места внутри компании, но насколько это реально непонятно.
Официальный аргумент на all hands: борьба с теми, кто не отрабатывает 8 часов. Похоже, смена управленческой команды запу"&amp;"стила переоценку эффективности и раздутости штата.
Ну а про сокращения в Т-банке, Туту, Авито, Альфа, Skyeng, ecom . tech и Купер вы уже слышали. Мои кандидаты на следующие массовые сокращения в ближайшие месяцы: Альфа, Ламода, НЛМК, X5, Лента, ОККО, Сра"&amp;"вни, Ozon, Точка, МТС, а также Авито. Причина общая: набрали слишком много людей в сытые времена, сейчас будут ""оптимизировать"" отделы и проекты с плохими показателями эффективности и выручки. 
Поэтому важно всегда держать руку на пульсе и прокачивать "&amp;"универсальные скиллы: харды, софты. Эти навыки помогут вам всегда оставаться на коне: не попасть под сокращения или быстро найти новую работу, если уже оно случилось. Мы в Поступашках не только учим проходить собесы, но и рассказываем, куда лучше податься"&amp;" в текущих реалиях, а каких компаний стоит избегать и почему. Для начинающих специалистов советую линейку СТАРТ, а для продвинутых советую линейку ПРО, на которые сейчас идут предпродажи. 
Подписаться: @postypashki_old")</f>
        <v>Дайджет сокращений 
Собрал слухи, интриги и расследования в айти и смежных отраслях за последние два месяца. Поддержите реакцией и делитесь с друзьями, если нравится такой контент и хотите больше инсайдов/анализа. 
Wildberries
В пятницу начал отзывать офферы, переносит даты выхода на работу (оффер в юридическом плане мало, что гарантирует). У компании большие проблемы: склады фигачат, их банки попали в санкционный список, скоро будут сносить приложения. Для маркет плейсов ожидаются непростые времена. 
Касаемо WB в начале мая попрощались с частью руководителей Data Science. Официально - оптимизация, неофициально - замена на более управляемых людей. Часть тимлидов ушла сама, без выходных пособий. Рядовых разработчиков не трогали, точечно отсеивают лишь тех, кто провалил перформанс-ревью. У WB очень много денег, руководству всегда насыпали щедро, но похоже сейчас пытаются обойтись точечными сокращениями - держим руку на пульсе! 
Есть стойкое ощущение, что многие "вечно открытые" вакансии WB с мгновенным автоотказом - бутафория. Их разбирают только когда действительно нужно, в остальное время просто собирают базу резюме.
Райффайзенбанк
Классическая стратегия "мягкого выдавливания". С прошлого года при уходе сотрудника из некритичных направлений замену не нанимали - просто замораживали позицию. С конца 2025 начали целиком расформировывать отделы, которые перестали быть нужны и генерировали только косты. 
С начала года убрали несколько платформенных IT-команд, чью пользу посчитали необязательной. Позже сократили персонал в рознице, финансах и рисках. При официальном увольнении обещают два оклада.
Параллельно банк обязывает сотрудников подписать допсоглашение о трёх днях в офисе - расчёт на то, что часть людей уйдёт сама. Также практикуют заморозку зарплат и отказ в индексации "из-за отсутствия бюджета", что тоже подталкивает к увольнению по собственному. 
Postgres Professional
Планируют сократить до 30% штата. Причина: падение чистой прибыли с 7 до 3 млрд. Забавно, что компания остаётся глубоко прибыльной, но режет людей. Похоже, готовятся к затяжному снижению спроса или просто решили увеличить маржу за счёт персонала.
Яндекс Маркет (и "Поисковые сервисы и ИИ")
Главная волна затронет направление "Поиск и ИИ". Здесь собираются ужать коммерческий департамент и отдельные продукты, включая сервис маркетинговых исследований "Яндекс Взгляд". Активные увольнения уже идут, во вторую фазу попадут те, у кого плохие метрики эффективности.
Почему: в 2025 году это направление показало рост выручки всего на 10% - намного хуже других сегментов, хотя на него приходится 34% всей выручки Яндекса. Хотят уволить до 15% сотрудников.
Схема такая: людей не выгоняют сразу, а предлагают заново пройти собеседования в другие команды. Не прошёл - покидаешь компанию.
Общая идеология Яндекса сейчас - "Найм 2.0": берут Middle-разработчиков, владеющих AI-инструментами, и ожидают, что они закроют задачи уровня Senior. Это как всегда откровенный демпинг зарплатных ожиданий.
Сбер
Готовятся к сокращению до 20% сотрудников в ряде департаментов к концу Q3.
Формальный повод - "огромные успехи" GigaChat. Топ-менеджеров убедили, что с помощью ИИ люди могут делать гораздо больше. Нарисованные метрики использования AI уже демонстрируют невероятный рост эффективности, и руководство верит в это.
Для IT-подразделений повысили KPI на 50%, объяснив это внедрением ИИ. Вводят строгий контроль: метрики использования AI-инструментов и запрет дробить крупные задачи на мелкие (чтобы не накручивать "количество выполненных задач").
Цель: сократив людей, сохранить продуктивность за счёт новых AI-практик. Основной удар придётся на роли, которые решили упразднить, и на сотрудников с рутинной работой, которую можно автоматизировать связкой "Junior + GigaChat". Вместо дорогостоящих специалистов будут нанимать дешёвую рабочую силу.
Первая волна намечена на конец Q2. Всё это нужно, чтобы оправдать огромные вливания в ИИ-проекты.
X5 Group
Сообщают о сокращении 20–30% персонала. Причина: недополученная в 2026 году прибыль (минус 20 млрд к уровню 2025) и рост налоговой нагрузки. Бюджеты на проекты серьёзно порезали.
Пока всё на стадии встреч 1-на-1, конкретики мало. Скорее всего, будут давить на добровольный уход. Внешних подрядчиков (аутстафф) уже сократили.
Интересные штрихи: весной заморозили индексацию зарплат, а прямо сейчас проводят опросы лояльности - при том, что людей предупреждают о сокращениях. Так же было и перед отменой индексации. После прихода менеджеров из Авито и Яндекса внедрили перф-ревью и оценку 360. На общих встречах до последнего уверяли, что сокращений не будет. Сейчас говорят, что постараются найти места внутри компании, но насколько это реально непонятно.
Официальный аргумент на all hands: борьба с теми, кто не отрабатывает 8 часов. Похоже, смена управленческой команды запустила переоценку эффективности и раздутости штата.
Ну а про сокращения в Т-банке, Туту, Авито, Альфа, Skyeng, ecom . tech и Купер вы уже слышали. Мои кандидаты на следующие массовые сокращения в ближайшие месяцы: Альфа, Ламода, НЛМК, X5, Лента, ОККО, Сравни, Ozon, Точка, МТС, а также Авито. Причина общая: набрали слишком много людей в сытые времена, сейчас будут "оптимизировать" отделы и проекты с плохими показателями эффективности и выручки. 
Поэтому важно всегда держать руку на пульсе и прокачивать универсальные скиллы: харды, софты. Эти навыки помогут вам всегда оставаться на коне: не попасть под сокращения или быстро найти новую работу, если уже оно случилось. Мы в Поступашках не только учим проходить собесы, но и рассказываем, куда лучше податься в текущих реалиях, а каких компаний стоит избегать и почему. Для начинающих специалистов советую линейку СТАРТ, а для продвинутых советую линейку ПРО, на которые сейчас идут предпродажи. 
Подписаться: @postypashki_old</v>
      </c>
      <c r="I38" s="6" t="str">
        <f>IFERROR(__xludf.DUMMYFUNCTION("""COMPUTED_VALUE"""),"internal")</f>
        <v>internal</v>
      </c>
      <c r="J38" s="10" t="str">
        <f>IFERROR(__xludf.DUMMYFUNCTION("""COMPUTED_VALUE"""),"https://t.me/postypashki_old/1818")</f>
        <v>https://t.me/postypashki_old/1818</v>
      </c>
      <c r="K38" s="6">
        <f>IFERROR(__xludf.DUMMYFUNCTION("""COMPUTED_VALUE"""),22700.0)</f>
        <v>22700</v>
      </c>
      <c r="L38" s="6">
        <f>IFERROR(__xludf.DUMMYFUNCTION("""COMPUTED_VALUE"""),118.0)</f>
        <v>118</v>
      </c>
      <c r="M38" s="6" t="str">
        <f>IFERROR(__xludf.DUMMYFUNCTION("""COMPUTED_VALUE"""),"")</f>
        <v/>
      </c>
      <c r="N38" s="6" t="str">
        <f>IFERROR(__xludf.DUMMYFUNCTION("""COMPUTED_VALUE"""),"Telegram")</f>
        <v>Telegram</v>
      </c>
      <c r="O38" s="6" t="str">
        <f>IFERROR(__xludf.DUMMYFUNCTION("""COMPUTED_VALUE"""),"raw")</f>
        <v>raw</v>
      </c>
      <c r="P38" s="6" t="str">
        <f>IFERROR(__xludf.DUMMYFUNCTION("""COMPUTED_VALUE"""),"Codex")</f>
        <v>Codex</v>
      </c>
      <c r="Q38" s="6" t="str">
        <f>IFERROR(__xludf.DUMMYFUNCTION("""COMPUTED_VALUE"""),"Дайджет сокращений Собрал слухи, интриги и расследования в айти и смежных отраслях за последние два месяца. Поддержите реакцией и делитесь с друзьями, если нравится такой контент и")</f>
        <v>Дайджет сокращений Собрал слухи, интриги и расследования в айти и смежных отраслях за последние два месяца. Поддержите реакцией и делитесь с друзьями, если нравится такой контент и</v>
      </c>
      <c r="R38" s="6" t="str">
        <f>IFERROR(__xludf.DUMMYFUNCTION("""COMPUTED_VALUE"""),"internal")</f>
        <v>internal</v>
      </c>
      <c r="S38" s="6" t="str">
        <f>IFERROR(__xludf.DUMMYFUNCTION("""COMPUTED_VALUE"""),"unknown")</f>
        <v>unknown</v>
      </c>
      <c r="T38" s="6" t="str">
        <f>IFERROR(__xludf.DUMMYFUNCTION("""COMPUTED_VALUE"""),"telegram_internal")</f>
        <v>telegram_internal</v>
      </c>
      <c r="U38" s="6" t="str">
        <f>IFERROR(__xludf.DUMMYFUNCTION("""COMPUTED_VALUE"""),"Контент с предложением курсов")</f>
        <v>Контент с предложением курсов</v>
      </c>
      <c r="V38" s="6" t="str">
        <f>IFERROR(__xludf.DUMMYFUNCTION("""COMPUTED_VALUE"""),"Предыстория")</f>
        <v>Предыстория</v>
      </c>
      <c r="W38" s="6"/>
      <c r="X38" s="6"/>
      <c r="Y38" s="6" t="str">
        <f>IFERROR(__xludf.DUMMYFUNCTION("""COMPUTED_VALUE"""),"")</f>
        <v/>
      </c>
      <c r="Z38" s="6" t="str">
        <f>IFERROR(__xludf.DUMMYFUNCTION("""COMPUTED_VALUE"""),"")</f>
        <v/>
      </c>
      <c r="AA38" s="6" t="b">
        <f>IFERROR(__xludf.DUMMYFUNCTION("""COMPUTED_VALUE"""),TRUE)</f>
        <v>1</v>
      </c>
      <c r="AB38" s="6" t="b">
        <f>IFERROR(__xludf.DUMMYFUNCTION("""COMPUTED_VALUE"""),FALSE)</f>
        <v>0</v>
      </c>
      <c r="AC38" s="6" t="b">
        <f>IFERROR(__xludf.DUMMYFUNCTION("""COMPUTED_VALUE"""),FALSE)</f>
        <v>0</v>
      </c>
      <c r="AD38" s="6" t="b">
        <f>IFERROR(__xludf.DUMMYFUNCTION("""COMPUTED_VALUE"""),FALSE)</f>
        <v>0</v>
      </c>
      <c r="AE38" s="6"/>
      <c r="AF38" s="6" t="b">
        <f>IFERROR(__xludf.DUMMYFUNCTION("""COMPUTED_VALUE"""),FALSE)</f>
        <v>0</v>
      </c>
      <c r="AG38" s="6" t="str">
        <f>IFERROR(__xludf.DUMMYFUNCTION("""COMPUTED_VALUE"""),"2026-07-27T17:05:25+00:00")</f>
        <v>2026-07-27T17:05:25+00:00</v>
      </c>
      <c r="AH38" s="6" t="str">
        <f>IFERROR(__xludf.DUMMYFUNCTION("""COMPUTED_VALUE"""),"")</f>
        <v/>
      </c>
      <c r="AI38" s="6" t="str">
        <f>IFERROR(__xludf.DUMMYFUNCTION("""COMPUTED_VALUE"""),"#N/A")</f>
        <v>#N/A</v>
      </c>
      <c r="AJ38" s="9" t="s">
        <v>167</v>
      </c>
      <c r="AK38" s="9" t="s">
        <v>240</v>
      </c>
      <c r="AM38" s="9" t="s">
        <v>219</v>
      </c>
      <c r="AN38" s="4" t="str">
        <f>IFERROR(__xludf.DUMMYFUNCTION("IF(OR(AJ38=""general_brand"",AJ38=""external"",AJ38=""unknown""),"""",IF(AJ38=""product_line"",IF(AK38=""START"",""Аналитика старт | Алгоритмы старт | Backend старт | ML старт"",IF(AK38=""PRO"",""AI-агенты про | Алгоритмы про | Аналитика про | ML про | Ba"&amp;"ckend про"",IF(AK38=""START | PRO"",""Аналитика старт | Алгоритмы старт | Backend старт | ML старт | AI-агенты про | Алгоритмы про | Аналитика про | ML про | Backend про"",""""))),TEXTJOIN("" | "",TRUE,IF(REGEXMATCH(LOWER(AL38&amp;"" | ""&amp;E38),""аналитика ста"&amp;"рт""),""Аналитика старт"",""""),IF(REGEXMATCH(LOWER(AL38&amp;"" | ""&amp;E38),""алгоритмы старт""),""Алгоритмы старт"",""""),IF(REGEXMATCH(LOWER(AL38&amp;"" | ""&amp;E38),""backend старт""),""Backend старт"",""""),IF(REGEXMATCH(LOWER(AL38&amp;"" | ""&amp;E38),""ml старт""),""ML "&amp;"старт"",""""),IF(REGEXMATCH(LOWER(AL38&amp;"" | ""&amp;E38),""ai[ -]?агент""),""AI-агенты про"",""""),IF(REGEXMATCH(LOWER(AL38&amp;"" | ""&amp;E38),""алгоритмы про""),""Алгоритмы про"",""""),IF(REGEXMATCH(LOWER(AL38&amp;"" | ""&amp;E38),""аналитика про""),""Аналитика про"","""")"&amp;",IF(REGEXMATCH(LOWER(AL38&amp;"" | ""&amp;E38),""ml про""),""ML про"",""""),IF(REGEXMATCH(LOWER(AL38&amp;"" | ""&amp;E38),""backend про""),""Backend про"",""""),IF(REGEXMATCH(LOWER(AL38&amp;"" | ""&amp;E38),""(а/в|ав|а в|ab)[ -]?тест""),""А/В-тесты"",""""),IF(REGEXMATCH(LOWER(AL"&amp;"38&amp;"" | ""&amp;E38),""data science""),""Data science"",""""),IF(REGEXMATCH(LOWER(AL38&amp;"" | ""&amp;E38),""data[- ]?инжен""),""Data-инженер"",""""),IF(REGEXMATCH(LOWER(AL38&amp;"" | ""&amp;E38),""frontend""),""Frontend"",""""))))"),"Аналитика старт | Алгоритмы старт | Backend старт | ML старт | AI-агенты про | Алгоритмы про | Аналитика про | ML про | Backend про")</f>
        <v>Аналитика старт | Алгоритмы старт | Backend старт | ML старт | AI-агенты про | Алгоритмы про | Аналитика про | ML про | Backend про</v>
      </c>
    </row>
    <row r="39">
      <c r="A39" s="6" t="str">
        <f>IFERROR(__xludf.DUMMYFUNCTION("""COMPUTED_VALUE"""),"INT-1819")</f>
        <v>INT-1819</v>
      </c>
      <c r="B39" s="6" t="str">
        <f>IFERROR(__xludf.DUMMYFUNCTION("""COMPUTED_VALUE"""),"2026-07-28 19:10:18")</f>
        <v>2026-07-28 19:10:18</v>
      </c>
      <c r="C39" s="6" t="str">
        <f>IFERROR(__xludf.DUMMYFUNCTION("""COMPUTED_VALUE"""),"@postypashki_old")</f>
        <v>@postypashki_old</v>
      </c>
      <c r="D39" s="4" t="str">
        <f>IFERROR(__xludf.DUMMYFUNCTION("""COMPUTED_VALUE"""),"Прочий контент")</f>
        <v>Прочий контент</v>
      </c>
      <c r="E39" s="6"/>
      <c r="F39" s="6" t="str">
        <f>IFERROR(__xludf.DUMMYFUNCTION("""COMPUTED_VALUE"""),"")</f>
        <v/>
      </c>
      <c r="G39" s="6" t="str">
        <f>IFERROR(__xludf.DUMMYFUNCTION("""COMPUTED_VALUE"""),"postypashki_old/1819")</f>
        <v>postypashki_old/1819</v>
      </c>
      <c r="H39" s="6" t="str">
        <f>IFERROR(__xludf.DUMMYFUNCTION("""COMPUTED_VALUE"""),"Недавно вот выложил вакансию, и мне написал довольно прикольный челик с крутым резюме, но как я вчитался в него — сразу понял, что это просто копипаста с вакансии.
И вот я решил проверить у него мат часть про популярные скоринговые модели с названиями """&amp;"Ясасу Бибу"" и ""Цист Яна"" а также про жесткую теорему шторм спирита. Ответ убил.
Подписаться: @postypashki_old, @goshan_dr")</f>
        <v>Недавно вот выложил вакансию, и мне написал довольно прикольный челик с крутым резюме, но как я вчитался в него — сразу понял, что это просто копипаста с вакансии.
И вот я решил проверить у него мат часть про популярные скоринговые модели с названиями "Ясасу Бибу" и "Цист Яна" а также про жесткую теорему шторм спирита. Ответ убил.
Подписаться: @postypashki_old, @goshan_dr</v>
      </c>
      <c r="I39" s="6" t="str">
        <f>IFERROR(__xludf.DUMMYFUNCTION("""COMPUTED_VALUE"""),"internal")</f>
        <v>internal</v>
      </c>
      <c r="J39" s="10" t="str">
        <f>IFERROR(__xludf.DUMMYFUNCTION("""COMPUTED_VALUE"""),"https://t.me/postypashki_old/1819")</f>
        <v>https://t.me/postypashki_old/1819</v>
      </c>
      <c r="K39" s="6">
        <f>IFERROR(__xludf.DUMMYFUNCTION("""COMPUTED_VALUE"""),21800.0)</f>
        <v>21800</v>
      </c>
      <c r="L39" s="6">
        <f>IFERROR(__xludf.DUMMYFUNCTION("""COMPUTED_VALUE"""),464.0)</f>
        <v>464</v>
      </c>
      <c r="M39" s="6" t="str">
        <f>IFERROR(__xludf.DUMMYFUNCTION("""COMPUTED_VALUE"""),"")</f>
        <v/>
      </c>
      <c r="N39" s="6" t="str">
        <f>IFERROR(__xludf.DUMMYFUNCTION("""COMPUTED_VALUE"""),"Telegram")</f>
        <v>Telegram</v>
      </c>
      <c r="O39" s="6" t="str">
        <f>IFERROR(__xludf.DUMMYFUNCTION("""COMPUTED_VALUE"""),"raw")</f>
        <v>raw</v>
      </c>
      <c r="P39" s="6" t="str">
        <f>IFERROR(__xludf.DUMMYFUNCTION("""COMPUTED_VALUE"""),"Codex")</f>
        <v>Codex</v>
      </c>
      <c r="Q39" s="6" t="str">
        <f>IFERROR(__xludf.DUMMYFUNCTION("""COMPUTED_VALUE"""),"Недавно вот выложил вакансию, и мне написал довольно прикольный челик с крутым резюме, но как я вчитался в него — сразу понял, что это просто копипаста с вакансии. И вот я решил пр")</f>
        <v>Недавно вот выложил вакансию, и мне написал довольно прикольный челик с крутым резюме, но как я вчитался в него — сразу понял, что это просто копипаста с вакансии. И вот я решил пр</v>
      </c>
      <c r="R39" s="6" t="str">
        <f>IFERROR(__xludf.DUMMYFUNCTION("""COMPUTED_VALUE"""),"internal")</f>
        <v>internal</v>
      </c>
      <c r="S39" s="6" t="str">
        <f>IFERROR(__xludf.DUMMYFUNCTION("""COMPUTED_VALUE"""),"unknown")</f>
        <v>unknown</v>
      </c>
      <c r="T39" s="6" t="str">
        <f>IFERROR(__xludf.DUMMYFUNCTION("""COMPUTED_VALUE"""),"telegram_internal")</f>
        <v>telegram_internal</v>
      </c>
      <c r="U39" s="6" t="str">
        <f>IFERROR(__xludf.DUMMYFUNCTION("""COMPUTED_VALUE"""),"Прочий контент")</f>
        <v>Прочий контент</v>
      </c>
      <c r="V39" s="6" t="str">
        <f>IFERROR(__xludf.DUMMYFUNCTION("""COMPUTED_VALUE"""),"Предыстория")</f>
        <v>Предыстория</v>
      </c>
      <c r="W39" s="6" t="str">
        <f>IFERROR(__xludf.DUMMYFUNCTION("""COMPUTED_VALUE"""),"Фото")</f>
        <v>Фото</v>
      </c>
      <c r="X39" s="6"/>
      <c r="Y39" s="6" t="str">
        <f>IFERROR(__xludf.DUMMYFUNCTION("""COMPUTED_VALUE"""),"")</f>
        <v/>
      </c>
      <c r="Z39" s="6" t="str">
        <f>IFERROR(__xludf.DUMMYFUNCTION("""COMPUTED_VALUE"""),"")</f>
        <v/>
      </c>
      <c r="AA39" s="6" t="b">
        <f>IFERROR(__xludf.DUMMYFUNCTION("""COMPUTED_VALUE"""),FALSE)</f>
        <v>0</v>
      </c>
      <c r="AB39" s="6" t="b">
        <f>IFERROR(__xludf.DUMMYFUNCTION("""COMPUTED_VALUE"""),FALSE)</f>
        <v>0</v>
      </c>
      <c r="AC39" s="6" t="b">
        <f>IFERROR(__xludf.DUMMYFUNCTION("""COMPUTED_VALUE"""),FALSE)</f>
        <v>0</v>
      </c>
      <c r="AD39" s="6" t="b">
        <f>IFERROR(__xludf.DUMMYFUNCTION("""COMPUTED_VALUE"""),FALSE)</f>
        <v>0</v>
      </c>
      <c r="AE39" s="6"/>
      <c r="AF39" s="6" t="b">
        <f>IFERROR(__xludf.DUMMYFUNCTION("""COMPUTED_VALUE"""),FALSE)</f>
        <v>0</v>
      </c>
      <c r="AG39" s="6" t="str">
        <f>IFERROR(__xludf.DUMMYFUNCTION("""COMPUTED_VALUE"""),"2026-07-28T16:10:18+00:00")</f>
        <v>2026-07-28T16:10:18+00:00</v>
      </c>
      <c r="AH39" s="6" t="str">
        <f>IFERROR(__xludf.DUMMYFUNCTION("""COMPUTED_VALUE"""),"")</f>
        <v/>
      </c>
      <c r="AI39" s="6" t="str">
        <f>IFERROR(__xludf.DUMMYFUNCTION("""COMPUTED_VALUE"""),"#N/A")</f>
        <v>#N/A</v>
      </c>
      <c r="AJ39" s="9" t="s">
        <v>208</v>
      </c>
      <c r="AM39" s="9" t="s">
        <v>219</v>
      </c>
      <c r="AN39" s="6" t="str">
        <f>IFERROR(__xludf.DUMMYFUNCTION("IF(OR(AJ39=""general_brand"",AJ39=""external"",AJ39=""unknown""),"""",IF(AJ39=""product_line"",IF(AK39=""START"",""Аналитика старт | Алгоритмы старт | Backend старт | ML старт"",IF(AK39=""PRO"",""AI-агенты про | Алгоритмы про | Аналитика про | ML про | Ba"&amp;"ckend про"",IF(AK39=""START | PRO"",""Аналитика старт | Алгоритмы старт | Backend старт | ML старт | AI-агенты про | Алгоритмы про | Аналитика про | ML про | Backend про"",""""))),TEXTJOIN("" | "",TRUE,IF(REGEXMATCH(LOWER(AL39&amp;"" | ""&amp;E39),""аналитика ста"&amp;"рт""),""Аналитика старт"",""""),IF(REGEXMATCH(LOWER(AL39&amp;"" | ""&amp;E39),""алгоритмы старт""),""Алгоритмы старт"",""""),IF(REGEXMATCH(LOWER(AL39&amp;"" | ""&amp;E39),""backend старт""),""Backend старт"",""""),IF(REGEXMATCH(LOWER(AL39&amp;"" | ""&amp;E39),""ml старт""),""ML "&amp;"старт"",""""),IF(REGEXMATCH(LOWER(AL39&amp;"" | ""&amp;E39),""ai[ -]?агент""),""AI-агенты про"",""""),IF(REGEXMATCH(LOWER(AL39&amp;"" | ""&amp;E39),""алгоритмы про""),""Алгоритмы про"",""""),IF(REGEXMATCH(LOWER(AL39&amp;"" | ""&amp;E39),""аналитика про""),""Аналитика про"","""")"&amp;",IF(REGEXMATCH(LOWER(AL39&amp;"" | ""&amp;E39),""ml про""),""ML про"",""""),IF(REGEXMATCH(LOWER(AL39&amp;"" | ""&amp;E39),""backend про""),""Backend про"",""""),IF(REGEXMATCH(LOWER(AL39&amp;"" | ""&amp;E39),""(а/в|ав|а в|ab)[ -]?тест""),""А/В-тесты"",""""),IF(REGEXMATCH(LOWER(AL"&amp;"39&amp;"" | ""&amp;E39),""data science""),""Data science"",""""),IF(REGEXMATCH(LOWER(AL39&amp;"" | ""&amp;E39),""data[- ]?инжен""),""Data-инженер"",""""),IF(REGEXMATCH(LOWER(AL39&amp;"" | ""&amp;E39),""frontend""),""Frontend"",""""))))"),"")</f>
        <v/>
      </c>
    </row>
    <row r="40">
      <c r="A40" s="6" t="str">
        <f>IFERROR(__xludf.DUMMYFUNCTION("""COMPUTED_VALUE"""),"INT-1823")</f>
        <v>INT-1823</v>
      </c>
      <c r="B40" s="6" t="str">
        <f>IFERROR(__xludf.DUMMYFUNCTION("""COMPUTED_VALUE"""),"2026-07-29 19:05:26")</f>
        <v>2026-07-29 19:05:26</v>
      </c>
      <c r="C40" s="6" t="str">
        <f>IFERROR(__xludf.DUMMYFUNCTION("""COMPUTED_VALUE"""),"@postypashki_old")</f>
        <v>@postypashki_old</v>
      </c>
      <c r="D40" s="4" t="str">
        <f>IFERROR(__xludf.DUMMYFUNCTION("""COMPUTED_VALUE"""),"Контент с предложением курсов")</f>
        <v>Контент с предложением курсов</v>
      </c>
      <c r="E40" s="6" t="str">
        <f>IFERROR(__xludf.DUMMYFUNCTION("""COMPUTED_VALUE"""),"Алгоритмы старт | Дискретка")</f>
        <v>Алгоритмы старт | Дискретка</v>
      </c>
      <c r="F40" s="6" t="str">
        <f>IFERROR(__xludf.DUMMYFUNCTION("""COMPUTED_VALUE"""),"")</f>
        <v/>
      </c>
      <c r="G40" s="6" t="str">
        <f>IFERROR(__xludf.DUMMYFUNCTION("""COMPUTED_VALUE"""),"postypashki_old/1823")</f>
        <v>postypashki_old/1823</v>
      </c>
      <c r="H40" s="6" t="str">
        <f>IFERROR(__xludf.DUMMYFUNCTION("""COMPUTED_VALUE"""),"Как получить стажировку в 2026 году
Совсем скоро откроются стажировки на осень, остается не так много времени, чтобы к ним подготовиться. Поэтому важно грамотно структурировать свою подготовку, на что обратить свое внимание в первую очередь ниже. 
Пет п"&amp;"роекты
Сейчас это просто база всех баз. Конечно, от стажёра не ожидают никакого мощного стартапа на 10 млрд долларов США. Тебе просто нужно скопипастить пару-тройку баянистых пет проектов и разобрать по косточкам их код и теорию. 
Пет проекты, которые ты "&amp;"должен сделать лежат на нашем сайте: 
https://old.postypashki.ru/собеседования ➡️ Выбираешь свое направления ➡️ Пет проекты 
На собесах с командами твой гитхаб могут и не посмотреть, но такой опыт поможет тебе решать предложенный кейсы и понимать, а че"&amp;"м вообще занимается команда.
Теория
На собесах частенько задают разного рода теоретические вопросы, которые интервьюер сам гуглил 10 минут назад до собеса. Как работает это, а как работает то и тд. Опять же все есть на нашем сайте: 
https://old.postypas"&amp;"hki.ru/собеседования➡️Выбираем свое направления ➡️ Тестовые задания, Собеседования 
Алгодрочка
Как же без любимого тех собеса с лайвкодингом, где тебя задушат алгосами и математикой. 
Здесь, конечно, одному может быть грустно, но можно начать с ""Грокнем"&amp;" алгоритмы"", а потом литкод + лекции Паши Маврина или взять любой подобный академический курс. Если не хочешь ломать себе голову: что нужно учить, а что не нужно, а хочешь пройти этот путь быстро и без боли, то советую наш курс алгоритмы старт. 
По матем"&amp;"атике все куда посложнее, спектр математики на каждую специальность все же разный. Но точно тебе хватит фундамента: теор вер, матан, линал, дискретная математика. Можно просто начать с поиска на нашем канале по ключевым словам ""How to заботать..."" или н"&amp;"аписать нашему менеджеру @menshe_treh и тебе помогут подобрать курс, который нужен именно тебе без лишней головной боли. 
Матешей и алгосами пренебрегать ни в коем случае не нужно, на этом стоят все современные айти технологии и с приближением эры ИИ таки"&amp;"е знания очень тебе пригодятся.
Набиваем руку
Как составить резюме уже писали тут. Проходить собесы — это тоже навык. Поэтому открываем банк заданий по своей специальности: 
— Бэкенд 
— Алгоритмы 
— Аналитика 
— МЛ и ДС
И начинаем прорешивать оттуда тест"&amp;"овые задания и вопросы, задачи с собесов. 
Конкурентное преимущество 
Чат гпт здорово тебе поможет разобраться в теории и прорешать задачи. Чат гпт по знаниям и навыкам уже круче любого вчерашнего джуна и с каждым днём он прогрессирует, чтобы не проиграт"&amp;"ь гонку с ИИ, нужно расти вместе с ним, уделять огромное внимание своим навыкам и образованию. Сейчас лучшее, что ты можешь сделать это сосредоточиться на прокачке своего фундамента, а не на достижении сиюминутной прибыли, которая инфляция уже завтра прев"&amp;"ратит в пыль. Поэтому объединяемся с единомышленниками в нашем чатике и ботаем, ботаем и еще раз ботаем. 
Подписаться: @postypashki_old")</f>
        <v>Как получить стажировку в 2026 году
Совсем скоро откроются стажировки на осень, остается не так много времени, чтобы к ним подготовиться. Поэтому важно грамотно структурировать свою подготовку, на что обратить свое внимание в первую очередь ниже. 
Пет проекты
Сейчас это просто база всех баз. Конечно, от стажёра не ожидают никакого мощного стартапа на 10 млрд долларов США. Тебе просто нужно скопипастить пару-тройку баянистых пет проектов и разобрать по косточкам их код и теорию. 
Пет проекты, которые ты должен сделать лежат на нашем сайте: 
https://old.postypashki.ru/собеседования ➡️ Выбираешь свое направления ➡️ Пет проекты 
На собесах с командами твой гитхаб могут и не посмотреть, но такой опыт поможет тебе решать предложенный кейсы и понимать, а чем вообще занимается команда.
Теория
На собесах частенько задают разного рода теоретические вопросы, которые интервьюер сам гуглил 10 минут назад до собеса. Как работает это, а как работает то и тд. Опять же все есть на нашем сайте: 
https://old.postypashki.ru/собеседования➡️Выбираем свое направления ➡️ Тестовые задания, Собеседования 
Алгодрочка
Как же без любимого тех собеса с лайвкодингом, где тебя задушат алгосами и математикой. 
Здесь, конечно, одному может быть грустно, но можно начать с "Грокнем алгоритмы", а потом литкод + лекции Паши Маврина или взять любой подобный академический курс. Если не хочешь ломать себе голову: что нужно учить, а что не нужно, а хочешь пройти этот путь быстро и без боли, то советую наш курс алгоритмы старт. 
По математике все куда посложнее, спектр математики на каждую специальность все же разный. Но точно тебе хватит фундамента: теор вер, матан, линал, дискретная математика. Можно просто начать с поиска на нашем канале по ключевым словам "How to заботать..." или написать нашему менеджеру @menshe_treh и тебе помогут подобрать курс, который нужен именно тебе без лишней головной боли. 
Матешей и алгосами пренебрегать ни в коем случае не нужно, на этом стоят все современные айти технологии и с приближением эры ИИ такие знания очень тебе пригодятся.
Набиваем руку
Как составить резюме уже писали тут. Проходить собесы — это тоже навык. Поэтому открываем банк заданий по своей специальности: 
— Бэкенд 
— Алгоритмы 
— Аналитика 
— МЛ и ДС
И начинаем прорешивать оттуда тестовые задания и вопросы, задачи с собесов. 
Конкурентное преимущество 
Чат гпт здорово тебе поможет разобраться в теории и прорешать задачи. Чат гпт по знаниям и навыкам уже круче любого вчерашнего джуна и с каждым днём он прогрессирует, чтобы не проиграть гонку с ИИ, нужно расти вместе с ним, уделять огромное внимание своим навыкам и образованию. Сейчас лучшее, что ты можешь сделать это сосредоточиться на прокачке своего фундамента, а не на достижении сиюминутной прибыли, которая инфляция уже завтра превратит в пыль. Поэтому объединяемся с единомышленниками в нашем чатике и ботаем, ботаем и еще раз ботаем. 
Подписаться: @postypashki_old</v>
      </c>
      <c r="I40" s="6" t="str">
        <f>IFERROR(__xludf.DUMMYFUNCTION("""COMPUTED_VALUE"""),"internal")</f>
        <v>internal</v>
      </c>
      <c r="J40" s="10" t="str">
        <f>IFERROR(__xludf.DUMMYFUNCTION("""COMPUTED_VALUE"""),"https://t.me/postypashki_old/1823")</f>
        <v>https://t.me/postypashki_old/1823</v>
      </c>
      <c r="K40" s="6">
        <f>IFERROR(__xludf.DUMMYFUNCTION("""COMPUTED_VALUE"""),21600.0)</f>
        <v>21600</v>
      </c>
      <c r="L40" s="6">
        <f>IFERROR(__xludf.DUMMYFUNCTION("""COMPUTED_VALUE"""),60.0)</f>
        <v>60</v>
      </c>
      <c r="M40" s="6" t="str">
        <f>IFERROR(__xludf.DUMMYFUNCTION("""COMPUTED_VALUE"""),"")</f>
        <v/>
      </c>
      <c r="N40" s="6" t="str">
        <f>IFERROR(__xludf.DUMMYFUNCTION("""COMPUTED_VALUE"""),"Telegram")</f>
        <v>Telegram</v>
      </c>
      <c r="O40" s="6" t="str">
        <f>IFERROR(__xludf.DUMMYFUNCTION("""COMPUTED_VALUE"""),"raw")</f>
        <v>raw</v>
      </c>
      <c r="P40" s="6" t="str">
        <f>IFERROR(__xludf.DUMMYFUNCTION("""COMPUTED_VALUE"""),"Codex")</f>
        <v>Codex</v>
      </c>
      <c r="Q40" s="6" t="str">
        <f>IFERROR(__xludf.DUMMYFUNCTION("""COMPUTED_VALUE"""),"Как получить стажировку в 2026 году Совсем скоро откроются стажировки на осень, остается не так много времени, чтобы к ним подготовиться. Поэтому важно грамотно структурировать сво")</f>
        <v>Как получить стажировку в 2026 году Совсем скоро откроются стажировки на осень, остается не так много времени, чтобы к ним подготовиться. Поэтому важно грамотно структурировать сво</v>
      </c>
      <c r="R40" s="6" t="str">
        <f>IFERROR(__xludf.DUMMYFUNCTION("""COMPUTED_VALUE"""),"internal")</f>
        <v>internal</v>
      </c>
      <c r="S40" s="6" t="str">
        <f>IFERROR(__xludf.DUMMYFUNCTION("""COMPUTED_VALUE"""),"unknown")</f>
        <v>unknown</v>
      </c>
      <c r="T40" s="6" t="str">
        <f>IFERROR(__xludf.DUMMYFUNCTION("""COMPUTED_VALUE"""),"telegram_internal")</f>
        <v>telegram_internal</v>
      </c>
      <c r="U40" s="6" t="str">
        <f>IFERROR(__xludf.DUMMYFUNCTION("""COMPUTED_VALUE"""),"Контент с предложением курсов")</f>
        <v>Контент с предложением курсов</v>
      </c>
      <c r="V40" s="6" t="str">
        <f>IFERROR(__xludf.DUMMYFUNCTION("""COMPUTED_VALUE"""),"Предыстория")</f>
        <v>Предыстория</v>
      </c>
      <c r="W40" s="6"/>
      <c r="X40" s="6"/>
      <c r="Y40" s="6" t="str">
        <f>IFERROR(__xludf.DUMMYFUNCTION("""COMPUTED_VALUE"""),"")</f>
        <v/>
      </c>
      <c r="Z40" s="6" t="str">
        <f>IFERROR(__xludf.DUMMYFUNCTION("""COMPUTED_VALUE"""),"")</f>
        <v/>
      </c>
      <c r="AA40" s="6" t="b">
        <f>IFERROR(__xludf.DUMMYFUNCTION("""COMPUTED_VALUE"""),TRUE)</f>
        <v>1</v>
      </c>
      <c r="AB40" s="6" t="b">
        <f>IFERROR(__xludf.DUMMYFUNCTION("""COMPUTED_VALUE"""),FALSE)</f>
        <v>0</v>
      </c>
      <c r="AC40" s="6" t="b">
        <f>IFERROR(__xludf.DUMMYFUNCTION("""COMPUTED_VALUE"""),FALSE)</f>
        <v>0</v>
      </c>
      <c r="AD40" s="6" t="b">
        <f>IFERROR(__xludf.DUMMYFUNCTION("""COMPUTED_VALUE"""),FALSE)</f>
        <v>0</v>
      </c>
      <c r="AE40" s="6"/>
      <c r="AF40" s="6" t="b">
        <f>IFERROR(__xludf.DUMMYFUNCTION("""COMPUTED_VALUE"""),FALSE)</f>
        <v>0</v>
      </c>
      <c r="AG40" s="6" t="str">
        <f>IFERROR(__xludf.DUMMYFUNCTION("""COMPUTED_VALUE"""),"2026-07-29T16:05:26+00:00")</f>
        <v>2026-07-29T16:05:26+00:00</v>
      </c>
      <c r="AH40" s="6" t="str">
        <f>IFERROR(__xludf.DUMMYFUNCTION("""COMPUTED_VALUE"""),"")</f>
        <v/>
      </c>
      <c r="AI40" s="6" t="str">
        <f>IFERROR(__xludf.DUMMYFUNCTION("""COMPUTED_VALUE"""),"#N/A")</f>
        <v>#N/A</v>
      </c>
      <c r="AJ40" s="9" t="s">
        <v>224</v>
      </c>
      <c r="AK40" s="9" t="s">
        <v>213</v>
      </c>
      <c r="AL40" s="4" t="s">
        <v>234</v>
      </c>
      <c r="AM40" s="9" t="s">
        <v>235</v>
      </c>
      <c r="AN40" s="4" t="str">
        <f>IFERROR(__xludf.DUMMYFUNCTION("IF(OR(AJ40=""general_brand"",AJ40=""external"",AJ40=""unknown""),"""",IF(AJ40=""product_line"",IF(AK40=""START"",""Аналитика старт | Алгоритмы старт | Backend старт | ML старт"",IF(AK40=""PRO"",""AI-агенты про | Алгоритмы про | Аналитика про | ML про | Ba"&amp;"ckend про"",IF(AK40=""START | PRO"",""Аналитика старт | Алгоритмы старт | Backend старт | ML старт | AI-агенты про | Алгоритмы про | Аналитика про | ML про | Backend про"",""""))),TEXTJOIN("" | "",TRUE,IF(REGEXMATCH(LOWER(AL40&amp;"" | ""&amp;E40),""аналитика ста"&amp;"рт""),""Аналитика старт"",""""),IF(REGEXMATCH(LOWER(AL40&amp;"" | ""&amp;E40),""алгоритмы старт""),""Алгоритмы старт"",""""),IF(REGEXMATCH(LOWER(AL40&amp;"" | ""&amp;E40),""backend старт""),""Backend старт"",""""),IF(REGEXMATCH(LOWER(AL40&amp;"" | ""&amp;E40),""ml старт""),""ML "&amp;"старт"",""""),IF(REGEXMATCH(LOWER(AL40&amp;"" | ""&amp;E40),""ai[ -]?агент""),""AI-агенты про"",""""),IF(REGEXMATCH(LOWER(AL40&amp;"" | ""&amp;E40),""алгоритмы про""),""Алгоритмы про"",""""),IF(REGEXMATCH(LOWER(AL40&amp;"" | ""&amp;E40),""аналитика про""),""Аналитика про"","""")"&amp;",IF(REGEXMATCH(LOWER(AL40&amp;"" | ""&amp;E40),""ml про""),""ML про"",""""),IF(REGEXMATCH(LOWER(AL40&amp;"" | ""&amp;E40),""backend про""),""Backend про"",""""),IF(REGEXMATCH(LOWER(AL40&amp;"" | ""&amp;E40),""(а/в|ав|а в|ab)[ -]?тест""),""А/В-тесты"",""""),IF(REGEXMATCH(LOWER(AL"&amp;"40&amp;"" | ""&amp;E40),""data science""),""Data science"",""""),IF(REGEXMATCH(LOWER(AL40&amp;"" | ""&amp;E40),""data[- ]?инжен""),""Data-инженер"",""""),IF(REGEXMATCH(LOWER(AL40&amp;"" | ""&amp;E40),""frontend""),""Frontend"",""""))))"),"Алгоритмы старт")</f>
        <v>Алгоритмы старт</v>
      </c>
    </row>
    <row r="41">
      <c r="A41" s="6" t="str">
        <f>IFERROR(__xludf.DUMMYFUNCTION("""COMPUTED_VALUE"""),"INT-1824")</f>
        <v>INT-1824</v>
      </c>
      <c r="B41" s="6" t="str">
        <f>IFERROR(__xludf.DUMMYFUNCTION("""COMPUTED_VALUE"""),"2026-07-30 19:05:25")</f>
        <v>2026-07-30 19:05:25</v>
      </c>
      <c r="C41" s="6" t="str">
        <f>IFERROR(__xludf.DUMMYFUNCTION("""COMPUTED_VALUE"""),"@postypashki_old")</f>
        <v>@postypashki_old</v>
      </c>
      <c r="D41" s="4" t="str">
        <f>IFERROR(__xludf.DUMMYFUNCTION("""COMPUTED_VALUE"""),"Контент с предложением курсов")</f>
        <v>Контент с предложением курсов</v>
      </c>
      <c r="E41" s="6" t="str">
        <f>IFERROR(__xludf.DUMMYFUNCTION("""COMPUTED_VALUE"""),"Backend старт")</f>
        <v>Backend старт</v>
      </c>
      <c r="F41" s="6" t="str">
        <f>IFERROR(__xludf.DUMMYFUNCTION("""COMPUTED_VALUE"""),"")</f>
        <v/>
      </c>
      <c r="G41" s="6" t="str">
        <f>IFERROR(__xludf.DUMMYFUNCTION("""COMPUTED_VALUE"""),"postypashki_old/1824")</f>
        <v>postypashki_old/1824</v>
      </c>
      <c r="H41" s="6" t="str">
        <f>IFERROR(__xludf.DUMMYFUNCTION("""COMPUTED_VALUE"""),"Товарищи, пока наш пост про ""Ясасу Бибу"" форсится по медиа (тут и тут), немного раскроем лор главного героя этой истории.
Ту самую вакансию публиковал наш преподаватель по Backend-разработке - Павел.
Павел - олимпиадник, выпускник ФКН ПМИ ВШЭ, ex Янде"&amp;"кс, ex Сбер, а сейчас работает в стартапе в Берлине. Он регулярно помогает коллегам и друзьям искать разработчиков в команду, поэтому делится вакансиями, проводит собеседования и отлично понимает, что сегодня требуют на рынке.
Поэтому на курсе Бэкенд СТА"&amp;"РТ мы используем не только опыт Павла как разработчика, но и его опыт как рекрутера. 
Ближе к концу обучения, когда основная программа уже пройдена и начинается подготовка к поиску работы, Павел делится с учениками вакансиями и рефералами. 
Отдельным бо"&amp;"нусом идет занятие про международный рынок:
📌 где искать зарубежные вакансии
📌 как устроен найм и чем он отличается от найма в РФ
📌 на что обращают внимание иностранные компании
📌 как к таким собеседованиям готовиться 
Курс уже идет, но присоединитьс"&amp;"я еще можно. Вы успеваете попасть на ту часть курса, где Павела разбирает рынок, делится вакансиями и помогает подготовиться к собеседованиям. 
В общем, господа и дамы, залетайте на курс. Будем делать из вас жестких бэкендеров, а не ИИ-макак, которые уве"&amp;"ренно рассказывают про «жесткую теорему Шторм Спирита».
📌 Для записи на курс напишите менеджеру")</f>
        <v>Товарищи, пока наш пост про "Ясасу Бибу" форсится по медиа (тут и тут), немного раскроем лор главного героя этой истории.
Ту самую вакансию публиковал наш преподаватель по Backend-разработке - Павел.
Павел - олимпиадник, выпускник ФКН ПМИ ВШЭ, ex Яндекс, ex Сбер, а сейчас работает в стартапе в Берлине. Он регулярно помогает коллегам и друзьям искать разработчиков в команду, поэтому делится вакансиями, проводит собеседования и отлично понимает, что сегодня требуют на рынке.
Поэтому на курсе Бэкенд СТАРТ мы используем не только опыт Павла как разработчика, но и его опыт как рекрутера. 
Ближе к концу обучения, когда основная программа уже пройдена и начинается подготовка к поиску работы, Павел делится с учениками вакансиями и рефералами. 
Отдельным бонусом идет занятие про международный рынок:
📌 где искать зарубежные вакансии
📌 как устроен найм и чем он отличается от найма в РФ
📌 на что обращают внимание иностранные компании
📌 как к таким собеседованиям готовиться 
Курс уже идет, но присоединиться еще можно. Вы успеваете попасть на ту часть курса, где Павела разбирает рынок, делится вакансиями и помогает подготовиться к собеседованиям. 
В общем, господа и дамы, залетайте на курс. Будем делать из вас жестких бэкендеров, а не ИИ-макак, которые уверенно рассказывают про «жесткую теорему Шторм Спирита».
📌 Для записи на курс напишите менеджеру</v>
      </c>
      <c r="I41" s="6" t="str">
        <f>IFERROR(__xludf.DUMMYFUNCTION("""COMPUTED_VALUE"""),"internal")</f>
        <v>internal</v>
      </c>
      <c r="J41" s="10" t="str">
        <f>IFERROR(__xludf.DUMMYFUNCTION("""COMPUTED_VALUE"""),"https://t.me/postypashki_old/1824")</f>
        <v>https://t.me/postypashki_old/1824</v>
      </c>
      <c r="K41" s="6">
        <f>IFERROR(__xludf.DUMMYFUNCTION("""COMPUTED_VALUE"""),21000.0)</f>
        <v>21000</v>
      </c>
      <c r="L41" s="6">
        <f>IFERROR(__xludf.DUMMYFUNCTION("""COMPUTED_VALUE"""),68.0)</f>
        <v>68</v>
      </c>
      <c r="M41" s="6" t="str">
        <f>IFERROR(__xludf.DUMMYFUNCTION("""COMPUTED_VALUE"""),"")</f>
        <v/>
      </c>
      <c r="N41" s="6" t="str">
        <f>IFERROR(__xludf.DUMMYFUNCTION("""COMPUTED_VALUE"""),"Telegram")</f>
        <v>Telegram</v>
      </c>
      <c r="O41" s="6" t="str">
        <f>IFERROR(__xludf.DUMMYFUNCTION("""COMPUTED_VALUE"""),"raw")</f>
        <v>raw</v>
      </c>
      <c r="P41" s="6" t="str">
        <f>IFERROR(__xludf.DUMMYFUNCTION("""COMPUTED_VALUE"""),"Codex")</f>
        <v>Codex</v>
      </c>
      <c r="Q41" s="6" t="str">
        <f>IFERROR(__xludf.DUMMYFUNCTION("""COMPUTED_VALUE"""),"Товарищи, пока наш пост про ""Ясасу Бибу"" форсится по медиа (тут и тут), немного раскроем лор главного героя этой истории. Ту самую вакансию публиковал наш преподаватель по Backend-")</f>
        <v>Товарищи, пока наш пост про "Ясасу Бибу" форсится по медиа (тут и тут), немного раскроем лор главного героя этой истории. Ту самую вакансию публиковал наш преподаватель по Backend-</v>
      </c>
      <c r="R41" s="6" t="str">
        <f>IFERROR(__xludf.DUMMYFUNCTION("""COMPUTED_VALUE"""),"internal")</f>
        <v>internal</v>
      </c>
      <c r="S41" s="6" t="str">
        <f>IFERROR(__xludf.DUMMYFUNCTION("""COMPUTED_VALUE"""),"unknown")</f>
        <v>unknown</v>
      </c>
      <c r="T41" s="6" t="str">
        <f>IFERROR(__xludf.DUMMYFUNCTION("""COMPUTED_VALUE"""),"telegram_internal")</f>
        <v>telegram_internal</v>
      </c>
      <c r="U41" s="6" t="str">
        <f>IFERROR(__xludf.DUMMYFUNCTION("""COMPUTED_VALUE"""),"Контент с предложением курсов")</f>
        <v>Контент с предложением курсов</v>
      </c>
      <c r="V41" s="6" t="str">
        <f>IFERROR(__xludf.DUMMYFUNCTION("""COMPUTED_VALUE"""),"Предыстория")</f>
        <v>Предыстория</v>
      </c>
      <c r="W41" s="6"/>
      <c r="X41" s="6"/>
      <c r="Y41" s="6" t="str">
        <f>IFERROR(__xludf.DUMMYFUNCTION("""COMPUTED_VALUE"""),"")</f>
        <v/>
      </c>
      <c r="Z41" s="6" t="str">
        <f>IFERROR(__xludf.DUMMYFUNCTION("""COMPUTED_VALUE"""),"")</f>
        <v/>
      </c>
      <c r="AA41" s="6" t="b">
        <f>IFERROR(__xludf.DUMMYFUNCTION("""COMPUTED_VALUE"""),TRUE)</f>
        <v>1</v>
      </c>
      <c r="AB41" s="6" t="b">
        <f>IFERROR(__xludf.DUMMYFUNCTION("""COMPUTED_VALUE"""),FALSE)</f>
        <v>0</v>
      </c>
      <c r="AC41" s="6" t="b">
        <f>IFERROR(__xludf.DUMMYFUNCTION("""COMPUTED_VALUE"""),FALSE)</f>
        <v>0</v>
      </c>
      <c r="AD41" s="6" t="b">
        <f>IFERROR(__xludf.DUMMYFUNCTION("""COMPUTED_VALUE"""),FALSE)</f>
        <v>0</v>
      </c>
      <c r="AE41" s="6"/>
      <c r="AF41" s="6" t="b">
        <f>IFERROR(__xludf.DUMMYFUNCTION("""COMPUTED_VALUE"""),FALSE)</f>
        <v>0</v>
      </c>
      <c r="AG41" s="6" t="str">
        <f>IFERROR(__xludf.DUMMYFUNCTION("""COMPUTED_VALUE"""),"2026-07-30T16:05:25+00:00")</f>
        <v>2026-07-30T16:05:25+00:00</v>
      </c>
      <c r="AH41" s="6" t="str">
        <f>IFERROR(__xludf.DUMMYFUNCTION("""COMPUTED_VALUE"""),"")</f>
        <v/>
      </c>
      <c r="AI41" s="6" t="str">
        <f>IFERROR(__xludf.DUMMYFUNCTION("""COMPUTED_VALUE"""),"#N/A")</f>
        <v>#N/A</v>
      </c>
      <c r="AJ41" s="9" t="s">
        <v>224</v>
      </c>
      <c r="AK41" s="9" t="s">
        <v>213</v>
      </c>
      <c r="AL41" s="4" t="s">
        <v>232</v>
      </c>
      <c r="AM41" s="9" t="s">
        <v>231</v>
      </c>
      <c r="AN41" s="4" t="str">
        <f>IFERROR(__xludf.DUMMYFUNCTION("IF(OR(AJ41=""general_brand"",AJ41=""external"",AJ41=""unknown""),"""",IF(AJ41=""product_line"",IF(AK41=""START"",""Аналитика старт | Алгоритмы старт | Backend старт | ML старт"",IF(AK41=""PRO"",""AI-агенты про | Алгоритмы про | Аналитика про | ML про | Ba"&amp;"ckend про"",IF(AK41=""START | PRO"",""Аналитика старт | Алгоритмы старт | Backend старт | ML старт | AI-агенты про | Алгоритмы про | Аналитика про | ML про | Backend про"",""""))),TEXTJOIN("" | "",TRUE,IF(REGEXMATCH(LOWER(AL41&amp;"" | ""&amp;E41),""аналитика ста"&amp;"рт""),""Аналитика старт"",""""),IF(REGEXMATCH(LOWER(AL41&amp;"" | ""&amp;E41),""алгоритмы старт""),""Алгоритмы старт"",""""),IF(REGEXMATCH(LOWER(AL41&amp;"" | ""&amp;E41),""backend старт""),""Backend старт"",""""),IF(REGEXMATCH(LOWER(AL41&amp;"" | ""&amp;E41),""ml старт""),""ML "&amp;"старт"",""""),IF(REGEXMATCH(LOWER(AL41&amp;"" | ""&amp;E41),""ai[ -]?агент""),""AI-агенты про"",""""),IF(REGEXMATCH(LOWER(AL41&amp;"" | ""&amp;E41),""алгоритмы про""),""Алгоритмы про"",""""),IF(REGEXMATCH(LOWER(AL41&amp;"" | ""&amp;E41),""аналитика про""),""Аналитика про"","""")"&amp;",IF(REGEXMATCH(LOWER(AL41&amp;"" | ""&amp;E41),""ml про""),""ML про"",""""),IF(REGEXMATCH(LOWER(AL41&amp;"" | ""&amp;E41),""backend про""),""Backend про"",""""),IF(REGEXMATCH(LOWER(AL41&amp;"" | ""&amp;E41),""(а/в|ав|а в|ab)[ -]?тест""),""А/В-тесты"",""""),IF(REGEXMATCH(LOWER(AL"&amp;"41&amp;"" | ""&amp;E41),""data science""),""Data science"",""""),IF(REGEXMATCH(LOWER(AL41&amp;"" | ""&amp;E41),""data[- ]?инжен""),""Data-инженер"",""""),IF(REGEXMATCH(LOWER(AL41&amp;"" | ""&amp;E41),""frontend""),""Frontend"",""""))))"),"Backend старт")</f>
        <v>Backend старт</v>
      </c>
    </row>
    <row r="42">
      <c r="A42" s="6" t="str">
        <f>IFERROR(__xludf.DUMMYFUNCTION("""COMPUTED_VALUE"""),"INT-1825")</f>
        <v>INT-1825</v>
      </c>
      <c r="B42" s="6" t="str">
        <f>IFERROR(__xludf.DUMMYFUNCTION("""COMPUTED_VALUE"""),"2026-07-31 18:49:40")</f>
        <v>2026-07-31 18:49:40</v>
      </c>
      <c r="C42" s="6" t="str">
        <f>IFERROR(__xludf.DUMMYFUNCTION("""COMPUTED_VALUE"""),"@postypashki_old")</f>
        <v>@postypashki_old</v>
      </c>
      <c r="D42" s="4" t="str">
        <f>IFERROR(__xludf.DUMMYFUNCTION("""COMPUTED_VALUE"""),"Прочий контент")</f>
        <v>Прочий контент</v>
      </c>
      <c r="E42" s="6" t="str">
        <f>IFERROR(__xludf.DUMMYFUNCTION("""COMPUTED_VALUE"""),"Data Science")</f>
        <v>Data Science</v>
      </c>
      <c r="F42" s="6" t="str">
        <f>IFERROR(__xludf.DUMMYFUNCTION("""COMPUTED_VALUE"""),"")</f>
        <v/>
      </c>
      <c r="G42" s="6" t="str">
        <f>IFERROR(__xludf.DUMMYFUNCTION("""COMPUTED_VALUE"""),"postypashki_old/1825")</f>
        <v>postypashki_old/1825</v>
      </c>
      <c r="H42" s="6" t="str">
        <f>IFERROR(__xludf.DUMMYFUNCTION("""COMPUTED_VALUE"""),"Продолжаем знакомиться с талантливыми учениками ""Поступашек"". Сегодня в гостях - Омурбек, олимпиадник из Кыргызстана и наш ученик, который поступил в ШАД.
Смотрим интервью по ссылке: https://www.youtube.com/watch?v=pOegWEGJ01U&amp;t=952s
Обсудили много вс"&amp;"его интересного: 
— как олимпиады помогли Омурбеку выбраться из небольшого города и поступить за границу
— как устроено образование и карьера в Кыргызстане, Южной Кореи, чем дышит молодежь 
— почему после backend-разработки Омурбек ушёл в ML, Data Science"&amp;" и исследования
— как попасть на стажировки в Huawei и Яндекс
— как начать карьеру Quant Researcher
Получился разговор не только про образование и карьеру, но и про сомнения, неудачи, выбор, переезды, культурный шок и поиск своего пути.")</f>
        <v>Продолжаем знакомиться с талантливыми учениками "Поступашек". Сегодня в гостях - Омурбек, олимпиадник из Кыргызстана и наш ученик, который поступил в ШАД.
Смотрим интервью по ссылке: https://www.youtube.com/watch?v=pOegWEGJ01U&amp;t=952s
Обсудили много всего интересного: 
— как олимпиады помогли Омурбеку выбраться из небольшого города и поступить за границу
— как устроено образование и карьера в Кыргызстане, Южной Кореи, чем дышит молодежь 
— почему после backend-разработки Омурбек ушёл в ML, Data Science и исследования
— как попасть на стажировки в Huawei и Яндекс
— как начать карьеру Quant Researcher
Получился разговор не только про образование и карьеру, но и про сомнения, неудачи, выбор, переезды, культурный шок и поиск своего пути.</v>
      </c>
      <c r="I42" s="6" t="str">
        <f>IFERROR(__xludf.DUMMYFUNCTION("""COMPUTED_VALUE"""),"internal")</f>
        <v>internal</v>
      </c>
      <c r="J42" s="10" t="str">
        <f>IFERROR(__xludf.DUMMYFUNCTION("""COMPUTED_VALUE"""),"https://t.me/postypashki_old/1825")</f>
        <v>https://t.me/postypashki_old/1825</v>
      </c>
      <c r="K42" s="6">
        <f>IFERROR(__xludf.DUMMYFUNCTION("""COMPUTED_VALUE"""),20200.0)</f>
        <v>20200</v>
      </c>
      <c r="L42" s="6">
        <f>IFERROR(__xludf.DUMMYFUNCTION("""COMPUTED_VALUE"""),90.0)</f>
        <v>90</v>
      </c>
      <c r="M42" s="6" t="str">
        <f>IFERROR(__xludf.DUMMYFUNCTION("""COMPUTED_VALUE"""),"")</f>
        <v/>
      </c>
      <c r="N42" s="6" t="str">
        <f>IFERROR(__xludf.DUMMYFUNCTION("""COMPUTED_VALUE"""),"Telegram")</f>
        <v>Telegram</v>
      </c>
      <c r="O42" s="6" t="str">
        <f>IFERROR(__xludf.DUMMYFUNCTION("""COMPUTED_VALUE"""),"raw")</f>
        <v>raw</v>
      </c>
      <c r="P42" s="6" t="str">
        <f>IFERROR(__xludf.DUMMYFUNCTION("""COMPUTED_VALUE"""),"Codex")</f>
        <v>Codex</v>
      </c>
      <c r="Q42" s="6" t="str">
        <f>IFERROR(__xludf.DUMMYFUNCTION("""COMPUTED_VALUE"""),"Продолжаем знакомиться с талантливыми учениками ""Поступашек"". Сегодня в гостях - Омурбек, олимпиадник из Кыргызстана и наш ученик, который поступил в ШАД. Смотрим интервью по ссылк")</f>
        <v>Продолжаем знакомиться с талантливыми учениками "Поступашек". Сегодня в гостях - Омурбек, олимпиадник из Кыргызстана и наш ученик, который поступил в ШАД. Смотрим интервью по ссылк</v>
      </c>
      <c r="R42" s="6" t="str">
        <f>IFERROR(__xludf.DUMMYFUNCTION("""COMPUTED_VALUE"""),"internal")</f>
        <v>internal</v>
      </c>
      <c r="S42" s="6" t="str">
        <f>IFERROR(__xludf.DUMMYFUNCTION("""COMPUTED_VALUE"""),"unknown")</f>
        <v>unknown</v>
      </c>
      <c r="T42" s="6" t="str">
        <f>IFERROR(__xludf.DUMMYFUNCTION("""COMPUTED_VALUE"""),"telegram_internal")</f>
        <v>telegram_internal</v>
      </c>
      <c r="U42" s="6" t="str">
        <f>IFERROR(__xludf.DUMMYFUNCTION("""COMPUTED_VALUE"""),"Прочий контент")</f>
        <v>Прочий контент</v>
      </c>
      <c r="V42" s="6" t="str">
        <f>IFERROR(__xludf.DUMMYFUNCTION("""COMPUTED_VALUE"""),"Предыстория")</f>
        <v>Предыстория</v>
      </c>
      <c r="W42" s="6" t="str">
        <f>IFERROR(__xludf.DUMMYFUNCTION("""COMPUTED_VALUE"""),"Фото")</f>
        <v>Фото</v>
      </c>
      <c r="X42" s="6"/>
      <c r="Y42" s="6" t="str">
        <f>IFERROR(__xludf.DUMMYFUNCTION("""COMPUTED_VALUE"""),"")</f>
        <v/>
      </c>
      <c r="Z42" s="6" t="str">
        <f>IFERROR(__xludf.DUMMYFUNCTION("""COMPUTED_VALUE"""),"")</f>
        <v/>
      </c>
      <c r="AA42" s="6" t="b">
        <f>IFERROR(__xludf.DUMMYFUNCTION("""COMPUTED_VALUE"""),FALSE)</f>
        <v>0</v>
      </c>
      <c r="AB42" s="6" t="b">
        <f>IFERROR(__xludf.DUMMYFUNCTION("""COMPUTED_VALUE"""),FALSE)</f>
        <v>0</v>
      </c>
      <c r="AC42" s="6" t="b">
        <f>IFERROR(__xludf.DUMMYFUNCTION("""COMPUTED_VALUE"""),FALSE)</f>
        <v>0</v>
      </c>
      <c r="AD42" s="6" t="b">
        <f>IFERROR(__xludf.DUMMYFUNCTION("""COMPUTED_VALUE"""),FALSE)</f>
        <v>0</v>
      </c>
      <c r="AE42" s="6"/>
      <c r="AF42" s="6" t="b">
        <f>IFERROR(__xludf.DUMMYFUNCTION("""COMPUTED_VALUE"""),FALSE)</f>
        <v>0</v>
      </c>
      <c r="AG42" s="6" t="str">
        <f>IFERROR(__xludf.DUMMYFUNCTION("""COMPUTED_VALUE"""),"2026-07-31T15:49:40+00:00")</f>
        <v>2026-07-31T15:49:40+00:00</v>
      </c>
      <c r="AH42" s="6" t="str">
        <f>IFERROR(__xludf.DUMMYFUNCTION("""COMPUTED_VALUE"""),"")</f>
        <v/>
      </c>
      <c r="AI42" s="6" t="str">
        <f>IFERROR(__xludf.DUMMYFUNCTION("""COMPUTED_VALUE"""),"#N/A")</f>
        <v>#N/A</v>
      </c>
      <c r="AJ42" s="9" t="s">
        <v>224</v>
      </c>
      <c r="AL42" s="4" t="s">
        <v>241</v>
      </c>
      <c r="AM42" s="9" t="s">
        <v>219</v>
      </c>
      <c r="AN42" s="4" t="str">
        <f>IFERROR(__xludf.DUMMYFUNCTION("IF(OR(AJ42=""general_brand"",AJ42=""external"",AJ42=""unknown""),"""",IF(AJ42=""product_line"",IF(AK42=""START"",""Аналитика старт | Алгоритмы старт | Backend старт | ML старт"",IF(AK42=""PRO"",""AI-агенты про | Алгоритмы про | Аналитика про | ML про | Ba"&amp;"ckend про"",IF(AK42=""START | PRO"",""Аналитика старт | Алгоритмы старт | Backend старт | ML старт | AI-агенты про | Алгоритмы про | Аналитика про | ML про | Backend про"",""""))),TEXTJOIN("" | "",TRUE,IF(REGEXMATCH(LOWER(AL42&amp;"" | ""&amp;E42),""аналитика ста"&amp;"рт""),""Аналитика старт"",""""),IF(REGEXMATCH(LOWER(AL42&amp;"" | ""&amp;E42),""алгоритмы старт""),""Алгоритмы старт"",""""),IF(REGEXMATCH(LOWER(AL42&amp;"" | ""&amp;E42),""backend старт""),""Backend старт"",""""),IF(REGEXMATCH(LOWER(AL42&amp;"" | ""&amp;E42),""ml старт""),""ML "&amp;"старт"",""""),IF(REGEXMATCH(LOWER(AL42&amp;"" | ""&amp;E42),""ai[ -]?агент""),""AI-агенты про"",""""),IF(REGEXMATCH(LOWER(AL42&amp;"" | ""&amp;E42),""алгоритмы про""),""Алгоритмы про"",""""),IF(REGEXMATCH(LOWER(AL42&amp;"" | ""&amp;E42),""аналитика про""),""Аналитика про"","""")"&amp;",IF(REGEXMATCH(LOWER(AL42&amp;"" | ""&amp;E42),""ml про""),""ML про"",""""),IF(REGEXMATCH(LOWER(AL42&amp;"" | ""&amp;E42),""backend про""),""Backend про"",""""),IF(REGEXMATCH(LOWER(AL42&amp;"" | ""&amp;E42),""(а/в|ав|а в|ab)[ -]?тест""),""А/В-тесты"",""""),IF(REGEXMATCH(LOWER(AL"&amp;"42&amp;"" | ""&amp;E42),""data science""),""Data science"",""""),IF(REGEXMATCH(LOWER(AL42&amp;"" | ""&amp;E42),""data[- ]?инжен""),""Data-инженер"",""""),IF(REGEXMATCH(LOWER(AL42&amp;"" | ""&amp;E42),""frontend""),""Frontend"",""""))))"),"Data science")</f>
        <v>Data science</v>
      </c>
    </row>
    <row r="43">
      <c r="A43" s="6" t="str">
        <f>IFERROR(__xludf.DUMMYFUNCTION("""COMPUTED_VALUE"""),"INT-1826")</f>
        <v>INT-1826</v>
      </c>
      <c r="B43" s="6" t="str">
        <f>IFERROR(__xludf.DUMMYFUNCTION("""COMPUTED_VALUE"""),"2026-08-01 12:05:28")</f>
        <v>2026-08-01 12:05:28</v>
      </c>
      <c r="C43" s="6" t="str">
        <f>IFERROR(__xludf.DUMMYFUNCTION("""COMPUTED_VALUE"""),"@postypashki_old")</f>
        <v>@postypashki_old</v>
      </c>
      <c r="D43" s="4" t="str">
        <f>IFERROR(__xludf.DUMMYFUNCTION("""COMPUTED_VALUE"""),"Бесплатное событие / лид-магнит")</f>
        <v>Бесплатное событие / лид-магнит</v>
      </c>
      <c r="E43" s="6"/>
      <c r="F43" s="6" t="str">
        <f>IFERROR(__xludf.DUMMYFUNCTION("""COMPUTED_VALUE"""),"")</f>
        <v/>
      </c>
      <c r="G43" s="6" t="str">
        <f>IFERROR(__xludf.DUMMYFUNCTION("""COMPUTED_VALUE"""),"postypashki_old/1826")</f>
        <v>postypashki_old/1826</v>
      </c>
      <c r="H43" s="6" t="str">
        <f>IFERROR(__xludf.DUMMYFUNCTION("""COMPUTED_VALUE"""),"Гайд на собесы WB ML
Наши выпускники прошлых потоков сейчас во всю ходят по собесам, по горячим следам составили эксклюзивный гайд на ML собесы WB с вопросами, ответами и задачами на код. 
Хоть WB сейчас и испытывает временные трудности из-за чего замор"&amp;"озил найм, отозвал офферы и отложил выходы на работу, но над ситуацией уже работают и за пару недель все вернется на круги своя. У WB куча денег, премии всегда насыпали с горкой, а проекты реально интересные. К тому же файл универсален для всех компаний, "&amp;"а не только для WB. Сохраняй себе и делись с друзьями такой годнотой 🔥
Подписаться: @postypashki_old")</f>
        <v>Гайд на собесы WB ML
Наши выпускники прошлых потоков сейчас во всю ходят по собесам, по горячим следам составили эксклюзивный гайд на ML собесы WB с вопросами, ответами и задачами на код. 
Хоть WB сейчас и испытывает временные трудности из-за чего заморозил найм, отозвал офферы и отложил выходы на работу, но над ситуацией уже работают и за пару недель все вернется на круги своя. У WB куча денег, премии всегда насыпали с горкой, а проекты реально интересные. К тому же файл универсален для всех компаний, а не только для WB. Сохраняй себе и делись с друзьями такой годнотой 🔥
Подписаться: @postypashki_old</v>
      </c>
      <c r="I43" s="6" t="str">
        <f>IFERROR(__xludf.DUMMYFUNCTION("""COMPUTED_VALUE"""),"internal")</f>
        <v>internal</v>
      </c>
      <c r="J43" s="10" t="str">
        <f>IFERROR(__xludf.DUMMYFUNCTION("""COMPUTED_VALUE"""),"https://t.me/postypashki_old/1826")</f>
        <v>https://t.me/postypashki_old/1826</v>
      </c>
      <c r="K43" s="6">
        <f>IFERROR(__xludf.DUMMYFUNCTION("""COMPUTED_VALUE"""),21100.0)</f>
        <v>21100</v>
      </c>
      <c r="L43" s="6">
        <f>IFERROR(__xludf.DUMMYFUNCTION("""COMPUTED_VALUE"""),114.0)</f>
        <v>114</v>
      </c>
      <c r="M43" s="6" t="str">
        <f>IFERROR(__xludf.DUMMYFUNCTION("""COMPUTED_VALUE"""),"")</f>
        <v/>
      </c>
      <c r="N43" s="6" t="str">
        <f>IFERROR(__xludf.DUMMYFUNCTION("""COMPUTED_VALUE"""),"Telegram")</f>
        <v>Telegram</v>
      </c>
      <c r="O43" s="6" t="str">
        <f>IFERROR(__xludf.DUMMYFUNCTION("""COMPUTED_VALUE"""),"raw")</f>
        <v>raw</v>
      </c>
      <c r="P43" s="6" t="str">
        <f>IFERROR(__xludf.DUMMYFUNCTION("""COMPUTED_VALUE"""),"Codex")</f>
        <v>Codex</v>
      </c>
      <c r="Q43" s="6" t="str">
        <f>IFERROR(__xludf.DUMMYFUNCTION("""COMPUTED_VALUE"""),"Гайд на собесы WB ML Наши выпускники прошлых потоков сейчас во всю ходят по собесам, по горячим следам составили эксклюзивный гайд на ML собесы WB с вопросами, ответами и задачами ")</f>
        <v>Гайд на собесы WB ML Наши выпускники прошлых потоков сейчас во всю ходят по собесам, по горячим следам составили эксклюзивный гайд на ML собесы WB с вопросами, ответами и задачами </v>
      </c>
      <c r="R43" s="6" t="str">
        <f>IFERROR(__xludf.DUMMYFUNCTION("""COMPUTED_VALUE"""),"internal")</f>
        <v>internal</v>
      </c>
      <c r="S43" s="6" t="str">
        <f>IFERROR(__xludf.DUMMYFUNCTION("""COMPUTED_VALUE"""),"unknown")</f>
        <v>unknown</v>
      </c>
      <c r="T43" s="6" t="str">
        <f>IFERROR(__xludf.DUMMYFUNCTION("""COMPUTED_VALUE"""),"telegram_internal")</f>
        <v>telegram_internal</v>
      </c>
      <c r="U43" s="6" t="str">
        <f>IFERROR(__xludf.DUMMYFUNCTION("""COMPUTED_VALUE"""),"Бесплатное событие / лид-магнит")</f>
        <v>Бесплатное событие / лид-магнит</v>
      </c>
      <c r="V43" s="6" t="str">
        <f>IFERROR(__xludf.DUMMYFUNCTION("""COMPUTED_VALUE"""),"Предыстория")</f>
        <v>Предыстория</v>
      </c>
      <c r="W43" s="6" t="str">
        <f>IFERROR(__xludf.DUMMYFUNCTION("""COMPUTED_VALUE"""),"Файл")</f>
        <v>Файл</v>
      </c>
      <c r="X43" s="6"/>
      <c r="Y43" s="6" t="str">
        <f>IFERROR(__xludf.DUMMYFUNCTION("""COMPUTED_VALUE"""),"")</f>
        <v/>
      </c>
      <c r="Z43" s="6" t="str">
        <f>IFERROR(__xludf.DUMMYFUNCTION("""COMPUTED_VALUE"""),"")</f>
        <v/>
      </c>
      <c r="AA43" s="6" t="b">
        <f>IFERROR(__xludf.DUMMYFUNCTION("""COMPUTED_VALUE"""),FALSE)</f>
        <v>0</v>
      </c>
      <c r="AB43" s="6" t="b">
        <f>IFERROR(__xludf.DUMMYFUNCTION("""COMPUTED_VALUE"""),FALSE)</f>
        <v>0</v>
      </c>
      <c r="AC43" s="6" t="b">
        <f>IFERROR(__xludf.DUMMYFUNCTION("""COMPUTED_VALUE"""),FALSE)</f>
        <v>0</v>
      </c>
      <c r="AD43" s="6" t="b">
        <f>IFERROR(__xludf.DUMMYFUNCTION("""COMPUTED_VALUE"""),FALSE)</f>
        <v>0</v>
      </c>
      <c r="AE43" s="6"/>
      <c r="AF43" s="6" t="b">
        <f>IFERROR(__xludf.DUMMYFUNCTION("""COMPUTED_VALUE"""),FALSE)</f>
        <v>0</v>
      </c>
      <c r="AG43" s="6" t="str">
        <f>IFERROR(__xludf.DUMMYFUNCTION("""COMPUTED_VALUE"""),"2026-08-01T09:05:28+00:00")</f>
        <v>2026-08-01T09:05:28+00:00</v>
      </c>
      <c r="AH43" s="6" t="str">
        <f>IFERROR(__xludf.DUMMYFUNCTION("""COMPUTED_VALUE"""),"")</f>
        <v/>
      </c>
      <c r="AI43" s="6" t="str">
        <f>IFERROR(__xludf.DUMMYFUNCTION("""COMPUTED_VALUE"""),"#N/A")</f>
        <v>#N/A</v>
      </c>
      <c r="AJ43" s="9" t="s">
        <v>233</v>
      </c>
      <c r="AM43" s="9" t="s">
        <v>226</v>
      </c>
      <c r="AN43" s="6" t="str">
        <f>IFERROR(__xludf.DUMMYFUNCTION("IF(OR(AJ43=""general_brand"",AJ43=""external"",AJ43=""unknown""),"""",IF(AJ43=""product_line"",IF(AK43=""START"",""Аналитика старт | Алгоритмы старт | Backend старт | ML старт"",IF(AK43=""PRO"",""AI-агенты про | Алгоритмы про | Аналитика про | ML про | Ba"&amp;"ckend про"",IF(AK43=""START | PRO"",""Аналитика старт | Алгоритмы старт | Backend старт | ML старт | AI-агенты про | Алгоритмы про | Аналитика про | ML про | Backend про"",""""))),TEXTJOIN("" | "",TRUE,IF(REGEXMATCH(LOWER(AL43&amp;"" | ""&amp;E43),""аналитика ста"&amp;"рт""),""Аналитика старт"",""""),IF(REGEXMATCH(LOWER(AL43&amp;"" | ""&amp;E43),""алгоритмы старт""),""Алгоритмы старт"",""""),IF(REGEXMATCH(LOWER(AL43&amp;"" | ""&amp;E43),""backend старт""),""Backend старт"",""""),IF(REGEXMATCH(LOWER(AL43&amp;"" | ""&amp;E43),""ml старт""),""ML "&amp;"старт"",""""),IF(REGEXMATCH(LOWER(AL43&amp;"" | ""&amp;E43),""ai[ -]?агент""),""AI-агенты про"",""""),IF(REGEXMATCH(LOWER(AL43&amp;"" | ""&amp;E43),""алгоритмы про""),""Алгоритмы про"",""""),IF(REGEXMATCH(LOWER(AL43&amp;"" | ""&amp;E43),""аналитика про""),""Аналитика про"","""")"&amp;",IF(REGEXMATCH(LOWER(AL43&amp;"" | ""&amp;E43),""ml про""),""ML про"",""""),IF(REGEXMATCH(LOWER(AL43&amp;"" | ""&amp;E43),""backend про""),""Backend про"",""""),IF(REGEXMATCH(LOWER(AL43&amp;"" | ""&amp;E43),""(а/в|ав|а в|ab)[ -]?тест""),""А/В-тесты"",""""),IF(REGEXMATCH(LOWER(AL"&amp;"43&amp;"" | ""&amp;E43),""data science""),""Data science"",""""),IF(REGEXMATCH(LOWER(AL43&amp;"" | ""&amp;E43),""data[- ]?инжен""),""Data-инженер"",""""),IF(REGEXMATCH(LOWER(AL43&amp;"" | ""&amp;E43),""frontend""),""Frontend"",""""))))"),"")</f>
        <v/>
      </c>
    </row>
    <row r="44">
      <c r="A44" s="6" t="str">
        <f>IFERROR(__xludf.DUMMYFUNCTION("""COMPUTED_VALUE"""),"INT-1827")</f>
        <v>INT-1827</v>
      </c>
      <c r="B44" s="6" t="str">
        <f>IFERROR(__xludf.DUMMYFUNCTION("""COMPUTED_VALUE"""),"2026-08-02 11:51:49")</f>
        <v>2026-08-02 11:51:49</v>
      </c>
      <c r="C44" s="6" t="str">
        <f>IFERROR(__xludf.DUMMYFUNCTION("""COMPUTED_VALUE"""),"@postypashki_old")</f>
        <v>@postypashki_old</v>
      </c>
      <c r="D44" s="4" t="str">
        <f>IFERROR(__xludf.DUMMYFUNCTION("""COMPUTED_VALUE"""),"Бесплатное событие / лид-магнит")</f>
        <v>Бесплатное событие / лид-магнит</v>
      </c>
      <c r="E44" s="6"/>
      <c r="F44" s="6" t="str">
        <f>IFERROR(__xludf.DUMMYFUNCTION("""COMPUTED_VALUE"""),"")</f>
        <v/>
      </c>
      <c r="G44" s="6" t="str">
        <f>IFERROR(__xludf.DUMMYFUNCTION("""COMPUTED_VALUE"""),"postypashki_old/1827")</f>
        <v>postypashki_old/1827</v>
      </c>
      <c r="H44" s="6" t="str">
        <f>IFERROR(__xludf.DUMMYFUNCTION("""COMPUTED_VALUE"""),"Разбор контеста на стажировку в Яндекс за подписку! 
Чтобы получить разбор:
➡️Подпишитесь на нас в запрещенной странице тут
➡️Поставьте «+» в комментариях под последней каруселью тут
➡️После этого бот пришлёт вам материал в директ
Внутри будет разбор ко"&amp;"нтеста и заданий, которые помогут подготовиться к отбору в Яндекс")</f>
        <v>Разбор контеста на стажировку в Яндекс за подписку! 
Чтобы получить разбор:
➡️Подпишитесь на нас в запрещенной странице тут
➡️Поставьте «+» в комментариях под последней каруселью тут
➡️После этого бот пришлёт вам материал в директ
Внутри будет разбор контеста и заданий, которые помогут подготовиться к отбору в Яндекс</v>
      </c>
      <c r="I44" s="6" t="str">
        <f>IFERROR(__xludf.DUMMYFUNCTION("""COMPUTED_VALUE"""),"internal")</f>
        <v>internal</v>
      </c>
      <c r="J44" s="10" t="str">
        <f>IFERROR(__xludf.DUMMYFUNCTION("""COMPUTED_VALUE"""),"https://t.me/postypashki_old/1827")</f>
        <v>https://t.me/postypashki_old/1827</v>
      </c>
      <c r="K44" s="6">
        <f>IFERROR(__xludf.DUMMYFUNCTION("""COMPUTED_VALUE"""),32400.0)</f>
        <v>32400</v>
      </c>
      <c r="L44" s="6">
        <f>IFERROR(__xludf.DUMMYFUNCTION("""COMPUTED_VALUE"""),33.0)</f>
        <v>33</v>
      </c>
      <c r="M44" s="6" t="str">
        <f>IFERROR(__xludf.DUMMYFUNCTION("""COMPUTED_VALUE"""),"")</f>
        <v/>
      </c>
      <c r="N44" s="6" t="str">
        <f>IFERROR(__xludf.DUMMYFUNCTION("""COMPUTED_VALUE"""),"Telegram")</f>
        <v>Telegram</v>
      </c>
      <c r="O44" s="6" t="str">
        <f>IFERROR(__xludf.DUMMYFUNCTION("""COMPUTED_VALUE"""),"raw")</f>
        <v>raw</v>
      </c>
      <c r="P44" s="6" t="str">
        <f>IFERROR(__xludf.DUMMYFUNCTION("""COMPUTED_VALUE"""),"Codex")</f>
        <v>Codex</v>
      </c>
      <c r="Q44" s="6" t="str">
        <f>IFERROR(__xludf.DUMMYFUNCTION("""COMPUTED_VALUE"""),"Разбор контеста на стажировку в Яндекс за подписку! Чтобы получить разбор: ➡️Подпишитесь на нас в запрещенной странице тут ➡️Поставьте «+» в комментариях под последней каруселью ту")</f>
        <v>Разбор контеста на стажировку в Яндекс за подписку! Чтобы получить разбор: ➡️Подпишитесь на нас в запрещенной странице тут ➡️Поставьте «+» в комментариях под последней каруселью ту</v>
      </c>
      <c r="R44" s="6" t="str">
        <f>IFERROR(__xludf.DUMMYFUNCTION("""COMPUTED_VALUE"""),"internal")</f>
        <v>internal</v>
      </c>
      <c r="S44" s="6" t="str">
        <f>IFERROR(__xludf.DUMMYFUNCTION("""COMPUTED_VALUE"""),"unknown")</f>
        <v>unknown</v>
      </c>
      <c r="T44" s="6" t="str">
        <f>IFERROR(__xludf.DUMMYFUNCTION("""COMPUTED_VALUE"""),"telegram_internal")</f>
        <v>telegram_internal</v>
      </c>
      <c r="U44" s="6" t="str">
        <f>IFERROR(__xludf.DUMMYFUNCTION("""COMPUTED_VALUE"""),"Бесплатное событие / лид-магнит")</f>
        <v>Бесплатное событие / лид-магнит</v>
      </c>
      <c r="V44" s="6" t="str">
        <f>IFERROR(__xludf.DUMMYFUNCTION("""COMPUTED_VALUE"""),"Предыстория")</f>
        <v>Предыстория</v>
      </c>
      <c r="W44" s="6" t="str">
        <f>IFERROR(__xludf.DUMMYFUNCTION("""COMPUTED_VALUE"""),"Фото")</f>
        <v>Фото</v>
      </c>
      <c r="X44" s="6"/>
      <c r="Y44" s="6" t="str">
        <f>IFERROR(__xludf.DUMMYFUNCTION("""COMPUTED_VALUE"""),"")</f>
        <v/>
      </c>
      <c r="Z44" s="6" t="str">
        <f>IFERROR(__xludf.DUMMYFUNCTION("""COMPUTED_VALUE"""),"")</f>
        <v/>
      </c>
      <c r="AA44" s="6" t="b">
        <f>IFERROR(__xludf.DUMMYFUNCTION("""COMPUTED_VALUE"""),FALSE)</f>
        <v>0</v>
      </c>
      <c r="AB44" s="6" t="b">
        <f>IFERROR(__xludf.DUMMYFUNCTION("""COMPUTED_VALUE"""),FALSE)</f>
        <v>0</v>
      </c>
      <c r="AC44" s="6" t="b">
        <f>IFERROR(__xludf.DUMMYFUNCTION("""COMPUTED_VALUE"""),FALSE)</f>
        <v>0</v>
      </c>
      <c r="AD44" s="6" t="b">
        <f>IFERROR(__xludf.DUMMYFUNCTION("""COMPUTED_VALUE"""),TRUE)</f>
        <v>1</v>
      </c>
      <c r="AE44" s="6"/>
      <c r="AF44" s="6" t="b">
        <f>IFERROR(__xludf.DUMMYFUNCTION("""COMPUTED_VALUE"""),FALSE)</f>
        <v>0</v>
      </c>
      <c r="AG44" s="6" t="str">
        <f>IFERROR(__xludf.DUMMYFUNCTION("""COMPUTED_VALUE"""),"2026-08-02T08:51:49+00:00")</f>
        <v>2026-08-02T08:51:49+00:00</v>
      </c>
      <c r="AH44" s="6" t="str">
        <f>IFERROR(__xludf.DUMMYFUNCTION("""COMPUTED_VALUE"""),"")</f>
        <v/>
      </c>
      <c r="AI44" s="6" t="str">
        <f>IFERROR(__xludf.DUMMYFUNCTION("""COMPUTED_VALUE"""),"#N/A")</f>
        <v>#N/A</v>
      </c>
      <c r="AJ44" s="9" t="s">
        <v>208</v>
      </c>
      <c r="AM44" s="9" t="s">
        <v>219</v>
      </c>
      <c r="AN44" s="6" t="str">
        <f>IFERROR(__xludf.DUMMYFUNCTION("IF(OR(AJ44=""general_brand"",AJ44=""external"",AJ44=""unknown""),"""",IF(AJ44=""product_line"",IF(AK44=""START"",""Аналитика старт | Алгоритмы старт | Backend старт | ML старт"",IF(AK44=""PRO"",""AI-агенты про | Алгоритмы про | Аналитика про | ML про | Ba"&amp;"ckend про"",IF(AK44=""START | PRO"",""Аналитика старт | Алгоритмы старт | Backend старт | ML старт | AI-агенты про | Алгоритмы про | Аналитика про | ML про | Backend про"",""""))),TEXTJOIN("" | "",TRUE,IF(REGEXMATCH(LOWER(AL44&amp;"" | ""&amp;E44),""аналитика ста"&amp;"рт""),""Аналитика старт"",""""),IF(REGEXMATCH(LOWER(AL44&amp;"" | ""&amp;E44),""алгоритмы старт""),""Алгоритмы старт"",""""),IF(REGEXMATCH(LOWER(AL44&amp;"" | ""&amp;E44),""backend старт""),""Backend старт"",""""),IF(REGEXMATCH(LOWER(AL44&amp;"" | ""&amp;E44),""ml старт""),""ML "&amp;"старт"",""""),IF(REGEXMATCH(LOWER(AL44&amp;"" | ""&amp;E44),""ai[ -]?агент""),""AI-агенты про"",""""),IF(REGEXMATCH(LOWER(AL44&amp;"" | ""&amp;E44),""алгоритмы про""),""Алгоритмы про"",""""),IF(REGEXMATCH(LOWER(AL44&amp;"" | ""&amp;E44),""аналитика про""),""Аналитика про"","""")"&amp;",IF(REGEXMATCH(LOWER(AL44&amp;"" | ""&amp;E44),""ml про""),""ML про"",""""),IF(REGEXMATCH(LOWER(AL44&amp;"" | ""&amp;E44),""backend про""),""Backend про"",""""),IF(REGEXMATCH(LOWER(AL44&amp;"" | ""&amp;E44),""(а/в|ав|а в|ab)[ -]?тест""),""А/В-тесты"",""""),IF(REGEXMATCH(LOWER(AL"&amp;"44&amp;"" | ""&amp;E44),""data science""),""Data science"",""""),IF(REGEXMATCH(LOWER(AL44&amp;"" | ""&amp;E44),""data[- ]?инжен""),""Data-инженер"",""""),IF(REGEXMATCH(LOWER(AL44&amp;"" | ""&amp;E44),""frontend""),""Frontend"",""""))))"),"")</f>
        <v/>
      </c>
    </row>
    <row r="45">
      <c r="A45" s="6" t="str">
        <f>IFERROR(__xludf.DUMMYFUNCTION("""COMPUTED_VALUE"""),"INT-1828")</f>
        <v>INT-1828</v>
      </c>
      <c r="B45" s="6" t="str">
        <f>IFERROR(__xludf.DUMMYFUNCTION("""COMPUTED_VALUE"""),"2026-08-03 19:07:16")</f>
        <v>2026-08-03 19:07:16</v>
      </c>
      <c r="C45" s="6" t="str">
        <f>IFERROR(__xludf.DUMMYFUNCTION("""COMPUTED_VALUE"""),"@postypashki_old")</f>
        <v>@postypashki_old</v>
      </c>
      <c r="D45" s="4" t="str">
        <f>IFERROR(__xludf.DUMMYFUNCTION("""COMPUTED_VALUE"""),"Прочий контент")</f>
        <v>Прочий контент</v>
      </c>
      <c r="E45" s="6"/>
      <c r="F45" s="6" t="str">
        <f>IFERROR(__xludf.DUMMYFUNCTION("""COMPUTED_VALUE"""),"")</f>
        <v/>
      </c>
      <c r="G45" s="6" t="str">
        <f>IFERROR(__xludf.DUMMYFUNCTION("""COMPUTED_VALUE"""),"postypashki_old/1828")</f>
        <v>postypashki_old/1828</v>
      </c>
      <c r="H45" s="6" t="str">
        <f>IFERROR(__xludf.DUMMYFUNCTION("""COMPUTED_VALUE"""),"Про опыт работы зарубежом 
Желания поработать зарубежом могут быть разные: опыт решения задач другого масштаба и формата, перестать быть привязанным к одному региону и валюте, способ познания мира и так далее. Но работа за границей - это не просто ""наше"&amp;"л вакансию, прошел собес и улетел"". Здесь две задачи: попасть в иностранную компанию, потом научиться в ней работать, расти и не вылететь при первом сокращении. Всего этого коснемся в посте. Принципы касаются и валютных удаленок, но в посте скорее обсуди"&amp;"м больше релокацию. 
Какой регион выбрать 
Кроме Европы и США, сейчас особенно привлекательными выглядит Азия и ОАЭ, Саудовская Аравия - огромные быстро развивающиеся рынки. При этом где-то главным барьером будет виза, где-то язык, где-то местная корпора"&amp;"тивная культура, а где-то нежелание компании связываться с релокацией иностранца. Поэтому сначала нужно выбрать конкретный регион. Пытаться одновременно готовиться к найму в США, Германию, Дубай и Китай - примерно как готовиться сразу на бэкендера, аналит"&amp;"ика и ML-инженера.
Как попасть
Как заполнить Linkedin, как нетворкиться - отдельная большая тема. Здесь выделим основные пути. 
1. Прямой найм.
Компании часто выгоднее взять человека, который уже находится в стране и которому не нужно оформлять визу. Но"&amp;" это касается далеко не всех компаний, какие-то компании релокейт френдли (ClickHouse, Bolt, PayPay, Raiffeisen Bank). К тому же у специалистов из России и СНГ есть преимущества, на которых можно играть: сильная математическая база, хороший уровень алгори"&amp;"тмов, опыт работы в условиях неопределённости и привычка брать на себя больше задач, чем обычно предполагает формальный грейд. Особенно полезен опыт в компаниях, которые хотя бы что-то говорят зарубежному работодателю: Яндекс, JetBrains, крупные банки, из"&amp;"вестные стартапы и продукты с большой аудиторией. 
2. Русскоязычные компании 
Таких компаний достаточно много. Некоторые полностью релоцировались, некоторые открыли иностранные офисы, а некоторые формально разорвали связи с Россией, но продолжают нанимат"&amp;"ь знакомых им специалистов (Nebius,  JetBrains, ABBYY, Toloka). У таких компаний уже есть опыт оформления людей из России и СНГ. Особенно хорошо работает переход внутри компании. Например, сначала человек устраивается в Яндекс, Wildberries или другой круп"&amp;"ный бизнес, а потом переходит в зарубежный офис, международное подразделение или связанную компанию.
Кстати, если хочешь рассказать о своем зарубежном опыте или стажировке, пиши @vice22821 (админ): прорекламим твою стажировку/соц сети или гарантируем анон"&amp;"имность, если ты не публичная личность.
3. Учеба
Для молодых ребят - это достаточно интересный вариант, чтобы по итогу получить паспорт, знания языка и рынка. Ты поступаешь в зарубежный вуз, переезжаешь, и уже изнутри страны начинаешь искать стажировку и"&amp;"ли работу. Компаниям проще нанимать человека, который уже имеет понятный статус. Есть кстати программы, где обучение совмещается с работой.
Как закрепиться 
Рабочая культура в зарубежных компаниях может сильно отличаться от российской. Причём проблемы у "&amp;"специалистов из России обычно возникают не из-за слабых технических навыков. Можно прекрасно писать код, но не уметь рассказывать о своей работе. Можно брать самые сложные задачи, но не обсуждать с менеджером повышение. Можно полгода спасать проект, а на "&amp;"performance review внезапно обнаружить, что никто толком не понимает, чем ты занимался.
Во многих международных компаниях недостаточно просто хорошо работать. Нужно уметь показывать результат своей работы.
Не в смысле каждый день хвастаться в общем чате, "&amp;"а нормально фиксировать:
— какую проблему ты решил;
— что изменилось для продукта или команды;
— сколько времени, денег или ресурсов удалось сэкономить;
— кто ещё начал пользоваться твоим решением.
Если ты молча выполняешь задачи и ждёшь, что руководитель"&amp;" сам всё заметит, можно годами оставаться на одном грейде. 
Как говорить о повышении
В российских компаниях повышение иногда выглядит как награда за выслугу лет: хорошо работал, тебя заметили, дали новый грейд. В зарубежных бигтехах процесс часто устроен"&amp;" намного формальнее. Есть требования к каждому уровню, циклы оценки, отзывы коллег и набор доказательств того, что ты уже выполняешь работу следующего грейда. Поэтому говорить о повышении нужно заранее. Нормальная формулировка: ""Я хочу выйти на следующий"&amp;" уровень в течение года. Каких результатов мне сейчас не хватает и что мне нужно показать?"" Это не выглядит наглостью. Наоборот, менеджеру проще работать с человеком, который понимает свою цель и заранее обсуждает ожидания. Если вспомнить о повышении за "&amp;"неделю до performance review, скорее всего, будет уже поздно.
Сокращения
Самая опасная ситуация, когда никто, кроме твоего менеджера, не понимает, чем ты занимаешься и зачем твоя работа вообще нужна компании. Если твой проект не связан с приоритетами биз"&amp;"неса, результатами пользуются три человека, а твою работу сложно объяснить одним предложением, при сокращении это может стать проблемой. Поэтому важно не только делать полезные вещи, но и делать их видимыми. Сотрудник, чью ценность легко понять, обычно на"&amp;"ходится в более безопасном положении, чем технически сильный, но совершенно незаметный человек.
Зарплаты
Когда кто-то говорит, что получает в США 300 или 500 тысяч долларов в год, многие представляют, что вся эта сумма равномерно приходит ему на карту. О"&amp;"бычно это не так. В total compensation могут входить базовая зарплата, бонус, акции компании, разовая выплата за выход на работу и компенсация релокации. Часть денег не гарантирована и начисляется постепенно. Поэтому сравнивать офферы только по общей цифр"&amp;"е бессмысленно. Иногда предложение на 200 тысяч долларов оказывается выгоднее, чем предложение на 300 тысяч, потому что выше гарантированная часть, ниже налоги и дешевле жизнь.
Сложности с коммуникацией 
Кто-то говорит слишком прямо и воспринимается как "&amp;"конфликтный. Кто-то не умеет поддерживать small talk и выстраивать отношения с коллегами. Кто-то ждёт, что менеджер сам предложит повышение. Кто-то считает, что обсуждать собственные результаты стыдно и нужно просто хорошо делать свою работу. Кто-то ходит"&amp;" со slavik face. В международной среде (и не только международной) это может сильно мешать. Над этим нужно работать, наблюдать, адаптироваться и тренироваться - всегда можно спросить у менеджера как у них принято, а как не принято. 
Короче универсального"&amp;" пути здесь нет, во все нужно погружаться самому и отталкиваться не от ""как мне уехать"", а от ""какой путь реалистичен конкретно для меня: какой порог входа мне доступен, к каким рискам я готов и сколько я готов потратить времени, ресурсов, и вообще под"&amp;"ойдет ли релокация в конкретное место под мой характер и образ жизни, готов ли я его менять"". Обязательно ставь огонек 🔥, если понравился пост, и пересылай друзьям. Реакция - сигнал для нас, что тему нужно развивать и рассказать про отборы, поиск, компа"&amp;"нии и нетворк зарубежом. 
Подписаться: @postypashki_old")</f>
        <v>Про опыт работы зарубежом 
Желания поработать зарубежом могут быть разные: опыт решения задач другого масштаба и формата, перестать быть привязанным к одному региону и валюте, способ познания мира и так далее. Но работа за границей - это не просто "нашел вакансию, прошел собес и улетел". Здесь две задачи: попасть в иностранную компанию, потом научиться в ней работать, расти и не вылететь при первом сокращении. Всего этого коснемся в посте. Принципы касаются и валютных удаленок, но в посте скорее обсудим больше релокацию. 
Какой регион выбрать 
Кроме Европы и США, сейчас особенно привлекательными выглядит Азия и ОАЭ, Саудовская Аравия - огромные быстро развивающиеся рынки. При этом где-то главным барьером будет виза, где-то язык, где-то местная корпоративная культура, а где-то нежелание компании связываться с релокацией иностранца. Поэтому сначала нужно выбрать конкретный регион. Пытаться одновременно готовиться к найму в США, Германию, Дубай и Китай - примерно как готовиться сразу на бэкендера, аналитика и ML-инженера.
Как попасть
Как заполнить Linkedin, как нетворкиться - отдельная большая тема. Здесь выделим основные пути. 
1. Прямой найм.
Компании часто выгоднее взять человека, который уже находится в стране и которому не нужно оформлять визу. Но это касается далеко не всех компаний, какие-то компании релокейт френдли (ClickHouse, Bolt, PayPay, Raiffeisen Bank). К тому же у специалистов из России и СНГ есть преимущества, на которых можно играть: сильная математическая база, хороший уровень алгоритмов, опыт работы в условиях неопределённости и привычка брать на себя больше задач, чем обычно предполагает формальный грейд. Особенно полезен опыт в компаниях, которые хотя бы что-то говорят зарубежному работодателю: Яндекс, JetBrains, крупные банки, известные стартапы и продукты с большой аудиторией. 
2. Русскоязычные компании 
Таких компаний достаточно много. Некоторые полностью релоцировались, некоторые открыли иностранные офисы, а некоторые формально разорвали связи с Россией, но продолжают нанимать знакомых им специалистов (Nebius,  JetBrains, ABBYY, Toloka). У таких компаний уже есть опыт оформления людей из России и СНГ. Особенно хорошо работает переход внутри компании. Например, сначала человек устраивается в Яндекс, Wildberries или другой крупный бизнес, а потом переходит в зарубежный офис, международное подразделение или связанную компанию.
Кстати, если хочешь рассказать о своем зарубежном опыте или стажировке, пиши @vice22821 (админ): прорекламим твою стажировку/соц сети или гарантируем анонимность, если ты не публичная личность.
3. Учеба
Для молодых ребят - это достаточно интересный вариант, чтобы по итогу получить паспорт, знания языка и рынка. Ты поступаешь в зарубежный вуз, переезжаешь, и уже изнутри страны начинаешь искать стажировку или работу. Компаниям проще нанимать человека, который уже имеет понятный статус. Есть кстати программы, где обучение совмещается с работой.
Как закрепиться 
Рабочая культура в зарубежных компаниях может сильно отличаться от российской. Причём проблемы у специалистов из России обычно возникают не из-за слабых технических навыков. Можно прекрасно писать код, но не уметь рассказывать о своей работе. Можно брать самые сложные задачи, но не обсуждать с менеджером повышение. Можно полгода спасать проект, а на performance review внезапно обнаружить, что никто толком не понимает, чем ты занимался.
Во многих международных компаниях недостаточно просто хорошо работать. Нужно уметь показывать результат своей работы.
Не в смысле каждый день хвастаться в общем чате, а нормально фиксировать:
— какую проблему ты решил;
— что изменилось для продукта или команды;
— сколько времени, денег или ресурсов удалось сэкономить;
— кто ещё начал пользоваться твоим решением.
Если ты молча выполняешь задачи и ждёшь, что руководитель сам всё заметит, можно годами оставаться на одном грейде. 
Как говорить о повышении
В российских компаниях повышение иногда выглядит как награда за выслугу лет: хорошо работал, тебя заметили, дали новый грейд. В зарубежных бигтехах процесс часто устроен намного формальнее. Есть требования к каждому уровню, циклы оценки, отзывы коллег и набор доказательств того, что ты уже выполняешь работу следующего грейда. Поэтому говорить о повышении нужно заранее. Нормальная формулировка: "Я хочу выйти на следующий уровень в течение года. Каких результатов мне сейчас не хватает и что мне нужно показать?" Это не выглядит наглостью. Наоборот, менеджеру проще работать с человеком, который понимает свою цель и заранее обсуждает ожидания. Если вспомнить о повышении за неделю до performance review, скорее всего, будет уже поздно.
Сокращения
Самая опасная ситуация, когда никто, кроме твоего менеджера, не понимает, чем ты занимаешься и зачем твоя работа вообще нужна компании. Если твой проект не связан с приоритетами бизнеса, результатами пользуются три человека, а твою работу сложно объяснить одним предложением, при сокращении это может стать проблемой. Поэтому важно не только делать полезные вещи, но и делать их видимыми. Сотрудник, чью ценность легко понять, обычно находится в более безопасном положении, чем технически сильный, но совершенно незаметный человек.
Зарплаты
Когда кто-то говорит, что получает в США 300 или 500 тысяч долларов в год, многие представляют, что вся эта сумма равномерно приходит ему на карту. Обычно это не так. В total compensation могут входить базовая зарплата, бонус, акции компании, разовая выплата за выход на работу и компенсация релокации. Часть денег не гарантирована и начисляется постепенно. Поэтому сравнивать офферы только по общей цифре бессмысленно. Иногда предложение на 200 тысяч долларов оказывается выгоднее, чем предложение на 300 тысяч, потому что выше гарантированная часть, ниже налоги и дешевле жизнь.
Сложности с коммуникацией 
Кто-то говорит слишком прямо и воспринимается как конфликтный. Кто-то не умеет поддерживать small talk и выстраивать отношения с коллегами. Кто-то ждёт, что менеджер сам предложит повышение. Кто-то считает, что обсуждать собственные результаты стыдно и нужно просто хорошо делать свою работу. Кто-то ходит со slavik face. В международной среде (и не только международной) это может сильно мешать. Над этим нужно работать, наблюдать, адаптироваться и тренироваться - всегда можно спросить у менеджера как у них принято, а как не принято. 
Короче универсального пути здесь нет, во все нужно погружаться самому и отталкиваться не от "как мне уехать", а от "какой путь реалистичен конкретно для меня: какой порог входа мне доступен, к каким рискам я готов и сколько я готов потратить времени, ресурсов, и вообще подойдет ли релокация в конкретное место под мой характер и образ жизни, готов ли я его менять". Обязательно ставь огонек 🔥, если понравился пост, и пересылай друзьям. Реакция - сигнал для нас, что тему нужно развивать и рассказать про отборы, поиск, компании и нетворк зарубежом. 
Подписаться: @postypashki_old</v>
      </c>
      <c r="I45" s="6" t="str">
        <f>IFERROR(__xludf.DUMMYFUNCTION("""COMPUTED_VALUE"""),"internal")</f>
        <v>internal</v>
      </c>
      <c r="J45" s="10" t="str">
        <f>IFERROR(__xludf.DUMMYFUNCTION("""COMPUTED_VALUE"""),"https://t.me/postypashki_old/1828")</f>
        <v>https://t.me/postypashki_old/1828</v>
      </c>
      <c r="K45" s="6">
        <f>IFERROR(__xludf.DUMMYFUNCTION("""COMPUTED_VALUE"""),18900.0)</f>
        <v>18900</v>
      </c>
      <c r="L45" s="6">
        <f>IFERROR(__xludf.DUMMYFUNCTION("""COMPUTED_VALUE"""),221.0)</f>
        <v>221</v>
      </c>
      <c r="M45" s="6" t="str">
        <f>IFERROR(__xludf.DUMMYFUNCTION("""COMPUTED_VALUE"""),"")</f>
        <v/>
      </c>
      <c r="N45" s="6" t="str">
        <f>IFERROR(__xludf.DUMMYFUNCTION("""COMPUTED_VALUE"""),"Telegram")</f>
        <v>Telegram</v>
      </c>
      <c r="O45" s="6" t="str">
        <f>IFERROR(__xludf.DUMMYFUNCTION("""COMPUTED_VALUE"""),"raw")</f>
        <v>raw</v>
      </c>
      <c r="P45" s="6" t="str">
        <f>IFERROR(__xludf.DUMMYFUNCTION("""COMPUTED_VALUE"""),"Codex")</f>
        <v>Codex</v>
      </c>
      <c r="Q45" s="6" t="str">
        <f>IFERROR(__xludf.DUMMYFUNCTION("""COMPUTED_VALUE"""),"Про опыт работы зарубежом Желания поработать зарубежом могут быть разные: опыт решения задач другого масштаба и формата, перестать быть привязанным к одному региону и валюте, спосо")</f>
        <v>Про опыт работы зарубежом Желания поработать зарубежом могут быть разные: опыт решения задач другого масштаба и формата, перестать быть привязанным к одному региону и валюте, спосо</v>
      </c>
      <c r="R45" s="6" t="str">
        <f>IFERROR(__xludf.DUMMYFUNCTION("""COMPUTED_VALUE"""),"internal")</f>
        <v>internal</v>
      </c>
      <c r="S45" s="6" t="str">
        <f>IFERROR(__xludf.DUMMYFUNCTION("""COMPUTED_VALUE"""),"unknown")</f>
        <v>unknown</v>
      </c>
      <c r="T45" s="6" t="str">
        <f>IFERROR(__xludf.DUMMYFUNCTION("""COMPUTED_VALUE"""),"telegram_internal")</f>
        <v>telegram_internal</v>
      </c>
      <c r="U45" s="6" t="str">
        <f>IFERROR(__xludf.DUMMYFUNCTION("""COMPUTED_VALUE"""),"Прочий контент")</f>
        <v>Прочий контент</v>
      </c>
      <c r="V45" s="6" t="str">
        <f>IFERROR(__xludf.DUMMYFUNCTION("""COMPUTED_VALUE"""),"Предыстория")</f>
        <v>Предыстория</v>
      </c>
      <c r="W45" s="6"/>
      <c r="X45" s="6"/>
      <c r="Y45" s="6" t="str">
        <f>IFERROR(__xludf.DUMMYFUNCTION("""COMPUTED_VALUE"""),"")</f>
        <v/>
      </c>
      <c r="Z45" s="6" t="str">
        <f>IFERROR(__xludf.DUMMYFUNCTION("""COMPUTED_VALUE"""),"")</f>
        <v/>
      </c>
      <c r="AA45" s="6" t="b">
        <f>IFERROR(__xludf.DUMMYFUNCTION("""COMPUTED_VALUE"""),TRUE)</f>
        <v>1</v>
      </c>
      <c r="AB45" s="6" t="b">
        <f>IFERROR(__xludf.DUMMYFUNCTION("""COMPUTED_VALUE"""),FALSE)</f>
        <v>0</v>
      </c>
      <c r="AC45" s="6" t="b">
        <f>IFERROR(__xludf.DUMMYFUNCTION("""COMPUTED_VALUE"""),FALSE)</f>
        <v>0</v>
      </c>
      <c r="AD45" s="6" t="b">
        <f>IFERROR(__xludf.DUMMYFUNCTION("""COMPUTED_VALUE"""),FALSE)</f>
        <v>0</v>
      </c>
      <c r="AE45" s="6"/>
      <c r="AF45" s="6" t="b">
        <f>IFERROR(__xludf.DUMMYFUNCTION("""COMPUTED_VALUE"""),FALSE)</f>
        <v>0</v>
      </c>
      <c r="AG45" s="6" t="str">
        <f>IFERROR(__xludf.DUMMYFUNCTION("""COMPUTED_VALUE"""),"2026-08-03T16:07:16+00:00")</f>
        <v>2026-08-03T16:07:16+00:00</v>
      </c>
      <c r="AH45" s="6" t="str">
        <f>IFERROR(__xludf.DUMMYFUNCTION("""COMPUTED_VALUE"""),"")</f>
        <v/>
      </c>
      <c r="AI45" s="6" t="str">
        <f>IFERROR(__xludf.DUMMYFUNCTION("""COMPUTED_VALUE"""),"#N/A")</f>
        <v>#N/A</v>
      </c>
      <c r="AJ45" s="9" t="s">
        <v>233</v>
      </c>
      <c r="AM45" s="9" t="s">
        <v>219</v>
      </c>
      <c r="AN45" s="6" t="str">
        <f>IFERROR(__xludf.DUMMYFUNCTION("IF(OR(AJ45=""general_brand"",AJ45=""external"",AJ45=""unknown""),"""",IF(AJ45=""product_line"",IF(AK45=""START"",""Аналитика старт | Алгоритмы старт | Backend старт | ML старт"",IF(AK45=""PRO"",""AI-агенты про | Алгоритмы про | Аналитика про | ML про | Ba"&amp;"ckend про"",IF(AK45=""START | PRO"",""Аналитика старт | Алгоритмы старт | Backend старт | ML старт | AI-агенты про | Алгоритмы про | Аналитика про | ML про | Backend про"",""""))),TEXTJOIN("" | "",TRUE,IF(REGEXMATCH(LOWER(AL45&amp;"" | ""&amp;E45),""аналитика ста"&amp;"рт""),""Аналитика старт"",""""),IF(REGEXMATCH(LOWER(AL45&amp;"" | ""&amp;E45),""алгоритмы старт""),""Алгоритмы старт"",""""),IF(REGEXMATCH(LOWER(AL45&amp;"" | ""&amp;E45),""backend старт""),""Backend старт"",""""),IF(REGEXMATCH(LOWER(AL45&amp;"" | ""&amp;E45),""ml старт""),""ML "&amp;"старт"",""""),IF(REGEXMATCH(LOWER(AL45&amp;"" | ""&amp;E45),""ai[ -]?агент""),""AI-агенты про"",""""),IF(REGEXMATCH(LOWER(AL45&amp;"" | ""&amp;E45),""алгоритмы про""),""Алгоритмы про"",""""),IF(REGEXMATCH(LOWER(AL45&amp;"" | ""&amp;E45),""аналитика про""),""Аналитика про"","""")"&amp;",IF(REGEXMATCH(LOWER(AL45&amp;"" | ""&amp;E45),""ml про""),""ML про"",""""),IF(REGEXMATCH(LOWER(AL45&amp;"" | ""&amp;E45),""backend про""),""Backend про"",""""),IF(REGEXMATCH(LOWER(AL45&amp;"" | ""&amp;E45),""(а/в|ав|а в|ab)[ -]?тест""),""А/В-тесты"",""""),IF(REGEXMATCH(LOWER(AL"&amp;"45&amp;"" | ""&amp;E45),""data science""),""Data science"",""""),IF(REGEXMATCH(LOWER(AL45&amp;"" | ""&amp;E45),""data[- ]?инжен""),""Data-инженер"",""""),IF(REGEXMATCH(LOWER(AL45&amp;"" | ""&amp;E45),""frontend""),""Frontend"",""""))))"),"")</f>
        <v/>
      </c>
    </row>
    <row r="46">
      <c r="A46" s="6" t="str">
        <f>IFERROR(__xludf.DUMMYFUNCTION("""COMPUTED_VALUE"""),"INT-1829")</f>
        <v>INT-1829</v>
      </c>
      <c r="B46" s="6" t="str">
        <f>IFERROR(__xludf.DUMMYFUNCTION("""COMPUTED_VALUE"""),"2026-08-04 18:50:24")</f>
        <v>2026-08-04 18:50:24</v>
      </c>
      <c r="C46" s="6" t="str">
        <f>IFERROR(__xludf.DUMMYFUNCTION("""COMPUTED_VALUE"""),"@postypashki_old")</f>
        <v>@postypashki_old</v>
      </c>
      <c r="D46" s="4" t="str">
        <f>IFERROR(__xludf.DUMMYFUNCTION("""COMPUTED_VALUE"""),"Прочий контент")</f>
        <v>Прочий контент</v>
      </c>
      <c r="E46" s="6"/>
      <c r="F46" s="6" t="str">
        <f>IFERROR(__xludf.DUMMYFUNCTION("""COMPUTED_VALUE"""),"")</f>
        <v/>
      </c>
      <c r="G46" s="6" t="str">
        <f>IFERROR(__xludf.DUMMYFUNCTION("""COMPUTED_VALUE"""),"postypashki_old/1829")</f>
        <v>postypashki_old/1829</v>
      </c>
      <c r="H46" s="6" t="str">
        <f>IFERROR(__xludf.DUMMYFUNCTION("""COMPUTED_VALUE"""),"C какими айтишницами стоит строить отношения, а какие - ред флаг? В новом ролике разобрал все бигтехи по фактам: Яндекс, ВК, Т-банк, Озон, Сбер. Смотрим! Смотрим! И не говорите потом, что не предупреждал! 
https://www.youtube.com/shorts/d_lUVE5oo7A")</f>
        <v>C какими айтишницами стоит строить отношения, а какие - ред флаг? В новом ролике разобрал все бигтехи по фактам: Яндекс, ВК, Т-банк, Озон, Сбер. Смотрим! Смотрим! И не говорите потом, что не предупреждал! 
https://www.youtube.com/shorts/d_lUVE5oo7A</v>
      </c>
      <c r="I46" s="6" t="str">
        <f>IFERROR(__xludf.DUMMYFUNCTION("""COMPUTED_VALUE"""),"internal")</f>
        <v>internal</v>
      </c>
      <c r="J46" s="10" t="str">
        <f>IFERROR(__xludf.DUMMYFUNCTION("""COMPUTED_VALUE"""),"https://t.me/postypashki_old/1829")</f>
        <v>https://t.me/postypashki_old/1829</v>
      </c>
      <c r="K46" s="6">
        <f>IFERROR(__xludf.DUMMYFUNCTION("""COMPUTED_VALUE"""),19000.0)</f>
        <v>19000</v>
      </c>
      <c r="L46" s="6">
        <f>IFERROR(__xludf.DUMMYFUNCTION("""COMPUTED_VALUE"""),126.0)</f>
        <v>126</v>
      </c>
      <c r="M46" s="6" t="str">
        <f>IFERROR(__xludf.DUMMYFUNCTION("""COMPUTED_VALUE"""),"")</f>
        <v/>
      </c>
      <c r="N46" s="6" t="str">
        <f>IFERROR(__xludf.DUMMYFUNCTION("""COMPUTED_VALUE"""),"Telegram")</f>
        <v>Telegram</v>
      </c>
      <c r="O46" s="6" t="str">
        <f>IFERROR(__xludf.DUMMYFUNCTION("""COMPUTED_VALUE"""),"raw")</f>
        <v>raw</v>
      </c>
      <c r="P46" s="6" t="str">
        <f>IFERROR(__xludf.DUMMYFUNCTION("""COMPUTED_VALUE"""),"Codex")</f>
        <v>Codex</v>
      </c>
      <c r="Q46" s="6" t="str">
        <f>IFERROR(__xludf.DUMMYFUNCTION("""COMPUTED_VALUE"""),"C какими айтишницами стоит строить отношения, а какие - ред флаг? В новом ролике разобрал все бигтехи по фактам: Яндекс, ВК, Т-банк, Озон, Сбер. Смотрим! Смотрим! И не говорите пот")</f>
        <v>C какими айтишницами стоит строить отношения, а какие - ред флаг? В новом ролике разобрал все бигтехи по фактам: Яндекс, ВК, Т-банк, Озон, Сбер. Смотрим! Смотрим! И не говорите пот</v>
      </c>
      <c r="R46" s="6" t="str">
        <f>IFERROR(__xludf.DUMMYFUNCTION("""COMPUTED_VALUE"""),"internal")</f>
        <v>internal</v>
      </c>
      <c r="S46" s="6" t="str">
        <f>IFERROR(__xludf.DUMMYFUNCTION("""COMPUTED_VALUE"""),"unknown")</f>
        <v>unknown</v>
      </c>
      <c r="T46" s="6" t="str">
        <f>IFERROR(__xludf.DUMMYFUNCTION("""COMPUTED_VALUE"""),"telegram_internal")</f>
        <v>telegram_internal</v>
      </c>
      <c r="U46" s="6" t="str">
        <f>IFERROR(__xludf.DUMMYFUNCTION("""COMPUTED_VALUE"""),"Прочий контент")</f>
        <v>Прочий контент</v>
      </c>
      <c r="V46" s="6" t="str">
        <f>IFERROR(__xludf.DUMMYFUNCTION("""COMPUTED_VALUE"""),"Период продаж")</f>
        <v>Период продаж</v>
      </c>
      <c r="W46" s="6" t="str">
        <f>IFERROR(__xludf.DUMMYFUNCTION("""COMPUTED_VALUE"""),"Видео")</f>
        <v>Видео</v>
      </c>
      <c r="X46" s="6"/>
      <c r="Y46" s="6" t="str">
        <f>IFERROR(__xludf.DUMMYFUNCTION("""COMPUTED_VALUE"""),"")</f>
        <v/>
      </c>
      <c r="Z46" s="6" t="str">
        <f>IFERROR(__xludf.DUMMYFUNCTION("""COMPUTED_VALUE"""),"")</f>
        <v/>
      </c>
      <c r="AA46" s="6" t="b">
        <f>IFERROR(__xludf.DUMMYFUNCTION("""COMPUTED_VALUE"""),FALSE)</f>
        <v>0</v>
      </c>
      <c r="AB46" s="6" t="b">
        <f>IFERROR(__xludf.DUMMYFUNCTION("""COMPUTED_VALUE"""),FALSE)</f>
        <v>0</v>
      </c>
      <c r="AC46" s="6" t="b">
        <f>IFERROR(__xludf.DUMMYFUNCTION("""COMPUTED_VALUE"""),FALSE)</f>
        <v>0</v>
      </c>
      <c r="AD46" s="6" t="b">
        <f>IFERROR(__xludf.DUMMYFUNCTION("""COMPUTED_VALUE"""),FALSE)</f>
        <v>0</v>
      </c>
      <c r="AE46" s="6"/>
      <c r="AF46" s="6" t="b">
        <f>IFERROR(__xludf.DUMMYFUNCTION("""COMPUTED_VALUE"""),FALSE)</f>
        <v>0</v>
      </c>
      <c r="AG46" s="6" t="str">
        <f>IFERROR(__xludf.DUMMYFUNCTION("""COMPUTED_VALUE"""),"2026-08-04T15:50:24+00:00")</f>
        <v>2026-08-04T15:50:24+00:00</v>
      </c>
      <c r="AH46" s="6" t="str">
        <f>IFERROR(__xludf.DUMMYFUNCTION("""COMPUTED_VALUE"""),"")</f>
        <v/>
      </c>
      <c r="AI46" s="6" t="str">
        <f>IFERROR(__xludf.DUMMYFUNCTION("""COMPUTED_VALUE"""),"#N/A")</f>
        <v>#N/A</v>
      </c>
      <c r="AJ46" s="9" t="s">
        <v>208</v>
      </c>
      <c r="AM46" s="9" t="s">
        <v>229</v>
      </c>
      <c r="AN46" s="6" t="str">
        <f>IFERROR(__xludf.DUMMYFUNCTION("IF(OR(AJ46=""general_brand"",AJ46=""external"",AJ46=""unknown""),"""",IF(AJ46=""product_line"",IF(AK46=""START"",""Аналитика старт | Алгоритмы старт | Backend старт | ML старт"",IF(AK46=""PRO"",""AI-агенты про | Алгоритмы про | Аналитика про | ML про | Ba"&amp;"ckend про"",IF(AK46=""START | PRO"",""Аналитика старт | Алгоритмы старт | Backend старт | ML старт | AI-агенты про | Алгоритмы про | Аналитика про | ML про | Backend про"",""""))),TEXTJOIN("" | "",TRUE,IF(REGEXMATCH(LOWER(AL46&amp;"" | ""&amp;E46),""аналитика ста"&amp;"рт""),""Аналитика старт"",""""),IF(REGEXMATCH(LOWER(AL46&amp;"" | ""&amp;E46),""алгоритмы старт""),""Алгоритмы старт"",""""),IF(REGEXMATCH(LOWER(AL46&amp;"" | ""&amp;E46),""backend старт""),""Backend старт"",""""),IF(REGEXMATCH(LOWER(AL46&amp;"" | ""&amp;E46),""ml старт""),""ML "&amp;"старт"",""""),IF(REGEXMATCH(LOWER(AL46&amp;"" | ""&amp;E46),""ai[ -]?агент""),""AI-агенты про"",""""),IF(REGEXMATCH(LOWER(AL46&amp;"" | ""&amp;E46),""алгоритмы про""),""Алгоритмы про"",""""),IF(REGEXMATCH(LOWER(AL46&amp;"" | ""&amp;E46),""аналитика про""),""Аналитика про"","""")"&amp;",IF(REGEXMATCH(LOWER(AL46&amp;"" | ""&amp;E46),""ml про""),""ML про"",""""),IF(REGEXMATCH(LOWER(AL46&amp;"" | ""&amp;E46),""backend про""),""Backend про"",""""),IF(REGEXMATCH(LOWER(AL46&amp;"" | ""&amp;E46),""(а/в|ав|а в|ab)[ -]?тест""),""А/В-тесты"",""""),IF(REGEXMATCH(LOWER(AL"&amp;"46&amp;"" | ""&amp;E46),""data science""),""Data science"",""""),IF(REGEXMATCH(LOWER(AL46&amp;"" | ""&amp;E46),""data[- ]?инжен""),""Data-инженер"",""""),IF(REGEXMATCH(LOWER(AL46&amp;"" | ""&amp;E46),""frontend""),""Frontend"",""""))))"),"")</f>
        <v/>
      </c>
    </row>
    <row r="47">
      <c r="A47" s="6" t="str">
        <f>IFERROR(__xludf.DUMMYFUNCTION("""COMPUTED_VALUE"""),"INT-1830")</f>
        <v>INT-1830</v>
      </c>
      <c r="B47" s="6" t="str">
        <f>IFERROR(__xludf.DUMMYFUNCTION("""COMPUTED_VALUE"""),"2026-08-05 19:03:53")</f>
        <v>2026-08-05 19:03:53</v>
      </c>
      <c r="C47" s="6" t="str">
        <f>IFERROR(__xludf.DUMMYFUNCTION("""COMPUTED_VALUE"""),"@postypashki_old")</f>
        <v>@postypashki_old</v>
      </c>
      <c r="D47" s="4" t="str">
        <f>IFERROR(__xludf.DUMMYFUNCTION("""COMPUTED_VALUE"""),"Контент с упоминанием")</f>
        <v>Контент с упоминанием</v>
      </c>
      <c r="E47" s="6"/>
      <c r="F47" s="6" t="str">
        <f>IFERROR(__xludf.DUMMYFUNCTION("""COMPUTED_VALUE"""),"")</f>
        <v/>
      </c>
      <c r="G47" s="6" t="str">
        <f>IFERROR(__xludf.DUMMYFUNCTION("""COMPUTED_VALUE"""),"postypashki_old/1830")</f>
        <v>postypashki_old/1830</v>
      </c>
      <c r="H47" s="6" t="str">
        <f>IFERROR(__xludf.DUMMYFUNCTION("""COMPUTED_VALUE"""),"Как повысить профессиональный рейтинг 
Раньше было достаточно откликнуться на вакансию в красном демоне и ждать приглашения на собес. Сейчас - нет. Количество кандидатов растёт, вакансий становится меньше, а ИИ уже проходит базовые собесы. Теперь нужно в"&amp;"кладываться в личный бренд и нетворкинг, чтобы рекрутеры бегали за тобой, а не наоборот. Разобрал популярные способы, которые реально работают.
Статьи
Отличный способ, чтобы апнуться в теме как специалист, потому что параллельно придется перебрать немало"&amp;" материалов, чтобы не наврать, не ошибиться или просто для вдохновения. Вдохновиться написать статью несложно: просто заварите кофе, откройте статьи/посты по своей теме и записывайте все идеи, которые пришли в голову. 
Статьи можно публиковать на LinkedIn"&amp;", собирая лайки и прокачивая свой профиль. В комментариях к своей статьи можно законектиться с заряженными специалистами. И также статьи можно прикладывать при подаче на талантливые визы вроде O1 в США. 
Конференции
Статьи отлично подготавливают почву к "&amp;"выступлениям. Выступать обязательно для умного и классного специалиста, особенно если метишь в лиды/руководители. Когда у тебя микрофон, все вокруг думают, что ты - очень умный и классный. Когда тема выступления придумана, просто составь список всех конфе"&amp;"ренций по этой теме на ближайший год, запишись, подготовь презентацию и отрепетируй речь, возможные вопросы аудитории (в том числе и злые вопросы).
Пет проекты
Необязательно реализовывать целый проект, достаточно предложить небольшое улучшение в библиоте"&amp;"ку с открытым исходным кодом. Или можно поиграться с какой-то технологией, до которой давно не доходили руки. Или сделать SaaS-сервис. 
Соревнования 
Хакатоны, Kagglы, Codeforcesы, Game Jamы, Кейс-чемпионаты - все это способы для нетворка, повышения само"&amp;"оценки и расширения социальных связей. Если нужна команда, ее можно собрать прям во время чемпиона в нашем чате.
Как конектиться 
Все эти способы - способы качественного нетворкинга. Например, пришел на конференцию, послушал доклад. И либо подошел в живу"&amp;"ю пообщался, либо напиши в LinkenId: ""Слушал тебя сегодня на конференции Х, очень крутой доклад, спасибо! Расскажи побольше про твою компанию"". Обязательно начни с комплимента и улыбнись - внимание и признание их труда очень располагает людей. И после т"&amp;"воих слов ""Видел у вас классная должность открыта"", он уже готов дать тебе рефер и все, что захочешь. И все вот тебе друг и коллега. Так же по аналогии можно делать со всеми активностями выше. 
Итого
Тебе необязательно должны нравится все эти активност"&amp;"и. Попробуй и выбери, что по душе. Главное помни, что эти активности скорее хобби, а не про зарабатывание денег здесь и сейчас. Они нужны для твоего роста как специалиста и прокачки нетворкинга, что уже потом пригодиться при поиске работы/проектов, рефера"&amp;"лов. К тому же, если метишь в лиды/руководители, то тебе просто необходимо повышать свой социальный рейтинг и багаж. 
Подписаться: @postypashki_old")</f>
        <v>Как повысить профессиональный рейтинг 
Раньше было достаточно откликнуться на вакансию в красном демоне и ждать приглашения на собес. Сейчас - нет. Количество кандидатов растёт, вакансий становится меньше, а ИИ уже проходит базовые собесы. Теперь нужно вкладываться в личный бренд и нетворкинг, чтобы рекрутеры бегали за тобой, а не наоборот. Разобрал популярные способы, которые реально работают.
Статьи
Отличный способ, чтобы апнуться в теме как специалист, потому что параллельно придется перебрать немало материалов, чтобы не наврать, не ошибиться или просто для вдохновения. Вдохновиться написать статью несложно: просто заварите кофе, откройте статьи/посты по своей теме и записывайте все идеи, которые пришли в голову. 
Статьи можно публиковать на LinkedIn, собирая лайки и прокачивая свой профиль. В комментариях к своей статьи можно законектиться с заряженными специалистами. И также статьи можно прикладывать при подаче на талантливые визы вроде O1 в США. 
Конференции
Статьи отлично подготавливают почву к выступлениям. Выступать обязательно для умного и классного специалиста, особенно если метишь в лиды/руководители. Когда у тебя микрофон, все вокруг думают, что ты - очень умный и классный. Когда тема выступления придумана, просто составь список всех конференций по этой теме на ближайший год, запишись, подготовь презентацию и отрепетируй речь, возможные вопросы аудитории (в том числе и злые вопросы).
Пет проекты
Необязательно реализовывать целый проект, достаточно предложить небольшое улучшение в библиотеку с открытым исходным кодом. Или можно поиграться с какой-то технологией, до которой давно не доходили руки. Или сделать SaaS-сервис. 
Соревнования 
Хакатоны, Kagglы, Codeforcesы, Game Jamы, Кейс-чемпионаты - все это способы для нетворка, повышения самооценки и расширения социальных связей. Если нужна команда, ее можно собрать прям во время чемпиона в нашем чате.
Как конектиться 
Все эти способы - способы качественного нетворкинга. Например, пришел на конференцию, послушал доклад. И либо подошел в живую пообщался, либо напиши в LinkenId: "Слушал тебя сегодня на конференции Х, очень крутой доклад, спасибо! Расскажи побольше про твою компанию". Обязательно начни с комплимента и улыбнись - внимание и признание их труда очень располагает людей. И после твоих слов "Видел у вас классная должность открыта", он уже готов дать тебе рефер и все, что захочешь. И все вот тебе друг и коллега. Так же по аналогии можно делать со всеми активностями выше. 
Итого
Тебе необязательно должны нравится все эти активности. Попробуй и выбери, что по душе. Главное помни, что эти активности скорее хобби, а не про зарабатывание денег здесь и сейчас. Они нужны для твоего роста как специалиста и прокачки нетворкинга, что уже потом пригодиться при поиске работы/проектов, рефералов. К тому же, если метишь в лиды/руководители, то тебе просто необходимо повышать свой социальный рейтинг и багаж. 
Подписаться: @postypashki_old</v>
      </c>
      <c r="I47" s="6" t="str">
        <f>IFERROR(__xludf.DUMMYFUNCTION("""COMPUTED_VALUE"""),"internal")</f>
        <v>internal</v>
      </c>
      <c r="J47" s="10" t="str">
        <f>IFERROR(__xludf.DUMMYFUNCTION("""COMPUTED_VALUE"""),"https://t.me/postypashki_old/1830")</f>
        <v>https://t.me/postypashki_old/1830</v>
      </c>
      <c r="K47" s="6">
        <f>IFERROR(__xludf.DUMMYFUNCTION("""COMPUTED_VALUE"""),18700.0)</f>
        <v>18700</v>
      </c>
      <c r="L47" s="6">
        <f>IFERROR(__xludf.DUMMYFUNCTION("""COMPUTED_VALUE"""),79.0)</f>
        <v>79</v>
      </c>
      <c r="M47" s="6" t="str">
        <f>IFERROR(__xludf.DUMMYFUNCTION("""COMPUTED_VALUE"""),"")</f>
        <v/>
      </c>
      <c r="N47" s="6" t="str">
        <f>IFERROR(__xludf.DUMMYFUNCTION("""COMPUTED_VALUE"""),"Telegram")</f>
        <v>Telegram</v>
      </c>
      <c r="O47" s="6" t="str">
        <f>IFERROR(__xludf.DUMMYFUNCTION("""COMPUTED_VALUE"""),"raw")</f>
        <v>raw</v>
      </c>
      <c r="P47" s="6" t="str">
        <f>IFERROR(__xludf.DUMMYFUNCTION("""COMPUTED_VALUE"""),"Codex")</f>
        <v>Codex</v>
      </c>
      <c r="Q47" s="6" t="str">
        <f>IFERROR(__xludf.DUMMYFUNCTION("""COMPUTED_VALUE"""),"Как повысить профессиональный рейтинг Раньше было достаточно откликнуться на вакансию в красном демоне и ждать приглашения на собес. Сейчас - нет. Количество кандидатов растёт, вак")</f>
        <v>Как повысить профессиональный рейтинг Раньше было достаточно откликнуться на вакансию в красном демоне и ждать приглашения на собес. Сейчас - нет. Количество кандидатов растёт, вак</v>
      </c>
      <c r="R47" s="6" t="str">
        <f>IFERROR(__xludf.DUMMYFUNCTION("""COMPUTED_VALUE"""),"internal")</f>
        <v>internal</v>
      </c>
      <c r="S47" s="6" t="str">
        <f>IFERROR(__xludf.DUMMYFUNCTION("""COMPUTED_VALUE"""),"unknown")</f>
        <v>unknown</v>
      </c>
      <c r="T47" s="6" t="str">
        <f>IFERROR(__xludf.DUMMYFUNCTION("""COMPUTED_VALUE"""),"telegram_internal")</f>
        <v>telegram_internal</v>
      </c>
      <c r="U47" s="6" t="str">
        <f>IFERROR(__xludf.DUMMYFUNCTION("""COMPUTED_VALUE"""),"Контент с упоминанием")</f>
        <v>Контент с упоминанием</v>
      </c>
      <c r="V47" s="6" t="str">
        <f>IFERROR(__xludf.DUMMYFUNCTION("""COMPUTED_VALUE"""),"Период продаж")</f>
        <v>Период продаж</v>
      </c>
      <c r="W47" s="6"/>
      <c r="X47" s="6"/>
      <c r="Y47" s="6" t="str">
        <f>IFERROR(__xludf.DUMMYFUNCTION("""COMPUTED_VALUE"""),"")</f>
        <v/>
      </c>
      <c r="Z47" s="6" t="str">
        <f>IFERROR(__xludf.DUMMYFUNCTION("""COMPUTED_VALUE"""),"")</f>
        <v/>
      </c>
      <c r="AA47" s="6" t="b">
        <f>IFERROR(__xludf.DUMMYFUNCTION("""COMPUTED_VALUE"""),TRUE)</f>
        <v>1</v>
      </c>
      <c r="AB47" s="6" t="b">
        <f>IFERROR(__xludf.DUMMYFUNCTION("""COMPUTED_VALUE"""),FALSE)</f>
        <v>0</v>
      </c>
      <c r="AC47" s="6" t="b">
        <f>IFERROR(__xludf.DUMMYFUNCTION("""COMPUTED_VALUE"""),FALSE)</f>
        <v>0</v>
      </c>
      <c r="AD47" s="6" t="b">
        <f>IFERROR(__xludf.DUMMYFUNCTION("""COMPUTED_VALUE"""),FALSE)</f>
        <v>0</v>
      </c>
      <c r="AE47" s="6"/>
      <c r="AF47" s="6" t="b">
        <f>IFERROR(__xludf.DUMMYFUNCTION("""COMPUTED_VALUE"""),FALSE)</f>
        <v>0</v>
      </c>
      <c r="AG47" s="6" t="str">
        <f>IFERROR(__xludf.DUMMYFUNCTION("""COMPUTED_VALUE"""),"2026-08-05T16:03:53+00:00")</f>
        <v>2026-08-05T16:03:53+00:00</v>
      </c>
      <c r="AH47" s="6" t="str">
        <f>IFERROR(__xludf.DUMMYFUNCTION("""COMPUTED_VALUE"""),"")</f>
        <v/>
      </c>
      <c r="AI47" s="6" t="str">
        <f>IFERROR(__xludf.DUMMYFUNCTION("""COMPUTED_VALUE"""),"#N/A")</f>
        <v>#N/A</v>
      </c>
      <c r="AJ47" s="9" t="s">
        <v>233</v>
      </c>
      <c r="AM47" s="9" t="s">
        <v>219</v>
      </c>
      <c r="AN47" s="6" t="str">
        <f>IFERROR(__xludf.DUMMYFUNCTION("IF(OR(AJ47=""general_brand"",AJ47=""external"",AJ47=""unknown""),"""",IF(AJ47=""product_line"",IF(AK47=""START"",""Аналитика старт | Алгоритмы старт | Backend старт | ML старт"",IF(AK47=""PRO"",""AI-агенты про | Алгоритмы про | Аналитика про | ML про | Ba"&amp;"ckend про"",IF(AK47=""START | PRO"",""Аналитика старт | Алгоритмы старт | Backend старт | ML старт | AI-агенты про | Алгоритмы про | Аналитика про | ML про | Backend про"",""""))),TEXTJOIN("" | "",TRUE,IF(REGEXMATCH(LOWER(AL47&amp;"" | ""&amp;E47),""аналитика ста"&amp;"рт""),""Аналитика старт"",""""),IF(REGEXMATCH(LOWER(AL47&amp;"" | ""&amp;E47),""алгоритмы старт""),""Алгоритмы старт"",""""),IF(REGEXMATCH(LOWER(AL47&amp;"" | ""&amp;E47),""backend старт""),""Backend старт"",""""),IF(REGEXMATCH(LOWER(AL47&amp;"" | ""&amp;E47),""ml старт""),""ML "&amp;"старт"",""""),IF(REGEXMATCH(LOWER(AL47&amp;"" | ""&amp;E47),""ai[ -]?агент""),""AI-агенты про"",""""),IF(REGEXMATCH(LOWER(AL47&amp;"" | ""&amp;E47),""алгоритмы про""),""Алгоритмы про"",""""),IF(REGEXMATCH(LOWER(AL47&amp;"" | ""&amp;E47),""аналитика про""),""Аналитика про"","""")"&amp;",IF(REGEXMATCH(LOWER(AL47&amp;"" | ""&amp;E47),""ml про""),""ML про"",""""),IF(REGEXMATCH(LOWER(AL47&amp;"" | ""&amp;E47),""backend про""),""Backend про"",""""),IF(REGEXMATCH(LOWER(AL47&amp;"" | ""&amp;E47),""(а/в|ав|а в|ab)[ -]?тест""),""А/В-тесты"",""""),IF(REGEXMATCH(LOWER(AL"&amp;"47&amp;"" | ""&amp;E47),""data science""),""Data science"",""""),IF(REGEXMATCH(LOWER(AL47&amp;"" | ""&amp;E47),""data[- ]?инжен""),""Data-инженер"",""""),IF(REGEXMATCH(LOWER(AL47&amp;"" | ""&amp;E47),""frontend""),""Frontend"",""""))))"),"")</f>
        <v/>
      </c>
    </row>
    <row r="48">
      <c r="A48" s="6" t="str">
        <f>IFERROR(__xludf.DUMMYFUNCTION("""COMPUTED_VALUE"""),"INT-1831")</f>
        <v>INT-1831</v>
      </c>
      <c r="B48" s="6" t="str">
        <f>IFERROR(__xludf.DUMMYFUNCTION("""COMPUTED_VALUE"""),"2026-08-06 19:23:59")</f>
        <v>2026-08-06 19:23:59</v>
      </c>
      <c r="C48" s="6" t="str">
        <f>IFERROR(__xludf.DUMMYFUNCTION("""COMPUTED_VALUE"""),"@postypashki_old")</f>
        <v>@postypashki_old</v>
      </c>
      <c r="D48" s="4" t="str">
        <f>IFERROR(__xludf.DUMMYFUNCTION("""COMPUTED_VALUE"""),"Прочий контент")</f>
        <v>Прочий контент</v>
      </c>
      <c r="E48" s="6"/>
      <c r="F48" s="6" t="str">
        <f>IFERROR(__xludf.DUMMYFUNCTION("""COMPUTED_VALUE"""),"")</f>
        <v/>
      </c>
      <c r="G48" s="6" t="str">
        <f>IFERROR(__xludf.DUMMYFUNCTION("""COMPUTED_VALUE"""),"postypashki_old/1831")</f>
        <v>postypashki_old/1831</v>
      </c>
      <c r="H48" s="6" t="str">
        <f>IFERROR(__xludf.DUMMYFUNCTION("""COMPUTED_VALUE"""),"Какие пет проекты гарантирует тебе оффер на мл-инженера? Обсудим в новом ролике. Смотрим! Смотрим!
https://www.youtube.com/watch?v=KTkqc4tY5Wk&amp;t=43s")</f>
        <v>Какие пет проекты гарантирует тебе оффер на мл-инженера? Обсудим в новом ролике. Смотрим! Смотрим!
https://www.youtube.com/watch?v=KTkqc4tY5Wk&amp;t=43s</v>
      </c>
      <c r="I48" s="6" t="str">
        <f>IFERROR(__xludf.DUMMYFUNCTION("""COMPUTED_VALUE"""),"internal")</f>
        <v>internal</v>
      </c>
      <c r="J48" s="10" t="str">
        <f>IFERROR(__xludf.DUMMYFUNCTION("""COMPUTED_VALUE"""),"https://t.me/postypashki_old/1831")</f>
        <v>https://t.me/postypashki_old/1831</v>
      </c>
      <c r="K48" s="6">
        <f>IFERROR(__xludf.DUMMYFUNCTION("""COMPUTED_VALUE"""),17800.0)</f>
        <v>17800</v>
      </c>
      <c r="L48" s="6">
        <f>IFERROR(__xludf.DUMMYFUNCTION("""COMPUTED_VALUE"""),44.0)</f>
        <v>44</v>
      </c>
      <c r="M48" s="6" t="str">
        <f>IFERROR(__xludf.DUMMYFUNCTION("""COMPUTED_VALUE"""),"")</f>
        <v/>
      </c>
      <c r="N48" s="6" t="str">
        <f>IFERROR(__xludf.DUMMYFUNCTION("""COMPUTED_VALUE"""),"Telegram")</f>
        <v>Telegram</v>
      </c>
      <c r="O48" s="6" t="str">
        <f>IFERROR(__xludf.DUMMYFUNCTION("""COMPUTED_VALUE"""),"raw")</f>
        <v>raw</v>
      </c>
      <c r="P48" s="6" t="str">
        <f>IFERROR(__xludf.DUMMYFUNCTION("""COMPUTED_VALUE"""),"Codex")</f>
        <v>Codex</v>
      </c>
      <c r="Q48" s="6" t="str">
        <f>IFERROR(__xludf.DUMMYFUNCTION("""COMPUTED_VALUE"""),"Какие пет проекты гарантирует тебе оффер на мл-инженера? Обсудим в новом ролике. Смотрим! Смотрим! https://www.youtube.com/watch?v=KTkqc4tY5Wk&amp;t=43s")</f>
        <v>Какие пет проекты гарантирует тебе оффер на мл-инженера? Обсудим в новом ролике. Смотрим! Смотрим! https://www.youtube.com/watch?v=KTkqc4tY5Wk&amp;t=43s</v>
      </c>
      <c r="R48" s="6" t="str">
        <f>IFERROR(__xludf.DUMMYFUNCTION("""COMPUTED_VALUE"""),"internal")</f>
        <v>internal</v>
      </c>
      <c r="S48" s="6" t="str">
        <f>IFERROR(__xludf.DUMMYFUNCTION("""COMPUTED_VALUE"""),"unknown")</f>
        <v>unknown</v>
      </c>
      <c r="T48" s="6" t="str">
        <f>IFERROR(__xludf.DUMMYFUNCTION("""COMPUTED_VALUE"""),"telegram_internal")</f>
        <v>telegram_internal</v>
      </c>
      <c r="U48" s="6" t="str">
        <f>IFERROR(__xludf.DUMMYFUNCTION("""COMPUTED_VALUE"""),"Прочий контент")</f>
        <v>Прочий контент</v>
      </c>
      <c r="V48" s="6" t="str">
        <f>IFERROR(__xludf.DUMMYFUNCTION("""COMPUTED_VALUE"""),"Период продаж")</f>
        <v>Период продаж</v>
      </c>
      <c r="W48" s="6"/>
      <c r="X48" s="6"/>
      <c r="Y48" s="6" t="str">
        <f>IFERROR(__xludf.DUMMYFUNCTION("""COMPUTED_VALUE"""),"")</f>
        <v/>
      </c>
      <c r="Z48" s="6" t="str">
        <f>IFERROR(__xludf.DUMMYFUNCTION("""COMPUTED_VALUE"""),"")</f>
        <v/>
      </c>
      <c r="AA48" s="6" t="b">
        <f>IFERROR(__xludf.DUMMYFUNCTION("""COMPUTED_VALUE"""),FALSE)</f>
        <v>0</v>
      </c>
      <c r="AB48" s="6" t="b">
        <f>IFERROR(__xludf.DUMMYFUNCTION("""COMPUTED_VALUE"""),FALSE)</f>
        <v>0</v>
      </c>
      <c r="AC48" s="6" t="b">
        <f>IFERROR(__xludf.DUMMYFUNCTION("""COMPUTED_VALUE"""),FALSE)</f>
        <v>0</v>
      </c>
      <c r="AD48" s="6" t="b">
        <f>IFERROR(__xludf.DUMMYFUNCTION("""COMPUTED_VALUE"""),FALSE)</f>
        <v>0</v>
      </c>
      <c r="AE48" s="6"/>
      <c r="AF48" s="6" t="b">
        <f>IFERROR(__xludf.DUMMYFUNCTION("""COMPUTED_VALUE"""),FALSE)</f>
        <v>0</v>
      </c>
      <c r="AG48" s="6" t="str">
        <f>IFERROR(__xludf.DUMMYFUNCTION("""COMPUTED_VALUE"""),"2026-08-06T16:23:59+00:00")</f>
        <v>2026-08-06T16:23:59+00:00</v>
      </c>
      <c r="AH48" s="6" t="str">
        <f>IFERROR(__xludf.DUMMYFUNCTION("""COMPUTED_VALUE"""),"")</f>
        <v/>
      </c>
      <c r="AI48" s="6" t="str">
        <f>IFERROR(__xludf.DUMMYFUNCTION("""COMPUTED_VALUE"""),"#N/A")</f>
        <v>#N/A</v>
      </c>
      <c r="AJ48" s="9" t="s">
        <v>208</v>
      </c>
      <c r="AM48" s="9" t="s">
        <v>226</v>
      </c>
      <c r="AN48" s="6" t="str">
        <f>IFERROR(__xludf.DUMMYFUNCTION("IF(OR(AJ48=""general_brand"",AJ48=""external"",AJ48=""unknown""),"""",IF(AJ48=""product_line"",IF(AK48=""START"",""Аналитика старт | Алгоритмы старт | Backend старт | ML старт"",IF(AK48=""PRO"",""AI-агенты про | Алгоритмы про | Аналитика про | ML про | Ba"&amp;"ckend про"",IF(AK48=""START | PRO"",""Аналитика старт | Алгоритмы старт | Backend старт | ML старт | AI-агенты про | Алгоритмы про | Аналитика про | ML про | Backend про"",""""))),TEXTJOIN("" | "",TRUE,IF(REGEXMATCH(LOWER(AL48&amp;"" | ""&amp;E48),""аналитика ста"&amp;"рт""),""Аналитика старт"",""""),IF(REGEXMATCH(LOWER(AL48&amp;"" | ""&amp;E48),""алгоритмы старт""),""Алгоритмы старт"",""""),IF(REGEXMATCH(LOWER(AL48&amp;"" | ""&amp;E48),""backend старт""),""Backend старт"",""""),IF(REGEXMATCH(LOWER(AL48&amp;"" | ""&amp;E48),""ml старт""),""ML "&amp;"старт"",""""),IF(REGEXMATCH(LOWER(AL48&amp;"" | ""&amp;E48),""ai[ -]?агент""),""AI-агенты про"",""""),IF(REGEXMATCH(LOWER(AL48&amp;"" | ""&amp;E48),""алгоритмы про""),""Алгоритмы про"",""""),IF(REGEXMATCH(LOWER(AL48&amp;"" | ""&amp;E48),""аналитика про""),""Аналитика про"","""")"&amp;",IF(REGEXMATCH(LOWER(AL48&amp;"" | ""&amp;E48),""ml про""),""ML про"",""""),IF(REGEXMATCH(LOWER(AL48&amp;"" | ""&amp;E48),""backend про""),""Backend про"",""""),IF(REGEXMATCH(LOWER(AL48&amp;"" | ""&amp;E48),""(а/в|ав|а в|ab)[ -]?тест""),""А/В-тесты"",""""),IF(REGEXMATCH(LOWER(AL"&amp;"48&amp;"" | ""&amp;E48),""data science""),""Data science"",""""),IF(REGEXMATCH(LOWER(AL48&amp;"" | ""&amp;E48),""data[- ]?инжен""),""Data-инженер"",""""),IF(REGEXMATCH(LOWER(AL48&amp;"" | ""&amp;E48),""frontend""),""Frontend"",""""))))"),"")</f>
        <v/>
      </c>
    </row>
    <row r="49">
      <c r="A49" s="6" t="str">
        <f>IFERROR(__xludf.DUMMYFUNCTION("""COMPUTED_VALUE"""),"INT-1833")</f>
        <v>INT-1833</v>
      </c>
      <c r="B49" s="6" t="str">
        <f>IFERROR(__xludf.DUMMYFUNCTION("""COMPUTED_VALUE"""),"2026-08-07 17:22:16")</f>
        <v>2026-08-07 17:22:16</v>
      </c>
      <c r="C49" s="6" t="str">
        <f>IFERROR(__xludf.DUMMYFUNCTION("""COMPUTED_VALUE"""),"@postypashki_old")</f>
        <v>@postypashki_old</v>
      </c>
      <c r="D49" s="4" t="str">
        <f>IFERROR(__xludf.DUMMYFUNCTION("""COMPUTED_VALUE"""),"Контент с упоминанием")</f>
        <v>Контент с упоминанием</v>
      </c>
      <c r="E49" s="6" t="str">
        <f>IFERROR(__xludf.DUMMYFUNCTION("""COMPUTED_VALUE"""),"Алгоритмы старт")</f>
        <v>Алгоритмы старт</v>
      </c>
      <c r="F49" s="6" t="str">
        <f>IFERROR(__xludf.DUMMYFUNCTION("""COMPUTED_VALUE"""),"")</f>
        <v/>
      </c>
      <c r="G49" s="6" t="str">
        <f>IFERROR(__xludf.DUMMYFUNCTION("""COMPUTED_VALUE"""),"postypashki_old/1833")</f>
        <v>postypashki_old/1833</v>
      </c>
      <c r="H49" s="6" t="str">
        <f>IFERROR(__xludf.DUMMYFUNCTION("""COMPUTED_VALUE"""),"Слив алгоритмического собеса в Авито. Смотрим! Смотрим! 
https://www.youtube.com/watch?v=dO8fHARGgZY&amp;sttick=0
Выкладываем запись мок-собеседования с курса алгоритмы старт по протоколу Авито. В Авито алгоритмы могут спросить на разработчика и мл специали"&amp;"ста - смотрите наш гайд по алгоритмам на собесах Авито. Если вы готовитесь к стажировкам или первой работе обязательно посмотрите!")</f>
        <v>Слив алгоритмического собеса в Авито. Смотрим! Смотрим! 
https://www.youtube.com/watch?v=dO8fHARGgZY&amp;sttick=0
Выкладываем запись мок-собеседования с курса алгоритмы старт по протоколу Авито. В Авито алгоритмы могут спросить на разработчика и мл специалиста - смотрите наш гайд по алгоритмам на собесах Авито. Если вы готовитесь к стажировкам или первой работе обязательно посмотрите!</v>
      </c>
      <c r="I49" s="6" t="str">
        <f>IFERROR(__xludf.DUMMYFUNCTION("""COMPUTED_VALUE"""),"internal")</f>
        <v>internal</v>
      </c>
      <c r="J49" s="10" t="str">
        <f>IFERROR(__xludf.DUMMYFUNCTION("""COMPUTED_VALUE"""),"https://t.me/postypashki_old/1833")</f>
        <v>https://t.me/postypashki_old/1833</v>
      </c>
      <c r="K49" s="6">
        <f>IFERROR(__xludf.DUMMYFUNCTION("""COMPUTED_VALUE"""),16400.0)</f>
        <v>16400</v>
      </c>
      <c r="L49" s="6">
        <f>IFERROR(__xludf.DUMMYFUNCTION("""COMPUTED_VALUE"""),25.0)</f>
        <v>25</v>
      </c>
      <c r="M49" s="6" t="str">
        <f>IFERROR(__xludf.DUMMYFUNCTION("""COMPUTED_VALUE"""),"")</f>
        <v/>
      </c>
      <c r="N49" s="6" t="str">
        <f>IFERROR(__xludf.DUMMYFUNCTION("""COMPUTED_VALUE"""),"Telegram")</f>
        <v>Telegram</v>
      </c>
      <c r="O49" s="6" t="str">
        <f>IFERROR(__xludf.DUMMYFUNCTION("""COMPUTED_VALUE"""),"raw")</f>
        <v>raw</v>
      </c>
      <c r="P49" s="6" t="str">
        <f>IFERROR(__xludf.DUMMYFUNCTION("""COMPUTED_VALUE"""),"Codex")</f>
        <v>Codex</v>
      </c>
      <c r="Q49" s="6" t="str">
        <f>IFERROR(__xludf.DUMMYFUNCTION("""COMPUTED_VALUE"""),"Слив алгоритмического собеса в Авито. Смотрим! Смотрим! https://www.youtube.com/watch?v=dO8fHARGgZY&amp;sttick=0 Выкладываем запись мок-собеседования с курса алгоритмы старт по протоко")</f>
        <v>Слив алгоритмического собеса в Авито. Смотрим! Смотрим! https://www.youtube.com/watch?v=dO8fHARGgZY&amp;sttick=0 Выкладываем запись мок-собеседования с курса алгоритмы старт по протоко</v>
      </c>
      <c r="R49" s="6" t="str">
        <f>IFERROR(__xludf.DUMMYFUNCTION("""COMPUTED_VALUE"""),"internal")</f>
        <v>internal</v>
      </c>
      <c r="S49" s="6" t="str">
        <f>IFERROR(__xludf.DUMMYFUNCTION("""COMPUTED_VALUE"""),"unknown")</f>
        <v>unknown</v>
      </c>
      <c r="T49" s="6" t="str">
        <f>IFERROR(__xludf.DUMMYFUNCTION("""COMPUTED_VALUE"""),"telegram_internal")</f>
        <v>telegram_internal</v>
      </c>
      <c r="U49" s="6" t="str">
        <f>IFERROR(__xludf.DUMMYFUNCTION("""COMPUTED_VALUE"""),"Контент с упоминанием")</f>
        <v>Контент с упоминанием</v>
      </c>
      <c r="V49" s="6" t="str">
        <f>IFERROR(__xludf.DUMMYFUNCTION("""COMPUTED_VALUE"""),"Период продаж")</f>
        <v>Период продаж</v>
      </c>
      <c r="W49" s="6"/>
      <c r="X49" s="6"/>
      <c r="Y49" s="6" t="str">
        <f>IFERROR(__xludf.DUMMYFUNCTION("""COMPUTED_VALUE"""),"")</f>
        <v/>
      </c>
      <c r="Z49" s="6" t="str">
        <f>IFERROR(__xludf.DUMMYFUNCTION("""COMPUTED_VALUE"""),"")</f>
        <v/>
      </c>
      <c r="AA49" s="6" t="b">
        <f>IFERROR(__xludf.DUMMYFUNCTION("""COMPUTED_VALUE"""),TRUE)</f>
        <v>1</v>
      </c>
      <c r="AB49" s="6" t="b">
        <f>IFERROR(__xludf.DUMMYFUNCTION("""COMPUTED_VALUE"""),FALSE)</f>
        <v>0</v>
      </c>
      <c r="AC49" s="6" t="b">
        <f>IFERROR(__xludf.DUMMYFUNCTION("""COMPUTED_VALUE"""),FALSE)</f>
        <v>0</v>
      </c>
      <c r="AD49" s="6" t="b">
        <f>IFERROR(__xludf.DUMMYFUNCTION("""COMPUTED_VALUE"""),FALSE)</f>
        <v>0</v>
      </c>
      <c r="AE49" s="6"/>
      <c r="AF49" s="6" t="b">
        <f>IFERROR(__xludf.DUMMYFUNCTION("""COMPUTED_VALUE"""),FALSE)</f>
        <v>0</v>
      </c>
      <c r="AG49" s="6" t="str">
        <f>IFERROR(__xludf.DUMMYFUNCTION("""COMPUTED_VALUE"""),"2026-08-07T14:22:16+00:00")</f>
        <v>2026-08-07T14:22:16+00:00</v>
      </c>
      <c r="AH49" s="6" t="str">
        <f>IFERROR(__xludf.DUMMYFUNCTION("""COMPUTED_VALUE"""),"")</f>
        <v/>
      </c>
      <c r="AI49" s="6" t="str">
        <f>IFERROR(__xludf.DUMMYFUNCTION("""COMPUTED_VALUE"""),"#N/A")</f>
        <v>#N/A</v>
      </c>
      <c r="AJ49" s="9" t="s">
        <v>224</v>
      </c>
      <c r="AK49" s="9" t="s">
        <v>213</v>
      </c>
      <c r="AL49" s="4" t="s">
        <v>234</v>
      </c>
      <c r="AM49" s="9" t="s">
        <v>235</v>
      </c>
      <c r="AN49" s="4" t="str">
        <f>IFERROR(__xludf.DUMMYFUNCTION("IF(OR(AJ49=""general_brand"",AJ49=""external"",AJ49=""unknown""),"""",IF(AJ49=""product_line"",IF(AK49=""START"",""Аналитика старт | Алгоритмы старт | Backend старт | ML старт"",IF(AK49=""PRO"",""AI-агенты про | Алгоритмы про | Аналитика про | ML про | Ba"&amp;"ckend про"",IF(AK49=""START | PRO"",""Аналитика старт | Алгоритмы старт | Backend старт | ML старт | AI-агенты про | Алгоритмы про | Аналитика про | ML про | Backend про"",""""))),TEXTJOIN("" | "",TRUE,IF(REGEXMATCH(LOWER(AL49&amp;"" | ""&amp;E49),""аналитика ста"&amp;"рт""),""Аналитика старт"",""""),IF(REGEXMATCH(LOWER(AL49&amp;"" | ""&amp;E49),""алгоритмы старт""),""Алгоритмы старт"",""""),IF(REGEXMATCH(LOWER(AL49&amp;"" | ""&amp;E49),""backend старт""),""Backend старт"",""""),IF(REGEXMATCH(LOWER(AL49&amp;"" | ""&amp;E49),""ml старт""),""ML "&amp;"старт"",""""),IF(REGEXMATCH(LOWER(AL49&amp;"" | ""&amp;E49),""ai[ -]?агент""),""AI-агенты про"",""""),IF(REGEXMATCH(LOWER(AL49&amp;"" | ""&amp;E49),""алгоритмы про""),""Алгоритмы про"",""""),IF(REGEXMATCH(LOWER(AL49&amp;"" | ""&amp;E49),""аналитика про""),""Аналитика про"","""")"&amp;",IF(REGEXMATCH(LOWER(AL49&amp;"" | ""&amp;E49),""ml про""),""ML про"",""""),IF(REGEXMATCH(LOWER(AL49&amp;"" | ""&amp;E49),""backend про""),""Backend про"",""""),IF(REGEXMATCH(LOWER(AL49&amp;"" | ""&amp;E49),""(а/в|ав|а в|ab)[ -]?тест""),""А/В-тесты"",""""),IF(REGEXMATCH(LOWER(AL"&amp;"49&amp;"" | ""&amp;E49),""data science""),""Data science"",""""),IF(REGEXMATCH(LOWER(AL49&amp;"" | ""&amp;E49),""data[- ]?инжен""),""Data-инженер"",""""),IF(REGEXMATCH(LOWER(AL49&amp;"" | ""&amp;E49),""frontend""),""Frontend"",""""))))"),"Алгоритмы старт")</f>
        <v>Алгоритмы старт</v>
      </c>
    </row>
    <row r="50">
      <c r="A50" s="6" t="str">
        <f>IFERROR(__xludf.DUMMYFUNCTION("""COMPUTED_VALUE"""),"INT-1834")</f>
        <v>INT-1834</v>
      </c>
      <c r="B50" s="6" t="str">
        <f>IFERROR(__xludf.DUMMYFUNCTION("""COMPUTED_VALUE"""),"2026-08-08 09:05:37")</f>
        <v>2026-08-08 09:05:37</v>
      </c>
      <c r="C50" s="6" t="str">
        <f>IFERROR(__xludf.DUMMYFUNCTION("""COMPUTED_VALUE"""),"@postypashki_old")</f>
        <v>@postypashki_old</v>
      </c>
      <c r="D50" s="4" t="str">
        <f>IFERROR(__xludf.DUMMYFUNCTION("""COMPUTED_VALUE"""),"Внешняя реклама")</f>
        <v>Внешняя реклама</v>
      </c>
      <c r="E50" s="6"/>
      <c r="F50" s="6" t="str">
        <f>IFERROR(__xludf.DUMMYFUNCTION("""COMPUTED_VALUE"""),"")</f>
        <v/>
      </c>
      <c r="G50" s="6" t="str">
        <f>IFERROR(__xludf.DUMMYFUNCTION("""COMPUTED_VALUE"""),"postypashki_old/1834")</f>
        <v>postypashki_old/1834</v>
      </c>
      <c r="H50" s="6" t="str">
        <f>IFERROR(__xludf.DUMMYFUNCTION("""COMPUTED_VALUE"""),"Магистратура по e-commerce от РУДН и Wildberries — для тех, кто хочет развиваться в электронной коммерции
Программа сочетает системный подход высшего образования РУДН и практику экспертов RWB — крупнейшего игрока российского e-commerce.
Для поступающих —"&amp;" скидка 10% на первый год обучения при оплате до 13 августа.
Также есть возможность оплатить первый семестр в рассрочку.
Магистратура подойдет специалистам, которые хотят строить или развивать карьеру в электронной коммерции, предпринимателям и выпускника"&amp;"м бакалавриата.
За два года обучения вы получите не только диплом магистра РУДН, но и практический опыт, знания о рынке электронной коммерции и возможность учиться у экспертов индустрии.
Обучение проходит онлайн — его можно совмещать с работой и развитие"&amp;"м собственного бизнеса.
Подать документы на поступление можно до 13 августа. 🚀
Реклама. ООО «РВБ». ИНН 9714053621. erid: 2SDnjcd9GCK")</f>
        <v>Магистратура по e-commerce от РУДН и Wildberries — для тех, кто хочет развиваться в электронной коммерции
Программа сочетает системный подход высшего образования РУДН и практику экспертов RWB — крупнейшего игрока российского e-commerce.
Для поступающих — скидка 10% на первый год обучения при оплате до 13 августа.
Также есть возможность оплатить первый семестр в рассрочку.
Магистратура подойдет специалистам, которые хотят строить или развивать карьеру в электронной коммерции, предпринимателям и выпускникам бакалавриата.
За два года обучения вы получите не только диплом магистра РУДН, но и практический опыт, знания о рынке электронной коммерции и возможность учиться у экспертов индустрии.
Обучение проходит онлайн — его можно совмещать с работой и развитием собственного бизнеса.
Подать документы на поступление можно до 13 августа. 🚀
Реклама. ООО «РВБ». ИНН 9714053621. erid: 2SDnjcd9GCK</v>
      </c>
      <c r="I50" s="6" t="str">
        <f>IFERROR(__xludf.DUMMYFUNCTION("""COMPUTED_VALUE"""),"internal")</f>
        <v>internal</v>
      </c>
      <c r="J50" s="10" t="str">
        <f>IFERROR(__xludf.DUMMYFUNCTION("""COMPUTED_VALUE"""),"https://t.me/postypashki_old/1834")</f>
        <v>https://t.me/postypashki_old/1834</v>
      </c>
      <c r="K50" s="6">
        <f>IFERROR(__xludf.DUMMYFUNCTION("""COMPUTED_VALUE"""),15400.0)</f>
        <v>15400</v>
      </c>
      <c r="L50" s="6">
        <f>IFERROR(__xludf.DUMMYFUNCTION("""COMPUTED_VALUE"""),68.0)</f>
        <v>68</v>
      </c>
      <c r="M50" s="6" t="str">
        <f>IFERROR(__xludf.DUMMYFUNCTION("""COMPUTED_VALUE"""),"")</f>
        <v/>
      </c>
      <c r="N50" s="6" t="str">
        <f>IFERROR(__xludf.DUMMYFUNCTION("""COMPUTED_VALUE"""),"Telegram")</f>
        <v>Telegram</v>
      </c>
      <c r="O50" s="6" t="str">
        <f>IFERROR(__xludf.DUMMYFUNCTION("""COMPUTED_VALUE"""),"raw")</f>
        <v>raw</v>
      </c>
      <c r="P50" s="6" t="str">
        <f>IFERROR(__xludf.DUMMYFUNCTION("""COMPUTED_VALUE"""),"Codex")</f>
        <v>Codex</v>
      </c>
      <c r="Q50" s="6" t="str">
        <f>IFERROR(__xludf.DUMMYFUNCTION("""COMPUTED_VALUE"""),"Магистратура по e-commerce от РУДН и Wildberries — для тех, кто хочет развиваться в электронной коммерции Программа сочетает системный подход высшего образования РУДН и практику эк")</f>
        <v>Магистратура по e-commerce от РУДН и Wildberries — для тех, кто хочет развиваться в электронной коммерции Программа сочетает системный подход высшего образования РУДН и практику эк</v>
      </c>
      <c r="R50" s="6" t="str">
        <f>IFERROR(__xludf.DUMMYFUNCTION("""COMPUTED_VALUE"""),"internal")</f>
        <v>internal</v>
      </c>
      <c r="S50" s="6" t="str">
        <f>IFERROR(__xludf.DUMMYFUNCTION("""COMPUTED_VALUE"""),"unknown")</f>
        <v>unknown</v>
      </c>
      <c r="T50" s="6" t="str">
        <f>IFERROR(__xludf.DUMMYFUNCTION("""COMPUTED_VALUE"""),"telegram_internal")</f>
        <v>telegram_internal</v>
      </c>
      <c r="U50" s="6" t="str">
        <f>IFERROR(__xludf.DUMMYFUNCTION("""COMPUTED_VALUE"""),"Внешняя реклама")</f>
        <v>Внешняя реклама</v>
      </c>
      <c r="V50" s="6" t="str">
        <f>IFERROR(__xludf.DUMMYFUNCTION("""COMPUTED_VALUE"""),"Период продаж")</f>
        <v>Период продаж</v>
      </c>
      <c r="W50" s="6" t="str">
        <f>IFERROR(__xludf.DUMMYFUNCTION("""COMPUTED_VALUE"""),"Фото")</f>
        <v>Фото</v>
      </c>
      <c r="X50" s="6"/>
      <c r="Y50" s="6" t="str">
        <f>IFERROR(__xludf.DUMMYFUNCTION("""COMPUTED_VALUE"""),"")</f>
        <v/>
      </c>
      <c r="Z50" s="6" t="str">
        <f>IFERROR(__xludf.DUMMYFUNCTION("""COMPUTED_VALUE"""),"")</f>
        <v/>
      </c>
      <c r="AA50" s="6" t="b">
        <f>IFERROR(__xludf.DUMMYFUNCTION("""COMPUTED_VALUE"""),FALSE)</f>
        <v>0</v>
      </c>
      <c r="AB50" s="6" t="b">
        <f>IFERROR(__xludf.DUMMYFUNCTION("""COMPUTED_VALUE"""),TRUE)</f>
        <v>1</v>
      </c>
      <c r="AC50" s="6" t="b">
        <f>IFERROR(__xludf.DUMMYFUNCTION("""COMPUTED_VALUE"""),FALSE)</f>
        <v>0</v>
      </c>
      <c r="AD50" s="6" t="b">
        <f>IFERROR(__xludf.DUMMYFUNCTION("""COMPUTED_VALUE"""),FALSE)</f>
        <v>0</v>
      </c>
      <c r="AE50" s="6" t="str">
        <f>IFERROR(__xludf.DUMMYFUNCTION("""COMPUTED_VALUE"""),"изнеса. Подать документы на поступление можно до 13 августа. 🚀 Реклама. ООО «РВБ». ИНН 9714053621. erid: 2SDnjcd9GCK")</f>
        <v>изнеса. Подать документы на поступление можно до 13 августа. 🚀 Реклама. ООО «РВБ». ИНН 9714053621. erid: 2SDnjcd9GCK</v>
      </c>
      <c r="AF50" s="6" t="b">
        <f>IFERROR(__xludf.DUMMYFUNCTION("""COMPUTED_VALUE"""),FALSE)</f>
        <v>0</v>
      </c>
      <c r="AG50" s="6" t="str">
        <f>IFERROR(__xludf.DUMMYFUNCTION("""COMPUTED_VALUE"""),"2026-08-08T06:05:37+00:00")</f>
        <v>2026-08-08T06:05:37+00:00</v>
      </c>
      <c r="AH50" s="6" t="str">
        <f>IFERROR(__xludf.DUMMYFUNCTION("""COMPUTED_VALUE"""),"")</f>
        <v/>
      </c>
      <c r="AI50" s="6" t="str">
        <f>IFERROR(__xludf.DUMMYFUNCTION("""COMPUTED_VALUE"""),"#N/A")</f>
        <v>#N/A</v>
      </c>
      <c r="AJ50" s="9" t="s">
        <v>176</v>
      </c>
      <c r="AM50" s="9" t="s">
        <v>237</v>
      </c>
      <c r="AN50" s="6" t="str">
        <f>IFERROR(__xludf.DUMMYFUNCTION("IF(OR(AJ50=""general_brand"",AJ50=""external"",AJ50=""unknown""),"""",IF(AJ50=""product_line"",IF(AK50=""START"",""Аналитика старт | Алгоритмы старт | Backend старт | ML старт"",IF(AK50=""PRO"",""AI-агенты про | Алгоритмы про | Аналитика про | ML про | Ba"&amp;"ckend про"",IF(AK50=""START | PRO"",""Аналитика старт | Алгоритмы старт | Backend старт | ML старт | AI-агенты про | Алгоритмы про | Аналитика про | ML про | Backend про"",""""))),TEXTJOIN("" | "",TRUE,IF(REGEXMATCH(LOWER(AL50&amp;"" | ""&amp;E50),""аналитика ста"&amp;"рт""),""Аналитика старт"",""""),IF(REGEXMATCH(LOWER(AL50&amp;"" | ""&amp;E50),""алгоритмы старт""),""Алгоритмы старт"",""""),IF(REGEXMATCH(LOWER(AL50&amp;"" | ""&amp;E50),""backend старт""),""Backend старт"",""""),IF(REGEXMATCH(LOWER(AL50&amp;"" | ""&amp;E50),""ml старт""),""ML "&amp;"старт"",""""),IF(REGEXMATCH(LOWER(AL50&amp;"" | ""&amp;E50),""ai[ -]?агент""),""AI-агенты про"",""""),IF(REGEXMATCH(LOWER(AL50&amp;"" | ""&amp;E50),""алгоритмы про""),""Алгоритмы про"",""""),IF(REGEXMATCH(LOWER(AL50&amp;"" | ""&amp;E50),""аналитика про""),""Аналитика про"","""")"&amp;",IF(REGEXMATCH(LOWER(AL50&amp;"" | ""&amp;E50),""ml про""),""ML про"",""""),IF(REGEXMATCH(LOWER(AL50&amp;"" | ""&amp;E50),""backend про""),""Backend про"",""""),IF(REGEXMATCH(LOWER(AL50&amp;"" | ""&amp;E50),""(а/в|ав|а в|ab)[ -]?тест""),""А/В-тесты"",""""),IF(REGEXMATCH(LOWER(AL"&amp;"50&amp;"" | ""&amp;E50),""data science""),""Data science"",""""),IF(REGEXMATCH(LOWER(AL50&amp;"" | ""&amp;E50),""data[- ]?инжен""),""Data-инженер"",""""),IF(REGEXMATCH(LOWER(AL50&amp;"" | ""&amp;E50),""frontend""),""Frontend"",""""))))"),"")</f>
        <v/>
      </c>
    </row>
    <row r="51">
      <c r="A51" s="6" t="str">
        <f>IFERROR(__xludf.DUMMYFUNCTION("""COMPUTED_VALUE"""),"INT-1836")</f>
        <v>INT-1836</v>
      </c>
      <c r="B51" s="6" t="str">
        <f>IFERROR(__xludf.DUMMYFUNCTION("""COMPUTED_VALUE"""),"2026-08-09 13:32:11")</f>
        <v>2026-08-09 13:32:11</v>
      </c>
      <c r="C51" s="6" t="str">
        <f>IFERROR(__xludf.DUMMYFUNCTION("""COMPUTED_VALUE"""),"@postypashki_old")</f>
        <v>@postypashki_old</v>
      </c>
      <c r="D51" s="4" t="str">
        <f>IFERROR(__xludf.DUMMYFUNCTION("""COMPUTED_VALUE"""),"Промо со скидкой")</f>
        <v>Промо со скидкой</v>
      </c>
      <c r="E51" s="6" t="str">
        <f>IFERROR(__xludf.DUMMYFUNCTION("""COMPUTED_VALUE"""),"AI агенты")</f>
        <v>AI агенты</v>
      </c>
      <c r="F51" s="6" t="str">
        <f>IFERROR(__xludf.DUMMYFUNCTION("""COMPUTED_VALUE"""),"")</f>
        <v/>
      </c>
      <c r="G51" s="6" t="str">
        <f>IFERROR(__xludf.DUMMYFUNCTION("""COMPUTED_VALUE"""),"postypashki_old/1836")</f>
        <v>postypashki_old/1836</v>
      </c>
      <c r="H51" s="6" t="str">
        <f>IFERROR(__xludf.DUMMYFUNCTION("""COMPUTED_VALUE"""),"Дайджест вакансий
Товарищи, собрали свежие стажировки и junior-вакансии по аналитике, ML и разработке. Сохраняйте и отправляйте резюме - ждать осеннего найма необязательно.
📌 АНАЛИТИКА
→ ВТБ — Стажёр в «Цифровые помощники»
→ Альфа-Банк — Стажёр в депар"&amp;"тамент продаж и развития малого и микробизнеса
→ Альфа-Банк — Стажёр в отдел разработки дебетовых продуктов
→ Ozon — Стажёр-аналитик в коммерцию
→ Ozon — Младший аналитик данных
→ Ozon — Стажёр продуктовый аналитик, Производство Fulfillment
→ МТС — Стажёр"&amp;" Data Analyst Geo
→ Т-Банк - Младший продуктовый аналитик 
→ Магнит — Стажер-продуктовый аналитик (направление данных и метрик)
💡 MACHINE LEARNING
→ Альфа-Банк — Стажёр NLP инженер 
→ Ozon Tech — Стажер ML-инженер, рекомендательные системы
→ МТС — Стаже"&amp;"р ML Engineer
→ VK — ML-инженер (Audio/Deep Learning)
→ VK — ML-инженер в рекомендательные системы 
→ CБЕР — Стажер 
→ СБЕР — Стажер разработка и внедрение решений с LLM 
→ CБЕР — Стажер-разработчик AI-агентов 
▶️ BACKEND 
→ Ozon Tech — Стажёр-разработчи"&amp;"к Golang
→ Ozon Tech — Стажёр Go-разработчик, Витрина товаров и управление заказами 
→ Ozon — Младший Python разработчик
→ VK — Backend-разработчик
→ VK — Golang-разработчик
→ VK — Backend-разработчик
🫥🫥🫥🫥
Если по требованиям понимаете, что каких-то "&amp;"знаний пока не хватает - приходите ботать на наши карьерные курсы СТАРТ. На курсах разбираем базу по аналитике, ML, Backend и алгоритмам, программа курсов можно посмотреть на нашем сайте.
Лекции и семинары уже доступны в записи - можно сразу идти ботать "&amp;"нужные темы в своём темпе. А  карьерные семинары только начинаются: если пока нет нормального резюме или не знаете, как проходят отборы, то вместе с преподавателем соберёте резюме под вакансии, подготовите самопрезентацию и пройдёте mock-собеседование, чт"&amp;"обы оценить свой уровень.
🔊 До конца дня на СТАРТы действует финальная скидка 55%. Успевайте присоединиться!
➡️ Записаться")</f>
        <v>Дайджест вакансий
Товарищи, собрали свежие стажировки и junior-вакансии по аналитике, ML и разработке. Сохраняйте и отправляйте резюме - ждать осеннего найма необязательно.
📌 АНАЛИТИКА
→ ВТБ — Стажёр в «Цифровые помощники»
→ Альфа-Банк — Стажёр в департамент продаж и развития малого и микробизнеса
→ Альфа-Банк — Стажёр в отдел разработки дебетовых продуктов
→ Ozon — Стажёр-аналитик в коммерцию
→ Ozon — Младший аналитик данных
→ Ozon — Стажёр продуктовый аналитик, Производство Fulfillment
→ МТС — Стажёр Data Analyst Geo
→ Т-Банк - Младший продуктовый аналитик 
→ Магнит — Стажер-продуктовый аналитик (направление данных и метрик)
💡 MACHINE LEARNING
→ Альфа-Банк — Стажёр NLP инженер 
→ Ozon Tech — Стажер ML-инженер, рекомендательные системы
→ МТС — Стажер ML Engineer
→ VK — ML-инженер (Audio/Deep Learning)
→ VK — ML-инженер в рекомендательные системы 
→ CБЕР — Стажер 
→ СБЕР — Стажер разработка и внедрение решений с LLM 
→ CБЕР — Стажер-разработчик AI-агентов 
▶️ BACKEND 
→ Ozon Tech — Стажёр-разработчик Golang
→ Ozon Tech — Стажёр Go-разработчик, Витрина товаров и управление заказами 
→ Ozon — Младший Python разработчик
→ VK — Backend-разработчик
→ VK — Golang-разработчик
→ VK — Backend-разработчик
🫥🫥🫥🫥
Если по требованиям понимаете, что каких-то знаний пока не хватает - приходите ботать на наши карьерные курсы СТАРТ. На курсах разбираем базу по аналитике, ML, Backend и алгоритмам, программа курсов можно посмотреть на нашем сайте.
Лекции и семинары уже доступны в записи - можно сразу идти ботать нужные темы в своём темпе. А  карьерные семинары только начинаются: если пока нет нормального резюме или не знаете, как проходят отборы, то вместе с преподавателем соберёте резюме под вакансии, подготовите самопрезентацию и пройдёте mock-собеседование, чтобы оценить свой уровень.
🔊 До конца дня на СТАРТы действует финальная скидка 55%. Успевайте присоединиться!
➡️ Записаться</v>
      </c>
      <c r="I51" s="6" t="str">
        <f>IFERROR(__xludf.DUMMYFUNCTION("""COMPUTED_VALUE"""),"internal")</f>
        <v>internal</v>
      </c>
      <c r="J51" s="10" t="str">
        <f>IFERROR(__xludf.DUMMYFUNCTION("""COMPUTED_VALUE"""),"https://t.me/postypashki_old/1836")</f>
        <v>https://t.me/postypashki_old/1836</v>
      </c>
      <c r="K51" s="6">
        <f>IFERROR(__xludf.DUMMYFUNCTION("""COMPUTED_VALUE"""),18200.0)</f>
        <v>18200</v>
      </c>
      <c r="L51" s="6">
        <f>IFERROR(__xludf.DUMMYFUNCTION("""COMPUTED_VALUE"""),42.0)</f>
        <v>42</v>
      </c>
      <c r="M51" s="6" t="str">
        <f>IFERROR(__xludf.DUMMYFUNCTION("""COMPUTED_VALUE"""),"")</f>
        <v/>
      </c>
      <c r="N51" s="6" t="str">
        <f>IFERROR(__xludf.DUMMYFUNCTION("""COMPUTED_VALUE"""),"Telegram")</f>
        <v>Telegram</v>
      </c>
      <c r="O51" s="6" t="str">
        <f>IFERROR(__xludf.DUMMYFUNCTION("""COMPUTED_VALUE"""),"raw")</f>
        <v>raw</v>
      </c>
      <c r="P51" s="6" t="str">
        <f>IFERROR(__xludf.DUMMYFUNCTION("""COMPUTED_VALUE"""),"Codex")</f>
        <v>Codex</v>
      </c>
      <c r="Q51" s="6" t="str">
        <f>IFERROR(__xludf.DUMMYFUNCTION("""COMPUTED_VALUE"""),"Дайджест вакансий Товарищи, собрали свежие стажировки и junior-вакансии по аналитике, ML и разработке. Сохраняйте и отправляйте резюме - ждать осеннего найма необязательно. 📌 АНАЛИ")</f>
        <v>Дайджест вакансий Товарищи, собрали свежие стажировки и junior-вакансии по аналитике, ML и разработке. Сохраняйте и отправляйте резюме - ждать осеннего найма необязательно. 📌 АНАЛИ</v>
      </c>
      <c r="R51" s="6" t="str">
        <f>IFERROR(__xludf.DUMMYFUNCTION("""COMPUTED_VALUE"""),"internal")</f>
        <v>internal</v>
      </c>
      <c r="S51" s="6" t="str">
        <f>IFERROR(__xludf.DUMMYFUNCTION("""COMPUTED_VALUE"""),"unknown")</f>
        <v>unknown</v>
      </c>
      <c r="T51" s="6" t="str">
        <f>IFERROR(__xludf.DUMMYFUNCTION("""COMPUTED_VALUE"""),"telegram_internal")</f>
        <v>telegram_internal</v>
      </c>
      <c r="U51" s="6" t="str">
        <f>IFERROR(__xludf.DUMMYFUNCTION("""COMPUTED_VALUE"""),"Промо со скидкой")</f>
        <v>Промо со скидкой</v>
      </c>
      <c r="V51" s="6" t="str">
        <f>IFERROR(__xludf.DUMMYFUNCTION("""COMPUTED_VALUE"""),"Период продаж")</f>
        <v>Период продаж</v>
      </c>
      <c r="W51" s="6" t="str">
        <f>IFERROR(__xludf.DUMMYFUNCTION("""COMPUTED_VALUE"""),"Фото")</f>
        <v>Фото</v>
      </c>
      <c r="X51" s="6"/>
      <c r="Y51" s="6" t="str">
        <f>IFERROR(__xludf.DUMMYFUNCTION("""COMPUTED_VALUE"""),"")</f>
        <v/>
      </c>
      <c r="Z51" s="6" t="str">
        <f>IFERROR(__xludf.DUMMYFUNCTION("""COMPUTED_VALUE"""),"")</f>
        <v/>
      </c>
      <c r="AA51" s="6" t="b">
        <f>IFERROR(__xludf.DUMMYFUNCTION("""COMPUTED_VALUE"""),TRUE)</f>
        <v>1</v>
      </c>
      <c r="AB51" s="6" t="b">
        <f>IFERROR(__xludf.DUMMYFUNCTION("""COMPUTED_VALUE"""),TRUE)</f>
        <v>1</v>
      </c>
      <c r="AC51" s="6" t="b">
        <f>IFERROR(__xludf.DUMMYFUNCTION("""COMPUTED_VALUE"""),FALSE)</f>
        <v>0</v>
      </c>
      <c r="AD51" s="6" t="b">
        <f>IFERROR(__xludf.DUMMYFUNCTION("""COMPUTED_VALUE"""),FALSE)</f>
        <v>0</v>
      </c>
      <c r="AE51" s="6"/>
      <c r="AF51" s="6" t="b">
        <f>IFERROR(__xludf.DUMMYFUNCTION("""COMPUTED_VALUE"""),FALSE)</f>
        <v>0</v>
      </c>
      <c r="AG51" s="6" t="str">
        <f>IFERROR(__xludf.DUMMYFUNCTION("""COMPUTED_VALUE"""),"2026-08-09T10:32:11+00:00")</f>
        <v>2026-08-09T10:32:11+00:00</v>
      </c>
      <c r="AH51" s="6" t="str">
        <f>IFERROR(__xludf.DUMMYFUNCTION("""COMPUTED_VALUE"""),"")</f>
        <v/>
      </c>
      <c r="AI51" s="6" t="str">
        <f>IFERROR(__xludf.DUMMYFUNCTION("""COMPUTED_VALUE"""),"#N/A")</f>
        <v>#N/A</v>
      </c>
      <c r="AJ51" s="9" t="s">
        <v>167</v>
      </c>
      <c r="AK51" s="9" t="s">
        <v>213</v>
      </c>
      <c r="AM51" s="9" t="s">
        <v>219</v>
      </c>
      <c r="AN51" s="4" t="str">
        <f>IFERROR(__xludf.DUMMYFUNCTION("IF(OR(AJ51=""general_brand"",AJ51=""external"",AJ51=""unknown""),"""",IF(AJ51=""product_line"",IF(AK51=""START"",""Аналитика старт | Алгоритмы старт | Backend старт | ML старт"",IF(AK51=""PRO"",""AI-агенты про | Алгоритмы про | Аналитика про | ML про | Ba"&amp;"ckend про"",IF(AK51=""START | PRO"",""Аналитика старт | Алгоритмы старт | Backend старт | ML старт | AI-агенты про | Алгоритмы про | Аналитика про | ML про | Backend про"",""""))),TEXTJOIN("" | "",TRUE,IF(REGEXMATCH(LOWER(AL51&amp;"" | ""&amp;E51),""аналитика ста"&amp;"рт""),""Аналитика старт"",""""),IF(REGEXMATCH(LOWER(AL51&amp;"" | ""&amp;E51),""алгоритмы старт""),""Алгоритмы старт"",""""),IF(REGEXMATCH(LOWER(AL51&amp;"" | ""&amp;E51),""backend старт""),""Backend старт"",""""),IF(REGEXMATCH(LOWER(AL51&amp;"" | ""&amp;E51),""ml старт""),""ML "&amp;"старт"",""""),IF(REGEXMATCH(LOWER(AL51&amp;"" | ""&amp;E51),""ai[ -]?агент""),""AI-агенты про"",""""),IF(REGEXMATCH(LOWER(AL51&amp;"" | ""&amp;E51),""алгоритмы про""),""Алгоритмы про"",""""),IF(REGEXMATCH(LOWER(AL51&amp;"" | ""&amp;E51),""аналитика про""),""Аналитика про"","""")"&amp;",IF(REGEXMATCH(LOWER(AL51&amp;"" | ""&amp;E51),""ml про""),""ML про"",""""),IF(REGEXMATCH(LOWER(AL51&amp;"" | ""&amp;E51),""backend про""),""Backend про"",""""),IF(REGEXMATCH(LOWER(AL51&amp;"" | ""&amp;E51),""(а/в|ав|а в|ab)[ -]?тест""),""А/В-тесты"",""""),IF(REGEXMATCH(LOWER(AL"&amp;"51&amp;"" | ""&amp;E51),""data science""),""Data science"",""""),IF(REGEXMATCH(LOWER(AL51&amp;"" | ""&amp;E51),""data[- ]?инжен""),""Data-инженер"",""""),IF(REGEXMATCH(LOWER(AL51&amp;"" | ""&amp;E51),""frontend""),""Frontend"",""""))))"),"Аналитика старт | Алгоритмы старт | Backend старт | ML старт")</f>
        <v>Аналитика старт | Алгоритмы старт | Backend старт | ML старт</v>
      </c>
    </row>
    <row r="52">
      <c r="A52" s="6" t="str">
        <f>IFERROR(__xludf.DUMMYFUNCTION("""COMPUTED_VALUE"""),"INT-1837")</f>
        <v>INT-1837</v>
      </c>
      <c r="B52" s="6" t="str">
        <f>IFERROR(__xludf.DUMMYFUNCTION("""COMPUTED_VALUE"""),"2026-08-09 18:35:40")</f>
        <v>2026-08-09 18:35:40</v>
      </c>
      <c r="C52" s="6" t="str">
        <f>IFERROR(__xludf.DUMMYFUNCTION("""COMPUTED_VALUE"""),"@postypashki_old")</f>
        <v>@postypashki_old</v>
      </c>
      <c r="D52" s="4" t="str">
        <f>IFERROR(__xludf.DUMMYFUNCTION("""COMPUTED_VALUE"""),"Промо со скидкой")</f>
        <v>Промо со скидкой</v>
      </c>
      <c r="E52" s="6" t="str">
        <f>IFERROR(__xludf.DUMMYFUNCTION("""COMPUTED_VALUE"""),"АВ тестам")</f>
        <v>АВ тестам</v>
      </c>
      <c r="F52" s="6" t="str">
        <f>IFERROR(__xludf.DUMMYFUNCTION("""COMPUTED_VALUE"""),"")</f>
        <v/>
      </c>
      <c r="G52" s="6" t="str">
        <f>IFERROR(__xludf.DUMMYFUNCTION("""COMPUTED_VALUE"""),"postypashki_old/1837")</f>
        <v>postypashki_old/1837</v>
      </c>
      <c r="H52" s="6" t="str">
        <f>IFERROR(__xludf.DUMMYFUNCTION("""COMPUTED_VALUE"""),"Как найти стажировку зарубежом
Товарищи, пока идут последние 6 часов финальной распродажи на СТАРТ, хотим напомнить: база, которую вы проходите на курсах, пригодится не только для отборов в Яндекс, Авито или Т-Банк.
Зарубежные компании на технических со"&amp;"беседованиях проверяют плюс-минус те же темы:
⬇️ Аналитика — SQL, статистика, A/B-тесты, продуктовые метрики
⬇️ ML — классический ML/DL, метрики, Python
⬇️ Backend — сети, базы данных, API, основы разработки
⬇️ Алгоритмы — структуры данных и задачи на ко"&amp;"динг
То есть если в будущем хотите подаваться на зарубежные стажировки, СТАРТ можно использовать как техническую базу для подготовки и к ним.
А готовиться к зарубежным летним стажировкам начинают сильно заранее - вакансии на лето 2027 появляются уже сейч"&amp;"ас.
Поэтому мы собрали небольшой гайд: кратко рассказали, как устроены зарубежные стажировки и отборы, и добавили подборки актуальных вакансий по разработке, ML, аналитике, продукту и другим направлениям.
Делимся гайдом с друзьями 😎")</f>
        <v>Как найти стажировку зарубежом
Товарищи, пока идут последние 6 часов финальной распродажи на СТАРТ, хотим напомнить: база, которую вы проходите на курсах, пригодится не только для отборов в Яндекс, Авито или Т-Банк.
Зарубежные компании на технических собеседованиях проверяют плюс-минус те же темы:
⬇️ Аналитика — SQL, статистика, A/B-тесты, продуктовые метрики
⬇️ ML — классический ML/DL, метрики, Python
⬇️ Backend — сети, базы данных, API, основы разработки
⬇️ Алгоритмы — структуры данных и задачи на кодинг
То есть если в будущем хотите подаваться на зарубежные стажировки, СТАРТ можно использовать как техническую базу для подготовки и к ним.
А готовиться к зарубежным летним стажировкам начинают сильно заранее - вакансии на лето 2027 появляются уже сейчас.
Поэтому мы собрали небольшой гайд: кратко рассказали, как устроены зарубежные стажировки и отборы, и добавили подборки актуальных вакансий по разработке, ML, аналитике, продукту и другим направлениям.
Делимся гайдом с друзьями 😎</v>
      </c>
      <c r="I52" s="6" t="str">
        <f>IFERROR(__xludf.DUMMYFUNCTION("""COMPUTED_VALUE"""),"internal")</f>
        <v>internal</v>
      </c>
      <c r="J52" s="10" t="str">
        <f>IFERROR(__xludf.DUMMYFUNCTION("""COMPUTED_VALUE"""),"https://t.me/postypashki_old/1837")</f>
        <v>https://t.me/postypashki_old/1837</v>
      </c>
      <c r="K52" s="6">
        <f>IFERROR(__xludf.DUMMYFUNCTION("""COMPUTED_VALUE"""),19600.0)</f>
        <v>19600</v>
      </c>
      <c r="L52" s="6">
        <f>IFERROR(__xludf.DUMMYFUNCTION("""COMPUTED_VALUE"""),38.0)</f>
        <v>38</v>
      </c>
      <c r="M52" s="6" t="str">
        <f>IFERROR(__xludf.DUMMYFUNCTION("""COMPUTED_VALUE"""),"")</f>
        <v/>
      </c>
      <c r="N52" s="6" t="str">
        <f>IFERROR(__xludf.DUMMYFUNCTION("""COMPUTED_VALUE"""),"Telegram")</f>
        <v>Telegram</v>
      </c>
      <c r="O52" s="6" t="str">
        <f>IFERROR(__xludf.DUMMYFUNCTION("""COMPUTED_VALUE"""),"raw")</f>
        <v>raw</v>
      </c>
      <c r="P52" s="6" t="str">
        <f>IFERROR(__xludf.DUMMYFUNCTION("""COMPUTED_VALUE"""),"Codex")</f>
        <v>Codex</v>
      </c>
      <c r="Q52" s="6" t="str">
        <f>IFERROR(__xludf.DUMMYFUNCTION("""COMPUTED_VALUE"""),"Как найти стажировку зарубежом Товарищи, пока идут последние 6 часов финальной распродажи на СТАРТ, хотим напомнить: база, которую вы проходите на курсах, пригодится не только для ")</f>
        <v>Как найти стажировку зарубежом Товарищи, пока идут последние 6 часов финальной распродажи на СТАРТ, хотим напомнить: база, которую вы проходите на курсах, пригодится не только для </v>
      </c>
      <c r="R52" s="6" t="str">
        <f>IFERROR(__xludf.DUMMYFUNCTION("""COMPUTED_VALUE"""),"internal")</f>
        <v>internal</v>
      </c>
      <c r="S52" s="6" t="str">
        <f>IFERROR(__xludf.DUMMYFUNCTION("""COMPUTED_VALUE"""),"unknown")</f>
        <v>unknown</v>
      </c>
      <c r="T52" s="6" t="str">
        <f>IFERROR(__xludf.DUMMYFUNCTION("""COMPUTED_VALUE"""),"telegram_internal")</f>
        <v>telegram_internal</v>
      </c>
      <c r="U52" s="6" t="str">
        <f>IFERROR(__xludf.DUMMYFUNCTION("""COMPUTED_VALUE"""),"Промо со скидкой")</f>
        <v>Промо со скидкой</v>
      </c>
      <c r="V52" s="6" t="str">
        <f>IFERROR(__xludf.DUMMYFUNCTION("""COMPUTED_VALUE"""),"Период продаж")</f>
        <v>Период продаж</v>
      </c>
      <c r="W52" s="6" t="str">
        <f>IFERROR(__xludf.DUMMYFUNCTION("""COMPUTED_VALUE"""),"Файл")</f>
        <v>Файл</v>
      </c>
      <c r="X52" s="6"/>
      <c r="Y52" s="6" t="str">
        <f>IFERROR(__xludf.DUMMYFUNCTION("""COMPUTED_VALUE"""),"")</f>
        <v/>
      </c>
      <c r="Z52" s="6" t="str">
        <f>IFERROR(__xludf.DUMMYFUNCTION("""COMPUTED_VALUE"""),"")</f>
        <v/>
      </c>
      <c r="AA52" s="6" t="b">
        <f>IFERROR(__xludf.DUMMYFUNCTION("""COMPUTED_VALUE"""),TRUE)</f>
        <v>1</v>
      </c>
      <c r="AB52" s="6" t="b">
        <f>IFERROR(__xludf.DUMMYFUNCTION("""COMPUTED_VALUE"""),FALSE)</f>
        <v>0</v>
      </c>
      <c r="AC52" s="6" t="b">
        <f>IFERROR(__xludf.DUMMYFUNCTION("""COMPUTED_VALUE"""),FALSE)</f>
        <v>0</v>
      </c>
      <c r="AD52" s="6" t="b">
        <f>IFERROR(__xludf.DUMMYFUNCTION("""COMPUTED_VALUE"""),FALSE)</f>
        <v>0</v>
      </c>
      <c r="AE52" s="6"/>
      <c r="AF52" s="6" t="b">
        <f>IFERROR(__xludf.DUMMYFUNCTION("""COMPUTED_VALUE"""),FALSE)</f>
        <v>0</v>
      </c>
      <c r="AG52" s="6" t="str">
        <f>IFERROR(__xludf.DUMMYFUNCTION("""COMPUTED_VALUE"""),"2026-08-09T15:35:40+00:00")</f>
        <v>2026-08-09T15:35:40+00:00</v>
      </c>
      <c r="AH52" s="6" t="str">
        <f>IFERROR(__xludf.DUMMYFUNCTION("""COMPUTED_VALUE"""),"")</f>
        <v/>
      </c>
      <c r="AI52" s="6" t="str">
        <f>IFERROR(__xludf.DUMMYFUNCTION("""COMPUTED_VALUE"""),"#N/A")</f>
        <v>#N/A</v>
      </c>
      <c r="AJ52" s="9" t="s">
        <v>167</v>
      </c>
      <c r="AK52" s="9" t="s">
        <v>213</v>
      </c>
      <c r="AM52" s="9" t="s">
        <v>219</v>
      </c>
      <c r="AN52" s="4" t="str">
        <f>IFERROR(__xludf.DUMMYFUNCTION("IF(OR(AJ52=""general_brand"",AJ52=""external"",AJ52=""unknown""),"""",IF(AJ52=""product_line"",IF(AK52=""START"",""Аналитика старт | Алгоритмы старт | Backend старт | ML старт"",IF(AK52=""PRO"",""AI-агенты про | Алгоритмы про | Аналитика про | ML про | Ba"&amp;"ckend про"",IF(AK52=""START | PRO"",""Аналитика старт | Алгоритмы старт | Backend старт | ML старт | AI-агенты про | Алгоритмы про | Аналитика про | ML про | Backend про"",""""))),TEXTJOIN("" | "",TRUE,IF(REGEXMATCH(LOWER(AL52&amp;"" | ""&amp;E52),""аналитика ста"&amp;"рт""),""Аналитика старт"",""""),IF(REGEXMATCH(LOWER(AL52&amp;"" | ""&amp;E52),""алгоритмы старт""),""Алгоритмы старт"",""""),IF(REGEXMATCH(LOWER(AL52&amp;"" | ""&amp;E52),""backend старт""),""Backend старт"",""""),IF(REGEXMATCH(LOWER(AL52&amp;"" | ""&amp;E52),""ml старт""),""ML "&amp;"старт"",""""),IF(REGEXMATCH(LOWER(AL52&amp;"" | ""&amp;E52),""ai[ -]?агент""),""AI-агенты про"",""""),IF(REGEXMATCH(LOWER(AL52&amp;"" | ""&amp;E52),""алгоритмы про""),""Алгоритмы про"",""""),IF(REGEXMATCH(LOWER(AL52&amp;"" | ""&amp;E52),""аналитика про""),""Аналитика про"","""")"&amp;",IF(REGEXMATCH(LOWER(AL52&amp;"" | ""&amp;E52),""ml про""),""ML про"",""""),IF(REGEXMATCH(LOWER(AL52&amp;"" | ""&amp;E52),""backend про""),""Backend про"",""""),IF(REGEXMATCH(LOWER(AL52&amp;"" | ""&amp;E52),""(а/в|ав|а в|ab)[ -]?тест""),""А/В-тесты"",""""),IF(REGEXMATCH(LOWER(AL"&amp;"52&amp;"" | ""&amp;E52),""data science""),""Data science"",""""),IF(REGEXMATCH(LOWER(AL52&amp;"" | ""&amp;E52),""data[- ]?инжен""),""Data-инженер"",""""),IF(REGEXMATCH(LOWER(AL52&amp;"" | ""&amp;E52),""frontend""),""Frontend"",""""))))"),"Аналитика старт | Алгоритмы старт | Backend старт | ML старт")</f>
        <v>Аналитика старт | Алгоритмы старт | Backend старт | ML старт</v>
      </c>
    </row>
    <row r="53">
      <c r="A53" s="6" t="str">
        <f>IFERROR(__xludf.DUMMYFUNCTION("""COMPUTED_VALUE"""),"INT-1838")</f>
        <v>INT-1838</v>
      </c>
      <c r="B53" s="6" t="str">
        <f>IFERROR(__xludf.DUMMYFUNCTION("""COMPUTED_VALUE"""),"2026-08-10 16:26:59")</f>
        <v>2026-08-10 16:26:59</v>
      </c>
      <c r="C53" s="6" t="str">
        <f>IFERROR(__xludf.DUMMYFUNCTION("""COMPUTED_VALUE"""),"@postypashki_old")</f>
        <v>@postypashki_old</v>
      </c>
      <c r="D53" s="4" t="str">
        <f>IFERROR(__xludf.DUMMYFUNCTION("""COMPUTED_VALUE"""),"Промо со скидкой")</f>
        <v>Промо со скидкой</v>
      </c>
      <c r="E53" s="6" t="str">
        <f>IFERROR(__xludf.DUMMYFUNCTION("""COMPUTED_VALUE"""),"Аналитика старт")</f>
        <v>Аналитика старт</v>
      </c>
      <c r="F53" s="6" t="str">
        <f>IFERROR(__xludf.DUMMYFUNCTION("""COMPUTED_VALUE"""),"")</f>
        <v/>
      </c>
      <c r="G53" s="6" t="str">
        <f>IFERROR(__xludf.DUMMYFUNCTION("""COMPUTED_VALUE"""),"postypashki_old/1838")</f>
        <v>postypashki_old/1838</v>
      </c>
      <c r="H53" s="6" t="str">
        <f>IFERROR(__xludf.DUMMYFUNCTION("""COMPUTED_VALUE"""),"Из процесс-менеджера в продуктового аналитика 
Друзья, видим ваши вопросы, можно ли ещё взять СТАРТ по скидке. Поэтому продлеваем распродажу до конца сегодняшнего дня, чтобы все успели 😎
А ниже оставляем отзыв нашей ученицы с текущего потока «Аналитики"&amp;" СТАРТ». 
Ира пришла не из профильного вуза, работала процессным менеджером и хотела перейти в бигтех на продуктового аналитика. А сейчас уже получает приглашения и ходит на собеседования.
Важно: следующий полноценный запуск линейки СТАРТ будет уже в сл"&amp;"едующем году. Сейчас последняя возможность присоединиться к текущему потоку: попасть на оставшиеся онлайн-семинары, сдавать домашки и пройти mock-собеседование с обратной связью, чтобы узнать сильные/слабые стороны и уверенно выйти на рынок.
Потом курсы "&amp;"будут доступны только в записи, и часть возможностей  уже будет недоступна.
🔊  Поэтому пока действует финальные скидки и впереди ещё почти весь август, чтобы спокойно поботать до начала учебы, ждем вас на обучении!
Подробную программу смотрите на сайте"&amp;".
📌 Для вопросов и записи на курс напишите менеджеру")</f>
        <v>Из процесс-менеджера в продуктового аналитика 
Друзья, видим ваши вопросы, можно ли ещё взять СТАРТ по скидке. Поэтому продлеваем распродажу до конца сегодняшнего дня, чтобы все успели 😎
А ниже оставляем отзыв нашей ученицы с текущего потока «Аналитики СТАРТ». 
Ира пришла не из профильного вуза, работала процессным менеджером и хотела перейти в бигтех на продуктового аналитика. А сейчас уже получает приглашения и ходит на собеседования.
Важно: следующий полноценный запуск линейки СТАРТ будет уже в следующем году. Сейчас последняя возможность присоединиться к текущему потоку: попасть на оставшиеся онлайн-семинары, сдавать домашки и пройти mock-собеседование с обратной связью, чтобы узнать сильные/слабые стороны и уверенно выйти на рынок.
Потом курсы будут доступны только в записи, и часть возможностей  уже будет недоступна.
🔊  Поэтому пока действует финальные скидки и впереди ещё почти весь август, чтобы спокойно поботать до начала учебы, ждем вас на обучении!
Подробную программу смотрите на сайте.
📌 Для вопросов и записи на курс напишите менеджеру</v>
      </c>
      <c r="I53" s="6" t="str">
        <f>IFERROR(__xludf.DUMMYFUNCTION("""COMPUTED_VALUE"""),"internal")</f>
        <v>internal</v>
      </c>
      <c r="J53" s="10" t="str">
        <f>IFERROR(__xludf.DUMMYFUNCTION("""COMPUTED_VALUE"""),"https://t.me/postypashki_old/1838")</f>
        <v>https://t.me/postypashki_old/1838</v>
      </c>
      <c r="K53" s="6">
        <f>IFERROR(__xludf.DUMMYFUNCTION("""COMPUTED_VALUE"""),16400.0)</f>
        <v>16400</v>
      </c>
      <c r="L53" s="6">
        <f>IFERROR(__xludf.DUMMYFUNCTION("""COMPUTED_VALUE"""),11.0)</f>
        <v>11</v>
      </c>
      <c r="M53" s="6" t="str">
        <f>IFERROR(__xludf.DUMMYFUNCTION("""COMPUTED_VALUE"""),"")</f>
        <v/>
      </c>
      <c r="N53" s="6" t="str">
        <f>IFERROR(__xludf.DUMMYFUNCTION("""COMPUTED_VALUE"""),"Telegram")</f>
        <v>Telegram</v>
      </c>
      <c r="O53" s="6" t="str">
        <f>IFERROR(__xludf.DUMMYFUNCTION("""COMPUTED_VALUE"""),"raw")</f>
        <v>raw</v>
      </c>
      <c r="P53" s="6" t="str">
        <f>IFERROR(__xludf.DUMMYFUNCTION("""COMPUTED_VALUE"""),"Codex")</f>
        <v>Codex</v>
      </c>
      <c r="Q53" s="6" t="str">
        <f>IFERROR(__xludf.DUMMYFUNCTION("""COMPUTED_VALUE"""),"Из процесс-менеджера в продуктового аналитика Друзья, видим ваши вопросы, можно ли ещё взять СТАРТ по скидке. Поэтому продлеваем распродажу до конца сегодняшнего дня, чтобы все усп")</f>
        <v>Из процесс-менеджера в продуктового аналитика Друзья, видим ваши вопросы, можно ли ещё взять СТАРТ по скидке. Поэтому продлеваем распродажу до конца сегодняшнего дня, чтобы все усп</v>
      </c>
      <c r="R53" s="6" t="str">
        <f>IFERROR(__xludf.DUMMYFUNCTION("""COMPUTED_VALUE"""),"internal")</f>
        <v>internal</v>
      </c>
      <c r="S53" s="6" t="str">
        <f>IFERROR(__xludf.DUMMYFUNCTION("""COMPUTED_VALUE"""),"unknown")</f>
        <v>unknown</v>
      </c>
      <c r="T53" s="6" t="str">
        <f>IFERROR(__xludf.DUMMYFUNCTION("""COMPUTED_VALUE"""),"telegram_internal")</f>
        <v>telegram_internal</v>
      </c>
      <c r="U53" s="6" t="str">
        <f>IFERROR(__xludf.DUMMYFUNCTION("""COMPUTED_VALUE"""),"Промо со скидкой")</f>
        <v>Промо со скидкой</v>
      </c>
      <c r="V53" s="6" t="str">
        <f>IFERROR(__xludf.DUMMYFUNCTION("""COMPUTED_VALUE"""),"Период продаж")</f>
        <v>Период продаж</v>
      </c>
      <c r="W53" s="6"/>
      <c r="X53" s="6"/>
      <c r="Y53" s="6" t="str">
        <f>IFERROR(__xludf.DUMMYFUNCTION("""COMPUTED_VALUE"""),"")</f>
        <v/>
      </c>
      <c r="Z53" s="6" t="str">
        <f>IFERROR(__xludf.DUMMYFUNCTION("""COMPUTED_VALUE"""),"")</f>
        <v/>
      </c>
      <c r="AA53" s="6" t="b">
        <f>IFERROR(__xludf.DUMMYFUNCTION("""COMPUTED_VALUE"""),TRUE)</f>
        <v>1</v>
      </c>
      <c r="AB53" s="6" t="b">
        <f>IFERROR(__xludf.DUMMYFUNCTION("""COMPUTED_VALUE"""),TRUE)</f>
        <v>1</v>
      </c>
      <c r="AC53" s="6" t="b">
        <f>IFERROR(__xludf.DUMMYFUNCTION("""COMPUTED_VALUE"""),FALSE)</f>
        <v>0</v>
      </c>
      <c r="AD53" s="6" t="b">
        <f>IFERROR(__xludf.DUMMYFUNCTION("""COMPUTED_VALUE"""),FALSE)</f>
        <v>0</v>
      </c>
      <c r="AE53" s="6"/>
      <c r="AF53" s="6" t="b">
        <f>IFERROR(__xludf.DUMMYFUNCTION("""COMPUTED_VALUE"""),FALSE)</f>
        <v>0</v>
      </c>
      <c r="AG53" s="6" t="str">
        <f>IFERROR(__xludf.DUMMYFUNCTION("""COMPUTED_VALUE"""),"2026-08-10T13:26:59+00:00")</f>
        <v>2026-08-10T13:26:59+00:00</v>
      </c>
      <c r="AH53" s="6" t="str">
        <f>IFERROR(__xludf.DUMMYFUNCTION("""COMPUTED_VALUE"""),"")</f>
        <v/>
      </c>
      <c r="AI53" s="6" t="str">
        <f>IFERROR(__xludf.DUMMYFUNCTION("""COMPUTED_VALUE"""),"#N/A")</f>
        <v>#N/A</v>
      </c>
      <c r="AJ53" s="9" t="s">
        <v>224</v>
      </c>
      <c r="AK53" s="9" t="s">
        <v>213</v>
      </c>
      <c r="AL53" s="4" t="s">
        <v>230</v>
      </c>
      <c r="AM53" s="9" t="s">
        <v>228</v>
      </c>
      <c r="AN53" s="4" t="str">
        <f>IFERROR(__xludf.DUMMYFUNCTION("IF(OR(AJ53=""general_brand"",AJ53=""external"",AJ53=""unknown""),"""",IF(AJ53=""product_line"",IF(AK53=""START"",""Аналитика старт | Алгоритмы старт | Backend старт | ML старт"",IF(AK53=""PRO"",""AI-агенты про | Алгоритмы про | Аналитика про | ML про | Ba"&amp;"ckend про"",IF(AK53=""START | PRO"",""Аналитика старт | Алгоритмы старт | Backend старт | ML старт | AI-агенты про | Алгоритмы про | Аналитика про | ML про | Backend про"",""""))),TEXTJOIN("" | "",TRUE,IF(REGEXMATCH(LOWER(AL53&amp;"" | ""&amp;E53),""аналитика ста"&amp;"рт""),""Аналитика старт"",""""),IF(REGEXMATCH(LOWER(AL53&amp;"" | ""&amp;E53),""алгоритмы старт""),""Алгоритмы старт"",""""),IF(REGEXMATCH(LOWER(AL53&amp;"" | ""&amp;E53),""backend старт""),""Backend старт"",""""),IF(REGEXMATCH(LOWER(AL53&amp;"" | ""&amp;E53),""ml старт""),""ML "&amp;"старт"",""""),IF(REGEXMATCH(LOWER(AL53&amp;"" | ""&amp;E53),""ai[ -]?агент""),""AI-агенты про"",""""),IF(REGEXMATCH(LOWER(AL53&amp;"" | ""&amp;E53),""алгоритмы про""),""Алгоритмы про"",""""),IF(REGEXMATCH(LOWER(AL53&amp;"" | ""&amp;E53),""аналитика про""),""Аналитика про"","""")"&amp;",IF(REGEXMATCH(LOWER(AL53&amp;"" | ""&amp;E53),""ml про""),""ML про"",""""),IF(REGEXMATCH(LOWER(AL53&amp;"" | ""&amp;E53),""backend про""),""Backend про"",""""),IF(REGEXMATCH(LOWER(AL53&amp;"" | ""&amp;E53),""(а/в|ав|а в|ab)[ -]?тест""),""А/В-тесты"",""""),IF(REGEXMATCH(LOWER(AL"&amp;"53&amp;"" | ""&amp;E53),""data science""),""Data science"",""""),IF(REGEXMATCH(LOWER(AL53&amp;"" | ""&amp;E53),""data[- ]?инжен""),""Data-инженер"",""""),IF(REGEXMATCH(LOWER(AL53&amp;"" | ""&amp;E53),""frontend""),""Frontend"",""""))))"),"Аналитика старт")</f>
        <v>Аналитика старт</v>
      </c>
    </row>
    <row r="54">
      <c r="A54" s="6" t="str">
        <f>IFERROR(__xludf.DUMMYFUNCTION("""COMPUTED_VALUE"""),"INT-1839")</f>
        <v>INT-1839</v>
      </c>
      <c r="B54" s="6" t="str">
        <f>IFERROR(__xludf.DUMMYFUNCTION("""COMPUTED_VALUE"""),"2026-08-10 16:26:59")</f>
        <v>2026-08-10 16:26:59</v>
      </c>
      <c r="C54" s="6" t="str">
        <f>IFERROR(__xludf.DUMMYFUNCTION("""COMPUTED_VALUE"""),"@postypashki_old")</f>
        <v>@postypashki_old</v>
      </c>
      <c r="D54" s="4" t="str">
        <f>IFERROR(__xludf.DUMMYFUNCTION("""COMPUTED_VALUE"""),"Прочий контент")</f>
        <v>Прочий контент</v>
      </c>
      <c r="E54" s="6"/>
      <c r="F54" s="6" t="str">
        <f>IFERROR(__xludf.DUMMYFUNCTION("""COMPUTED_VALUE"""),"")</f>
        <v/>
      </c>
      <c r="G54" s="6" t="str">
        <f>IFERROR(__xludf.DUMMYFUNCTION("""COMPUTED_VALUE"""),"postypashki_old/1839")</f>
        <v>postypashki_old/1839</v>
      </c>
      <c r="H54" s="6"/>
      <c r="I54" s="6" t="str">
        <f>IFERROR(__xludf.DUMMYFUNCTION("""COMPUTED_VALUE"""),"internal")</f>
        <v>internal</v>
      </c>
      <c r="J54" s="10" t="str">
        <f>IFERROR(__xludf.DUMMYFUNCTION("""COMPUTED_VALUE"""),"https://t.me/postypashki_old/1839")</f>
        <v>https://t.me/postypashki_old/1839</v>
      </c>
      <c r="K54" s="6">
        <f>IFERROR(__xludf.DUMMYFUNCTION("""COMPUTED_VALUE"""),15400.0)</f>
        <v>15400</v>
      </c>
      <c r="L54" s="6">
        <f>IFERROR(__xludf.DUMMYFUNCTION("""COMPUTED_VALUE"""),104.0)</f>
        <v>104</v>
      </c>
      <c r="M54" s="6" t="str">
        <f>IFERROR(__xludf.DUMMYFUNCTION("""COMPUTED_VALUE"""),"")</f>
        <v/>
      </c>
      <c r="N54" s="6" t="str">
        <f>IFERROR(__xludf.DUMMYFUNCTION("""COMPUTED_VALUE"""),"Telegram")</f>
        <v>Telegram</v>
      </c>
      <c r="O54" s="6" t="str">
        <f>IFERROR(__xludf.DUMMYFUNCTION("""COMPUTED_VALUE"""),"raw")</f>
        <v>raw</v>
      </c>
      <c r="P54" s="6" t="str">
        <f>IFERROR(__xludf.DUMMYFUNCTION("""COMPUTED_VALUE"""),"Codex")</f>
        <v>Codex</v>
      </c>
      <c r="Q54" s="6" t="str">
        <f>IFERROR(__xludf.DUMMYFUNCTION("""COMPUTED_VALUE"""),"[Медиа без текстовой подписи]")</f>
        <v>[Медиа без текстовой подписи]</v>
      </c>
      <c r="R54" s="6" t="str">
        <f>IFERROR(__xludf.DUMMYFUNCTION("""COMPUTED_VALUE"""),"internal")</f>
        <v>internal</v>
      </c>
      <c r="S54" s="6" t="str">
        <f>IFERROR(__xludf.DUMMYFUNCTION("""COMPUTED_VALUE"""),"unknown")</f>
        <v>unknown</v>
      </c>
      <c r="T54" s="6" t="str">
        <f>IFERROR(__xludf.DUMMYFUNCTION("""COMPUTED_VALUE"""),"telegram_internal")</f>
        <v>telegram_internal</v>
      </c>
      <c r="U54" s="6" t="str">
        <f>IFERROR(__xludf.DUMMYFUNCTION("""COMPUTED_VALUE"""),"Прочий контент")</f>
        <v>Прочий контент</v>
      </c>
      <c r="V54" s="6" t="str">
        <f>IFERROR(__xludf.DUMMYFUNCTION("""COMPUTED_VALUE"""),"Период продаж")</f>
        <v>Период продаж</v>
      </c>
      <c r="W54" s="6" t="str">
        <f>IFERROR(__xludf.DUMMYFUNCTION("""COMPUTED_VALUE"""),"Видео")</f>
        <v>Видео</v>
      </c>
      <c r="X54" s="6"/>
      <c r="Y54" s="6" t="str">
        <f>IFERROR(__xludf.DUMMYFUNCTION("""COMPUTED_VALUE"""),"")</f>
        <v/>
      </c>
      <c r="Z54" s="6" t="str">
        <f>IFERROR(__xludf.DUMMYFUNCTION("""COMPUTED_VALUE"""),"")</f>
        <v/>
      </c>
      <c r="AA54" s="6" t="b">
        <f>IFERROR(__xludf.DUMMYFUNCTION("""COMPUTED_VALUE"""),FALSE)</f>
        <v>0</v>
      </c>
      <c r="AB54" s="6" t="b">
        <f>IFERROR(__xludf.DUMMYFUNCTION("""COMPUTED_VALUE"""),FALSE)</f>
        <v>0</v>
      </c>
      <c r="AC54" s="6" t="b">
        <f>IFERROR(__xludf.DUMMYFUNCTION("""COMPUTED_VALUE"""),FALSE)</f>
        <v>0</v>
      </c>
      <c r="AD54" s="6" t="b">
        <f>IFERROR(__xludf.DUMMYFUNCTION("""COMPUTED_VALUE"""),FALSE)</f>
        <v>0</v>
      </c>
      <c r="AE54" s="6"/>
      <c r="AF54" s="6" t="b">
        <f>IFERROR(__xludf.DUMMYFUNCTION("""COMPUTED_VALUE"""),FALSE)</f>
        <v>0</v>
      </c>
      <c r="AG54" s="6" t="str">
        <f>IFERROR(__xludf.DUMMYFUNCTION("""COMPUTED_VALUE"""),"2026-08-10T13:26:59+00:00")</f>
        <v>2026-08-10T13:26:59+00:00</v>
      </c>
      <c r="AH54" s="6" t="str">
        <f>IFERROR(__xludf.DUMMYFUNCTION("""COMPUTED_VALUE"""),"")</f>
        <v/>
      </c>
      <c r="AI54" s="6" t="str">
        <f>IFERROR(__xludf.DUMMYFUNCTION("""COMPUTED_VALUE"""),"#N/A")</f>
        <v>#N/A</v>
      </c>
      <c r="AJ54" s="9" t="s">
        <v>208</v>
      </c>
      <c r="AM54" s="9" t="s">
        <v>229</v>
      </c>
      <c r="AN54" s="6" t="str">
        <f>IFERROR(__xludf.DUMMYFUNCTION("IF(OR(AJ54=""general_brand"",AJ54=""external"",AJ54=""unknown""),"""",IF(AJ54=""product_line"",IF(AK54=""START"",""Аналитика старт | Алгоритмы старт | Backend старт | ML старт"",IF(AK54=""PRO"",""AI-агенты про | Алгоритмы про | Аналитика про | ML про | Ba"&amp;"ckend про"",IF(AK54=""START | PRO"",""Аналитика старт | Алгоритмы старт | Backend старт | ML старт | AI-агенты про | Алгоритмы про | Аналитика про | ML про | Backend про"",""""))),TEXTJOIN("" | "",TRUE,IF(REGEXMATCH(LOWER(AL54&amp;"" | ""&amp;E54),""аналитика ста"&amp;"рт""),""Аналитика старт"",""""),IF(REGEXMATCH(LOWER(AL54&amp;"" | ""&amp;E54),""алгоритмы старт""),""Алгоритмы старт"",""""),IF(REGEXMATCH(LOWER(AL54&amp;"" | ""&amp;E54),""backend старт""),""Backend старт"",""""),IF(REGEXMATCH(LOWER(AL54&amp;"" | ""&amp;E54),""ml старт""),""ML "&amp;"старт"",""""),IF(REGEXMATCH(LOWER(AL54&amp;"" | ""&amp;E54),""ai[ -]?агент""),""AI-агенты про"",""""),IF(REGEXMATCH(LOWER(AL54&amp;"" | ""&amp;E54),""алгоритмы про""),""Алгоритмы про"",""""),IF(REGEXMATCH(LOWER(AL54&amp;"" | ""&amp;E54),""аналитика про""),""Аналитика про"","""")"&amp;",IF(REGEXMATCH(LOWER(AL54&amp;"" | ""&amp;E54),""ml про""),""ML про"",""""),IF(REGEXMATCH(LOWER(AL54&amp;"" | ""&amp;E54),""backend про""),""Backend про"",""""),IF(REGEXMATCH(LOWER(AL54&amp;"" | ""&amp;E54),""(а/в|ав|а в|ab)[ -]?тест""),""А/В-тесты"",""""),IF(REGEXMATCH(LOWER(AL"&amp;"54&amp;"" | ""&amp;E54),""data science""),""Data science"",""""),IF(REGEXMATCH(LOWER(AL54&amp;"" | ""&amp;E54),""data[- ]?инжен""),""Data-инженер"",""""),IF(REGEXMATCH(LOWER(AL54&amp;"" | ""&amp;E54),""frontend""),""Frontend"",""""))))"),"")</f>
        <v/>
      </c>
    </row>
    <row r="55">
      <c r="A55" s="6" t="str">
        <f>IFERROR(__xludf.DUMMYFUNCTION("""COMPUTED_VALUE"""),"INT-1840")</f>
        <v>INT-1840</v>
      </c>
      <c r="B55" s="6" t="str">
        <f>IFERROR(__xludf.DUMMYFUNCTION("""COMPUTED_VALUE"""),"2026-08-10 20:33:06")</f>
        <v>2026-08-10 20:33:06</v>
      </c>
      <c r="C55" s="6" t="str">
        <f>IFERROR(__xludf.DUMMYFUNCTION("""COMPUTED_VALUE"""),"@postypashki_old")</f>
        <v>@postypashki_old</v>
      </c>
      <c r="D55" s="4" t="str">
        <f>IFERROR(__xludf.DUMMYFUNCTION("""COMPUTED_VALUE"""),"Промо со скидкой")</f>
        <v>Промо со скидкой</v>
      </c>
      <c r="E55" s="6"/>
      <c r="F55" s="6" t="str">
        <f>IFERROR(__xludf.DUMMYFUNCTION("""COMPUTED_VALUE"""),"")</f>
        <v/>
      </c>
      <c r="G55" s="6" t="str">
        <f>IFERROR(__xludf.DUMMYFUNCTION("""COMPUTED_VALUE"""),"postypashki_old/1840")</f>
        <v>postypashki_old/1840</v>
      </c>
      <c r="H55" s="6" t="str">
        <f>IFERROR(__xludf.DUMMYFUNCTION("""COMPUTED_VALUE"""),"У России три пути: 18+, ***** и IT
И кажется, у нас случился переход между карьерными треками…
Нам неважно, какой у человека бэкграунд и чем он занимался раньше. Важно, куда он хочет прийти и что готов для этого делать.
Наша студентка, Алина, решила кар"&amp;"динально сменить сферу, пришла на «СТАРТ» и теперь готовится к своей новой цели — получить оффер в Яндекс.
Можно следить за успехами и учиться вместе с Алиной. На наши курсы старт, идут финальные 4 часа скидки. 
➡️ Записаться")</f>
        <v>У России три пути: 18+, ***** и IT
И кажется, у нас случился переход между карьерными треками…
Нам неважно, какой у человека бэкграунд и чем он занимался раньше. Важно, куда он хочет прийти и что готов для этого делать.
Наша студентка, Алина, решила кардинально сменить сферу, пришла на «СТАРТ» и теперь готовится к своей новой цели — получить оффер в Яндекс.
Можно следить за успехами и учиться вместе с Алиной. На наши курсы старт, идут финальные 4 часа скидки. 
➡️ Записаться</v>
      </c>
      <c r="I55" s="6" t="str">
        <f>IFERROR(__xludf.DUMMYFUNCTION("""COMPUTED_VALUE"""),"internal")</f>
        <v>internal</v>
      </c>
      <c r="J55" s="10" t="str">
        <f>IFERROR(__xludf.DUMMYFUNCTION("""COMPUTED_VALUE"""),"https://t.me/postypashki_old/1840")</f>
        <v>https://t.me/postypashki_old/1840</v>
      </c>
      <c r="K55" s="6">
        <f>IFERROR(__xludf.DUMMYFUNCTION("""COMPUTED_VALUE"""),30500.0)</f>
        <v>30500</v>
      </c>
      <c r="L55" s="6">
        <f>IFERROR(__xludf.DUMMYFUNCTION("""COMPUTED_VALUE"""),37.0)</f>
        <v>37</v>
      </c>
      <c r="M55" s="6" t="str">
        <f>IFERROR(__xludf.DUMMYFUNCTION("""COMPUTED_VALUE"""),"")</f>
        <v/>
      </c>
      <c r="N55" s="6" t="str">
        <f>IFERROR(__xludf.DUMMYFUNCTION("""COMPUTED_VALUE"""),"Telegram")</f>
        <v>Telegram</v>
      </c>
      <c r="O55" s="6" t="str">
        <f>IFERROR(__xludf.DUMMYFUNCTION("""COMPUTED_VALUE"""),"raw")</f>
        <v>raw</v>
      </c>
      <c r="P55" s="6" t="str">
        <f>IFERROR(__xludf.DUMMYFUNCTION("""COMPUTED_VALUE"""),"Codex")</f>
        <v>Codex</v>
      </c>
      <c r="Q55" s="6" t="str">
        <f>IFERROR(__xludf.DUMMYFUNCTION("""COMPUTED_VALUE"""),"У России три пути: 18+, ***** и IT И кажется, у нас случился переход между карьерными треками… Нам неважно, какой у человека бэкграунд и чем он занимался раньше. Важно, куда он хоч")</f>
        <v>У России три пути: 18+, ***** и IT И кажется, у нас случился переход между карьерными треками… Нам неважно, какой у человека бэкграунд и чем он занимался раньше. Важно, куда он хоч</v>
      </c>
      <c r="R55" s="6" t="str">
        <f>IFERROR(__xludf.DUMMYFUNCTION("""COMPUTED_VALUE"""),"internal")</f>
        <v>internal</v>
      </c>
      <c r="S55" s="6" t="str">
        <f>IFERROR(__xludf.DUMMYFUNCTION("""COMPUTED_VALUE"""),"unknown")</f>
        <v>unknown</v>
      </c>
      <c r="T55" s="6" t="str">
        <f>IFERROR(__xludf.DUMMYFUNCTION("""COMPUTED_VALUE"""),"telegram_internal")</f>
        <v>telegram_internal</v>
      </c>
      <c r="U55" s="6" t="str">
        <f>IFERROR(__xludf.DUMMYFUNCTION("""COMPUTED_VALUE"""),"Промо со скидкой")</f>
        <v>Промо со скидкой</v>
      </c>
      <c r="V55" s="6" t="str">
        <f>IFERROR(__xludf.DUMMYFUNCTION("""COMPUTED_VALUE"""),"Период продаж")</f>
        <v>Период продаж</v>
      </c>
      <c r="W55" s="6"/>
      <c r="X55" s="6"/>
      <c r="Y55" s="6" t="str">
        <f>IFERROR(__xludf.DUMMYFUNCTION("""COMPUTED_VALUE"""),"")</f>
        <v/>
      </c>
      <c r="Z55" s="6" t="str">
        <f>IFERROR(__xludf.DUMMYFUNCTION("""COMPUTED_VALUE"""),"")</f>
        <v/>
      </c>
      <c r="AA55" s="6" t="b">
        <f>IFERROR(__xludf.DUMMYFUNCTION("""COMPUTED_VALUE"""),TRUE)</f>
        <v>1</v>
      </c>
      <c r="AB55" s="6" t="b">
        <f>IFERROR(__xludf.DUMMYFUNCTION("""COMPUTED_VALUE"""),TRUE)</f>
        <v>1</v>
      </c>
      <c r="AC55" s="6" t="b">
        <f>IFERROR(__xludf.DUMMYFUNCTION("""COMPUTED_VALUE"""),FALSE)</f>
        <v>0</v>
      </c>
      <c r="AD55" s="6" t="b">
        <f>IFERROR(__xludf.DUMMYFUNCTION("""COMPUTED_VALUE"""),FALSE)</f>
        <v>0</v>
      </c>
      <c r="AE55" s="6"/>
      <c r="AF55" s="6" t="b">
        <f>IFERROR(__xludf.DUMMYFUNCTION("""COMPUTED_VALUE"""),FALSE)</f>
        <v>0</v>
      </c>
      <c r="AG55" s="6" t="str">
        <f>IFERROR(__xludf.DUMMYFUNCTION("""COMPUTED_VALUE"""),"2026-08-10T17:33:06+00:00")</f>
        <v>2026-08-10T17:33:06+00:00</v>
      </c>
      <c r="AH55" s="6" t="str">
        <f>IFERROR(__xludf.DUMMYFUNCTION("""COMPUTED_VALUE"""),"")</f>
        <v/>
      </c>
      <c r="AI55" s="6" t="str">
        <f>IFERROR(__xludf.DUMMYFUNCTION("""COMPUTED_VALUE"""),"#N/A")</f>
        <v>#N/A</v>
      </c>
      <c r="AJ55" s="9" t="s">
        <v>167</v>
      </c>
      <c r="AK55" s="9" t="s">
        <v>213</v>
      </c>
      <c r="AM55" s="9" t="s">
        <v>219</v>
      </c>
      <c r="AN55" s="4" t="str">
        <f>IFERROR(__xludf.DUMMYFUNCTION("IF(OR(AJ55=""general_brand"",AJ55=""external"",AJ55=""unknown""),"""",IF(AJ55=""product_line"",IF(AK55=""START"",""Аналитика старт | Алгоритмы старт | Backend старт | ML старт"",IF(AK55=""PRO"",""AI-агенты про | Алгоритмы про | Аналитика про | ML про | Ba"&amp;"ckend про"",IF(AK55=""START | PRO"",""Аналитика старт | Алгоритмы старт | Backend старт | ML старт | AI-агенты про | Алгоритмы про | Аналитика про | ML про | Backend про"",""""))),TEXTJOIN("" | "",TRUE,IF(REGEXMATCH(LOWER(AL55&amp;"" | ""&amp;E55),""аналитика ста"&amp;"рт""),""Аналитика старт"",""""),IF(REGEXMATCH(LOWER(AL55&amp;"" | ""&amp;E55),""алгоритмы старт""),""Алгоритмы старт"",""""),IF(REGEXMATCH(LOWER(AL55&amp;"" | ""&amp;E55),""backend старт""),""Backend старт"",""""),IF(REGEXMATCH(LOWER(AL55&amp;"" | ""&amp;E55),""ml старт""),""ML "&amp;"старт"",""""),IF(REGEXMATCH(LOWER(AL55&amp;"" | ""&amp;E55),""ai[ -]?агент""),""AI-агенты про"",""""),IF(REGEXMATCH(LOWER(AL55&amp;"" | ""&amp;E55),""алгоритмы про""),""Алгоритмы про"",""""),IF(REGEXMATCH(LOWER(AL55&amp;"" | ""&amp;E55),""аналитика про""),""Аналитика про"","""")"&amp;",IF(REGEXMATCH(LOWER(AL55&amp;"" | ""&amp;E55),""ml про""),""ML про"",""""),IF(REGEXMATCH(LOWER(AL55&amp;"" | ""&amp;E55),""backend про""),""Backend про"",""""),IF(REGEXMATCH(LOWER(AL55&amp;"" | ""&amp;E55),""(а/в|ав|а в|ab)[ -]?тест""),""А/В-тесты"",""""),IF(REGEXMATCH(LOWER(AL"&amp;"55&amp;"" | ""&amp;E55),""data science""),""Data science"",""""),IF(REGEXMATCH(LOWER(AL55&amp;"" | ""&amp;E55),""data[- ]?инжен""),""Data-инженер"",""""),IF(REGEXMATCH(LOWER(AL55&amp;"" | ""&amp;E55),""frontend""),""Frontend"",""""))))"),"Аналитика старт | Алгоритмы старт | Backend старт | ML старт")</f>
        <v>Аналитика старт | Алгоритмы старт | Backend старт | ML старт</v>
      </c>
    </row>
    <row r="56">
      <c r="A56" s="6" t="str">
        <f>IFERROR(__xludf.DUMMYFUNCTION("""COMPUTED_VALUE"""),"INT-1841")</f>
        <v>INT-1841</v>
      </c>
      <c r="B56" s="6" t="str">
        <f>IFERROR(__xludf.DUMMYFUNCTION("""COMPUTED_VALUE"""),"2026-08-10 20:33:06")</f>
        <v>2026-08-10 20:33:06</v>
      </c>
      <c r="C56" s="6" t="str">
        <f>IFERROR(__xludf.DUMMYFUNCTION("""COMPUTED_VALUE"""),"@postypashki_old")</f>
        <v>@postypashki_old</v>
      </c>
      <c r="D56" s="4" t="str">
        <f>IFERROR(__xludf.DUMMYFUNCTION("""COMPUTED_VALUE"""),"Прочий контент")</f>
        <v>Прочий контент</v>
      </c>
      <c r="E56" s="6"/>
      <c r="F56" s="6" t="str">
        <f>IFERROR(__xludf.DUMMYFUNCTION("""COMPUTED_VALUE"""),"")</f>
        <v/>
      </c>
      <c r="G56" s="6" t="str">
        <f>IFERROR(__xludf.DUMMYFUNCTION("""COMPUTED_VALUE"""),"postypashki_old/1841")</f>
        <v>postypashki_old/1841</v>
      </c>
      <c r="H56" s="6"/>
      <c r="I56" s="6" t="str">
        <f>IFERROR(__xludf.DUMMYFUNCTION("""COMPUTED_VALUE"""),"internal")</f>
        <v>internal</v>
      </c>
      <c r="J56" s="10" t="str">
        <f>IFERROR(__xludf.DUMMYFUNCTION("""COMPUTED_VALUE"""),"https://t.me/postypashki_old/1841")</f>
        <v>https://t.me/postypashki_old/1841</v>
      </c>
      <c r="K56" s="6">
        <f>IFERROR(__xludf.DUMMYFUNCTION("""COMPUTED_VALUE"""),31600.0)</f>
        <v>31600</v>
      </c>
      <c r="L56" s="6">
        <f>IFERROR(__xludf.DUMMYFUNCTION("""COMPUTED_VALUE"""),425.0)</f>
        <v>425</v>
      </c>
      <c r="M56" s="6" t="str">
        <f>IFERROR(__xludf.DUMMYFUNCTION("""COMPUTED_VALUE"""),"")</f>
        <v/>
      </c>
      <c r="N56" s="6" t="str">
        <f>IFERROR(__xludf.DUMMYFUNCTION("""COMPUTED_VALUE"""),"Telegram")</f>
        <v>Telegram</v>
      </c>
      <c r="O56" s="6" t="str">
        <f>IFERROR(__xludf.DUMMYFUNCTION("""COMPUTED_VALUE"""),"raw")</f>
        <v>raw</v>
      </c>
      <c r="P56" s="6" t="str">
        <f>IFERROR(__xludf.DUMMYFUNCTION("""COMPUTED_VALUE"""),"Codex")</f>
        <v>Codex</v>
      </c>
      <c r="Q56" s="6" t="str">
        <f>IFERROR(__xludf.DUMMYFUNCTION("""COMPUTED_VALUE"""),"[Медиа без текстовой подписи]")</f>
        <v>[Медиа без текстовой подписи]</v>
      </c>
      <c r="R56" s="6" t="str">
        <f>IFERROR(__xludf.DUMMYFUNCTION("""COMPUTED_VALUE"""),"internal")</f>
        <v>internal</v>
      </c>
      <c r="S56" s="6" t="str">
        <f>IFERROR(__xludf.DUMMYFUNCTION("""COMPUTED_VALUE"""),"unknown")</f>
        <v>unknown</v>
      </c>
      <c r="T56" s="6" t="str">
        <f>IFERROR(__xludf.DUMMYFUNCTION("""COMPUTED_VALUE"""),"telegram_internal")</f>
        <v>telegram_internal</v>
      </c>
      <c r="U56" s="6" t="str">
        <f>IFERROR(__xludf.DUMMYFUNCTION("""COMPUTED_VALUE"""),"Прочий контент")</f>
        <v>Прочий контент</v>
      </c>
      <c r="V56" s="6" t="str">
        <f>IFERROR(__xludf.DUMMYFUNCTION("""COMPUTED_VALUE"""),"Период продаж")</f>
        <v>Период продаж</v>
      </c>
      <c r="W56" s="6" t="str">
        <f>IFERROR(__xludf.DUMMYFUNCTION("""COMPUTED_VALUE"""),"Видео")</f>
        <v>Видео</v>
      </c>
      <c r="X56" s="6"/>
      <c r="Y56" s="6" t="str">
        <f>IFERROR(__xludf.DUMMYFUNCTION("""COMPUTED_VALUE"""),"")</f>
        <v/>
      </c>
      <c r="Z56" s="6" t="str">
        <f>IFERROR(__xludf.DUMMYFUNCTION("""COMPUTED_VALUE"""),"")</f>
        <v/>
      </c>
      <c r="AA56" s="6" t="b">
        <f>IFERROR(__xludf.DUMMYFUNCTION("""COMPUTED_VALUE"""),FALSE)</f>
        <v>0</v>
      </c>
      <c r="AB56" s="6" t="b">
        <f>IFERROR(__xludf.DUMMYFUNCTION("""COMPUTED_VALUE"""),FALSE)</f>
        <v>0</v>
      </c>
      <c r="AC56" s="6" t="b">
        <f>IFERROR(__xludf.DUMMYFUNCTION("""COMPUTED_VALUE"""),FALSE)</f>
        <v>0</v>
      </c>
      <c r="AD56" s="6" t="b">
        <f>IFERROR(__xludf.DUMMYFUNCTION("""COMPUTED_VALUE"""),FALSE)</f>
        <v>0</v>
      </c>
      <c r="AE56" s="6"/>
      <c r="AF56" s="6" t="b">
        <f>IFERROR(__xludf.DUMMYFUNCTION("""COMPUTED_VALUE"""),FALSE)</f>
        <v>0</v>
      </c>
      <c r="AG56" s="6" t="str">
        <f>IFERROR(__xludf.DUMMYFUNCTION("""COMPUTED_VALUE"""),"2026-08-10T17:33:06+00:00")</f>
        <v>2026-08-10T17:33:06+00:00</v>
      </c>
      <c r="AH56" s="6" t="str">
        <f>IFERROR(__xludf.DUMMYFUNCTION("""COMPUTED_VALUE"""),"")</f>
        <v/>
      </c>
      <c r="AI56" s="6" t="str">
        <f>IFERROR(__xludf.DUMMYFUNCTION("""COMPUTED_VALUE"""),"#N/A")</f>
        <v>#N/A</v>
      </c>
      <c r="AJ56" s="9" t="s">
        <v>208</v>
      </c>
      <c r="AM56" s="9" t="s">
        <v>229</v>
      </c>
      <c r="AN56" s="6" t="str">
        <f>IFERROR(__xludf.DUMMYFUNCTION("IF(OR(AJ56=""general_brand"",AJ56=""external"",AJ56=""unknown""),"""",IF(AJ56=""product_line"",IF(AK56=""START"",""Аналитика старт | Алгоритмы старт | Backend старт | ML старт"",IF(AK56=""PRO"",""AI-агенты про | Алгоритмы про | Аналитика про | ML про | Ba"&amp;"ckend про"",IF(AK56=""START | PRO"",""Аналитика старт | Алгоритмы старт | Backend старт | ML старт | AI-агенты про | Алгоритмы про | Аналитика про | ML про | Backend про"",""""))),TEXTJOIN("" | "",TRUE,IF(REGEXMATCH(LOWER(AL56&amp;"" | ""&amp;E56),""аналитика ста"&amp;"рт""),""Аналитика старт"",""""),IF(REGEXMATCH(LOWER(AL56&amp;"" | ""&amp;E56),""алгоритмы старт""),""Алгоритмы старт"",""""),IF(REGEXMATCH(LOWER(AL56&amp;"" | ""&amp;E56),""backend старт""),""Backend старт"",""""),IF(REGEXMATCH(LOWER(AL56&amp;"" | ""&amp;E56),""ml старт""),""ML "&amp;"старт"",""""),IF(REGEXMATCH(LOWER(AL56&amp;"" | ""&amp;E56),""ai[ -]?агент""),""AI-агенты про"",""""),IF(REGEXMATCH(LOWER(AL56&amp;"" | ""&amp;E56),""алгоритмы про""),""Алгоритмы про"",""""),IF(REGEXMATCH(LOWER(AL56&amp;"" | ""&amp;E56),""аналитика про""),""Аналитика про"","""")"&amp;",IF(REGEXMATCH(LOWER(AL56&amp;"" | ""&amp;E56),""ml про""),""ML про"",""""),IF(REGEXMATCH(LOWER(AL56&amp;"" | ""&amp;E56),""backend про""),""Backend про"",""""),IF(REGEXMATCH(LOWER(AL56&amp;"" | ""&amp;E56),""(а/в|ав|а в|ab)[ -]?тест""),""А/В-тесты"",""""),IF(REGEXMATCH(LOWER(AL"&amp;"56&amp;"" | ""&amp;E56),""data science""),""Data science"",""""),IF(REGEXMATCH(LOWER(AL56&amp;"" | ""&amp;E56),""data[- ]?инжен""),""Data-инженер"",""""),IF(REGEXMATCH(LOWER(AL56&amp;"" | ""&amp;E56),""frontend""),""Frontend"",""""))))"),"")</f>
        <v/>
      </c>
    </row>
    <row r="57">
      <c r="A57" s="6" t="str">
        <f>IFERROR(__xludf.DUMMYFUNCTION("""COMPUTED_VALUE"""),"INT-1842")</f>
        <v>INT-1842</v>
      </c>
      <c r="B57" s="6" t="str">
        <f>IFERROR(__xludf.DUMMYFUNCTION("""COMPUTED_VALUE"""),"2026-08-11 15:03:39")</f>
        <v>2026-08-11 15:03:39</v>
      </c>
      <c r="C57" s="6" t="str">
        <f>IFERROR(__xludf.DUMMYFUNCTION("""COMPUTED_VALUE"""),"@postypashki_old")</f>
        <v>@postypashki_old</v>
      </c>
      <c r="D57" s="4" t="str">
        <f>IFERROR(__xludf.DUMMYFUNCTION("""COMPUTED_VALUE"""),"Бесплатное событие / лид-магнит")</f>
        <v>Бесплатное событие / лид-магнит</v>
      </c>
      <c r="E57" s="6"/>
      <c r="F57" s="6" t="str">
        <f>IFERROR(__xludf.DUMMYFUNCTION("""COMPUTED_VALUE"""),"")</f>
        <v/>
      </c>
      <c r="G57" s="6" t="str">
        <f>IFERROR(__xludf.DUMMYFUNCTION("""COMPUTED_VALUE"""),"postypashki_old/1842")</f>
        <v>postypashki_old/1842</v>
      </c>
      <c r="H57" s="6" t="str">
        <f>IFERROR(__xludf.DUMMYFUNCTION("""COMPUTED_VALUE"""),"План на следующий учебный год: запустить IT-проект и привлечь первых инвесторов! 💰
В Сбере стартовал набор на новую волну Молодёжных акселераторов — бесплатных онлайн-программ, где школьники, студенты и молодые исследователи создают свой стартап с подде"&amp;"ржкой практикующих предпринимателей.
Акселератор длится 6–8 месяцев — за это время ты получишь:
✔️ Готовый кейс для портфолио — реальный проект с метриками и результатами.
✔️ Умение управлять  командой.
✔️ Опыт питча перед экспертами и, вполне возможно,"&amp;" первые инвестиции.
✔️ Преференции при поступлении в вуз, если ты учишься в школе.
✔️ Билет в IT-сообщество и ценные контакты.
Участники акселератора уже запустили 5 тысяч стартапов и привлекли более 780 млн рублей — почему бы и тебе не попробовать? 😏
"&amp;"Регистрация здесь!")</f>
        <v>План на следующий учебный год: запустить IT-проект и привлечь первых инвесторов! 💰
В Сбере стартовал набор на новую волну Молодёжных акселераторов — бесплатных онлайн-программ, где школьники, студенты и молодые исследователи создают свой стартап с поддержкой практикующих предпринимателей.
Акселератор длится 6–8 месяцев — за это время ты получишь:
✔️ Готовый кейс для портфолио — реальный проект с метриками и результатами.
✔️ Умение управлять  командой.
✔️ Опыт питча перед экспертами и, вполне возможно, первые инвестиции.
✔️ Преференции при поступлении в вуз, если ты учишься в школе.
✔️ Билет в IT-сообщество и ценные контакты.
Участники акселератора уже запустили 5 тысяч стартапов и привлекли более 780 млн рублей — почему бы и тебе не попробовать? 😏
Регистрация здесь!</v>
      </c>
      <c r="I57" s="6" t="str">
        <f>IFERROR(__xludf.DUMMYFUNCTION("""COMPUTED_VALUE"""),"internal")</f>
        <v>internal</v>
      </c>
      <c r="J57" s="10" t="str">
        <f>IFERROR(__xludf.DUMMYFUNCTION("""COMPUTED_VALUE"""),"https://t.me/postypashki_old/1842")</f>
        <v>https://t.me/postypashki_old/1842</v>
      </c>
      <c r="K57" s="6">
        <f>IFERROR(__xludf.DUMMYFUNCTION("""COMPUTED_VALUE"""),17600.0)</f>
        <v>17600</v>
      </c>
      <c r="L57" s="6">
        <f>IFERROR(__xludf.DUMMYFUNCTION("""COMPUTED_VALUE"""),21.0)</f>
        <v>21</v>
      </c>
      <c r="M57" s="6" t="str">
        <f>IFERROR(__xludf.DUMMYFUNCTION("""COMPUTED_VALUE"""),"")</f>
        <v/>
      </c>
      <c r="N57" s="6" t="str">
        <f>IFERROR(__xludf.DUMMYFUNCTION("""COMPUTED_VALUE"""),"Telegram")</f>
        <v>Telegram</v>
      </c>
      <c r="O57" s="6" t="str">
        <f>IFERROR(__xludf.DUMMYFUNCTION("""COMPUTED_VALUE"""),"raw")</f>
        <v>raw</v>
      </c>
      <c r="P57" s="6" t="str">
        <f>IFERROR(__xludf.DUMMYFUNCTION("""COMPUTED_VALUE"""),"Codex")</f>
        <v>Codex</v>
      </c>
      <c r="Q57" s="6" t="str">
        <f>IFERROR(__xludf.DUMMYFUNCTION("""COMPUTED_VALUE"""),"План на следующий учебный год: запустить IT-проект и привлечь первых инвесторов! 💰 В Сбере стартовал набор на новую волну Молодёжных акселераторов — бесплатных онлайн-программ, где")</f>
        <v>План на следующий учебный год: запустить IT-проект и привлечь первых инвесторов! 💰 В Сбере стартовал набор на новую волну Молодёжных акселераторов — бесплатных онлайн-программ, где</v>
      </c>
      <c r="R57" s="6" t="str">
        <f>IFERROR(__xludf.DUMMYFUNCTION("""COMPUTED_VALUE"""),"internal")</f>
        <v>internal</v>
      </c>
      <c r="S57" s="6" t="str">
        <f>IFERROR(__xludf.DUMMYFUNCTION("""COMPUTED_VALUE"""),"unknown")</f>
        <v>unknown</v>
      </c>
      <c r="T57" s="6" t="str">
        <f>IFERROR(__xludf.DUMMYFUNCTION("""COMPUTED_VALUE"""),"telegram_internal")</f>
        <v>telegram_internal</v>
      </c>
      <c r="U57" s="6" t="str">
        <f>IFERROR(__xludf.DUMMYFUNCTION("""COMPUTED_VALUE"""),"Бесплатное событие / лид-магнит")</f>
        <v>Бесплатное событие / лид-магнит</v>
      </c>
      <c r="V57" s="6" t="str">
        <f>IFERROR(__xludf.DUMMYFUNCTION("""COMPUTED_VALUE"""),"Период продаж")</f>
        <v>Период продаж</v>
      </c>
      <c r="W57" s="6" t="str">
        <f>IFERROR(__xludf.DUMMYFUNCTION("""COMPUTED_VALUE"""),"Фото")</f>
        <v>Фото</v>
      </c>
      <c r="X57" s="6"/>
      <c r="Y57" s="6" t="str">
        <f>IFERROR(__xludf.DUMMYFUNCTION("""COMPUTED_VALUE"""),"")</f>
        <v/>
      </c>
      <c r="Z57" s="6" t="str">
        <f>IFERROR(__xludf.DUMMYFUNCTION("""COMPUTED_VALUE"""),"")</f>
        <v/>
      </c>
      <c r="AA57" s="6" t="b">
        <f>IFERROR(__xludf.DUMMYFUNCTION("""COMPUTED_VALUE"""),FALSE)</f>
        <v>0</v>
      </c>
      <c r="AB57" s="6" t="b">
        <f>IFERROR(__xludf.DUMMYFUNCTION("""COMPUTED_VALUE"""),FALSE)</f>
        <v>0</v>
      </c>
      <c r="AC57" s="6" t="b">
        <f>IFERROR(__xludf.DUMMYFUNCTION("""COMPUTED_VALUE"""),FALSE)</f>
        <v>0</v>
      </c>
      <c r="AD57" s="6" t="b">
        <f>IFERROR(__xludf.DUMMYFUNCTION("""COMPUTED_VALUE"""),TRUE)</f>
        <v>1</v>
      </c>
      <c r="AE57" s="6"/>
      <c r="AF57" s="6" t="b">
        <f>IFERROR(__xludf.DUMMYFUNCTION("""COMPUTED_VALUE"""),TRUE)</f>
        <v>1</v>
      </c>
      <c r="AG57" s="6" t="str">
        <f>IFERROR(__xludf.DUMMYFUNCTION("""COMPUTED_VALUE"""),"2026-08-11T12:03:39+00:00")</f>
        <v>2026-08-11T12:03:39+00:00</v>
      </c>
      <c r="AH57" s="6" t="str">
        <f>IFERROR(__xludf.DUMMYFUNCTION("""COMPUTED_VALUE"""),"")</f>
        <v/>
      </c>
      <c r="AI57" s="6" t="str">
        <f>IFERROR(__xludf.DUMMYFUNCTION("""COMPUTED_VALUE"""),"#N/A")</f>
        <v>#N/A</v>
      </c>
      <c r="AJ57" s="9" t="s">
        <v>176</v>
      </c>
      <c r="AM57" s="9" t="s">
        <v>237</v>
      </c>
      <c r="AN57" s="6" t="str">
        <f>IFERROR(__xludf.DUMMYFUNCTION("IF(OR(AJ57=""general_brand"",AJ57=""external"",AJ57=""unknown""),"""",IF(AJ57=""product_line"",IF(AK57=""START"",""Аналитика старт | Алгоритмы старт | Backend старт | ML старт"",IF(AK57=""PRO"",""AI-агенты про | Алгоритмы про | Аналитика про | ML про | Ba"&amp;"ckend про"",IF(AK57=""START | PRO"",""Аналитика старт | Алгоритмы старт | Backend старт | ML старт | AI-агенты про | Алгоритмы про | Аналитика про | ML про | Backend про"",""""))),TEXTJOIN("" | "",TRUE,IF(REGEXMATCH(LOWER(AL57&amp;"" | ""&amp;E57),""аналитика ста"&amp;"рт""),""Аналитика старт"",""""),IF(REGEXMATCH(LOWER(AL57&amp;"" | ""&amp;E57),""алгоритмы старт""),""Алгоритмы старт"",""""),IF(REGEXMATCH(LOWER(AL57&amp;"" | ""&amp;E57),""backend старт""),""Backend старт"",""""),IF(REGEXMATCH(LOWER(AL57&amp;"" | ""&amp;E57),""ml старт""),""ML "&amp;"старт"",""""),IF(REGEXMATCH(LOWER(AL57&amp;"" | ""&amp;E57),""ai[ -]?агент""),""AI-агенты про"",""""),IF(REGEXMATCH(LOWER(AL57&amp;"" | ""&amp;E57),""алгоритмы про""),""Алгоритмы про"",""""),IF(REGEXMATCH(LOWER(AL57&amp;"" | ""&amp;E57),""аналитика про""),""Аналитика про"","""")"&amp;",IF(REGEXMATCH(LOWER(AL57&amp;"" | ""&amp;E57),""ml про""),""ML про"",""""),IF(REGEXMATCH(LOWER(AL57&amp;"" | ""&amp;E57),""backend про""),""Backend про"",""""),IF(REGEXMATCH(LOWER(AL57&amp;"" | ""&amp;E57),""(а/в|ав|а в|ab)[ -]?тест""),""А/В-тесты"",""""),IF(REGEXMATCH(LOWER(AL"&amp;"57&amp;"" | ""&amp;E57),""data science""),""Data science"",""""),IF(REGEXMATCH(LOWER(AL57&amp;"" | ""&amp;E57),""data[- ]?инжен""),""Data-инженер"",""""),IF(REGEXMATCH(LOWER(AL57&amp;"" | ""&amp;E57),""frontend""),""Frontend"",""""))))"),"")</f>
        <v/>
      </c>
    </row>
    <row r="58">
      <c r="A58" s="6" t="str">
        <f>IFERROR(__xludf.DUMMYFUNCTION("""COMPUTED_VALUE"""),"INT-1843")</f>
        <v>INT-1843</v>
      </c>
      <c r="B58" s="6" t="str">
        <f>IFERROR(__xludf.DUMMYFUNCTION("""COMPUTED_VALUE"""),"2026-08-11 18:50:13")</f>
        <v>2026-08-11 18:50:13</v>
      </c>
      <c r="C58" s="6" t="str">
        <f>IFERROR(__xludf.DUMMYFUNCTION("""COMPUTED_VALUE"""),"@postypashki_old")</f>
        <v>@postypashki_old</v>
      </c>
      <c r="D58" s="4" t="str">
        <f>IFERROR(__xludf.DUMMYFUNCTION("""COMPUTED_VALUE"""),"Контент с предложением курсов")</f>
        <v>Контент с предложением курсов</v>
      </c>
      <c r="E58" s="6"/>
      <c r="F58" s="6" t="str">
        <f>IFERROR(__xludf.DUMMYFUNCTION("""COMPUTED_VALUE"""),"")</f>
        <v/>
      </c>
      <c r="G58" s="6" t="str">
        <f>IFERROR(__xludf.DUMMYFUNCTION("""COMPUTED_VALUE"""),"postypashki_old/1843")</f>
        <v>postypashki_old/1843</v>
      </c>
      <c r="H58" s="6" t="str">
        <f>IFERROR(__xludf.DUMMYFUNCTION("""COMPUTED_VALUE"""),"Как искать работу в 2026 году
Уже писал про прокачку профессионального рейтинга тут и про изи-вкат на стажировки тут. В этом посте продолжу тему и дам оценку традиционным способам поиска в новых реалиях.
Head Hunter
На рынке HH сейчас мало по-настоящему"&amp;" интересных вакансий для сеньоров, но достаточно неплохих Middle-позиций. Часто компании нанимают уверенного миддла, обещая в перспективе поднятие до Senior или Lead. Для джунов и стажеров на HH почти ничего нет, кроме ноунейм-компаний и учебных проектов."&amp;"
Также учтите: сейчас описания вакансий всё чаще генерируются ИИ, поэтому не удивляйтесь, если текст не совпадает с реальностью. Нанимать стали меньше, сейчас рынок - работодателя. Конкуренция бешеная, во многом из-за огромного количества ""вкатунов"", к"&amp;"оторые накручивают себе 3 года опыта и пытаются прыгнуть в зарплату миддла. По моим наблюдениям, до собеседования доходят только при идеальном совпадении стека и опыта. И пара нюансов:
— Резюме, написанные ИИ, отсеиваются сразу.
— Если в прошлом году в ре"&amp;"зюме было 2 года опыта, а через год вдруг стало 5 — это рекрутеры видят.
— Если претендуете на позицию в бигтехе, а последние места работы были в аутсорсе или стартапах - скорее всего, реджект. Конкуренты переманивают конкурентов (Альфа vs МТС, ВК vs Янде"&amp;"кс).
— Даже идеальный мэтч - не гарантия, иногда работодатель просто собирает базу.
Сайты компаний
Многие вакансии на официальных сайтах - это бутафория для сбора базы резюме. Ее начинают перебирать, когда появляется горящая потребность. Еще через сайт к"&amp;"омпании можно чекнуть ""наличие"" вакансии и, увидев её, попросить рефералку через тог же LinkedIn. Кстати, участникам нашего ближайшего потока курсов ПРО доступна закрытая база контактов рефералов из российских и зарубежных компаний! 
ТГ-чаты/каналы и а"&amp;"грегаторы
И наш чат. Неплохая альтернатива HH и сайтам. Вакансии там чаще реальные, конкуренция поменьше. Есть открытые агрегаторы и закрытые, куда попадают только по рекомендации. Вывод: качаем нетворк и профессиональный рейтинг! База таких ресурсов по п"&amp;"оиску работы в России и зарубежом также доступна участникам нашего ближайшего потока курсов ПРО! 
LinkedIn (Главный инструмент)
Здесь нужно входить в режим социальной инженерии. Не просто листать ленту, а искать контакты рекрутеров или тимлидов.
Учтите, "&amp;"что сейчас рекрутеры начали перепроверять опыт через GitHub, Хабр Карьеру и соцсети. Если на одном ресурсе указан один стаж, а на другом другой - это повод для отказа.
Как правильно писать в LinkedIn:
Не надо ""спамить"" всех подряд в друзья. Найдите 3–5"&amp;" человек из интересующей команды. Напишите им в личку не про «какой я крутой», а с конкретным запросом: ""Увидел вакансию, что ваша команда развивает такой-то продукт. У меня есть опыт в смежной области, я подготовил краткое резюме. Я могу быть вам полезе"&amp;"н?"". 
Если у вас есть общее место учебы или работы - это идеальный якорь для начала диалога. Метод прост, но эффективен: до собеседования после такого личного обращения доходит 20–30% кандидатов. Известны случаи, когда соискателя отсеивали на всех платф"&amp;"ормах, но он писал одному из разработчиков, и его пропускали на собеседование напрямую, минуя HR-скрининг.
Для Senior и Middle - это лучший способ. Для начинающих (Junior) этот способ тоже работает, но в письме стоит делать акцент на отсутствие страха пе"&amp;"ред новым: ""Я крепкий джун, смогу быстро освоить ваш стек и быстро дорасти до миддла"".
Итого
Относитесь осторожней к обещаниям тех, кто сулит ""волшебную таблетку"" и лёгкий вход. Но если вы настроены системно расти и хотите глубже разобраться в актуал"&amp;"ьных трендах, у нас есть отдельный расширенный карьерный блок на курсы ПРО. Всем советую! 
Подписаться: @postypashki_old")</f>
        <v>Как искать работу в 2026 году
Уже писал про прокачку профессионального рейтинга тут и про изи-вкат на стажировки тут. В этом посте продолжу тему и дам оценку традиционным способам поиска в новых реалиях.
Head Hunter
На рынке HH сейчас мало по-настоящему интересных вакансий для сеньоров, но достаточно неплохих Middle-позиций. Часто компании нанимают уверенного миддла, обещая в перспективе поднятие до Senior или Lead. Для джунов и стажеров на HH почти ничего нет, кроме ноунейм-компаний и учебных проектов.
Также учтите: сейчас описания вакансий всё чаще генерируются ИИ, поэтому не удивляйтесь, если текст не совпадает с реальностью. Нанимать стали меньше, сейчас рынок - работодателя. Конкуренция бешеная, во многом из-за огромного количества "вкатунов", которые накручивают себе 3 года опыта и пытаются прыгнуть в зарплату миддла. По моим наблюдениям, до собеседования доходят только при идеальном совпадении стека и опыта. И пара нюансов:
— Резюме, написанные ИИ, отсеиваются сразу.
— Если в прошлом году в резюме было 2 года опыта, а через год вдруг стало 5 — это рекрутеры видят.
— Если претендуете на позицию в бигтехе, а последние места работы были в аутсорсе или стартапах - скорее всего, реджект. Конкуренты переманивают конкурентов (Альфа vs МТС, ВК vs Яндекс).
— Даже идеальный мэтч - не гарантия, иногда работодатель просто собирает базу.
Сайты компаний
Многие вакансии на официальных сайтах - это бутафория для сбора базы резюме. Ее начинают перебирать, когда появляется горящая потребность. Еще через сайт компании можно чекнуть "наличие" вакансии и, увидев её, попросить рефералку через тог же LinkedIn. Кстати, участникам нашего ближайшего потока курсов ПРО доступна закрытая база контактов рефералов из российских и зарубежных компаний! 
ТГ-чаты/каналы и агрегаторы
И наш чат. Неплохая альтернатива HH и сайтам. Вакансии там чаще реальные, конкуренция поменьше. Есть открытые агрегаторы и закрытые, куда попадают только по рекомендации. Вывод: качаем нетворк и профессиональный рейтинг! База таких ресурсов по поиску работы в России и зарубежом также доступна участникам нашего ближайшего потока курсов ПРО! 
LinkedIn (Главный инструмент)
Здесь нужно входить в режим социальной инженерии. Не просто листать ленту, а искать контакты рекрутеров или тимлидов.
Учтите, что сейчас рекрутеры начали перепроверять опыт через GitHub, Хабр Карьеру и соцсети. Если на одном ресурсе указан один стаж, а на другом другой - это повод для отказа.
Как правильно писать в LinkedIn:
Не надо "спамить" всех подряд в друзья. Найдите 3–5 человек из интересующей команды. Напишите им в личку не про «какой я крутой», а с конкретным запросом: "Увидел вакансию, что ваша команда развивает такой-то продукт. У меня есть опыт в смежной области, я подготовил краткое резюме. Я могу быть вам полезен?". 
Если у вас есть общее место учебы или работы - это идеальный якорь для начала диалога. Метод прост, но эффективен: до собеседования после такого личного обращения доходит 20–30% кандидатов. Известны случаи, когда соискателя отсеивали на всех платформах, но он писал одному из разработчиков, и его пропускали на собеседование напрямую, минуя HR-скрининг.
Для Senior и Middle - это лучший способ. Для начинающих (Junior) этот способ тоже работает, но в письме стоит делать акцент на отсутствие страха перед новым: "Я крепкий джун, смогу быстро освоить ваш стек и быстро дорасти до миддла".
Итого
Относитесь осторожней к обещаниям тех, кто сулит "волшебную таблетку" и лёгкий вход. Но если вы настроены системно расти и хотите глубже разобраться в актуальных трендах, у нас есть отдельный расширенный карьерный блок на курсы ПРО. Всем советую! 
Подписаться: @postypashki_old</v>
      </c>
      <c r="I58" s="6" t="str">
        <f>IFERROR(__xludf.DUMMYFUNCTION("""COMPUTED_VALUE"""),"internal")</f>
        <v>internal</v>
      </c>
      <c r="J58" s="10" t="str">
        <f>IFERROR(__xludf.DUMMYFUNCTION("""COMPUTED_VALUE"""),"https://t.me/postypashki_old/1843")</f>
        <v>https://t.me/postypashki_old/1843</v>
      </c>
      <c r="K58" s="6">
        <f>IFERROR(__xludf.DUMMYFUNCTION("""COMPUTED_VALUE"""),18000.0)</f>
        <v>18000</v>
      </c>
      <c r="L58" s="6">
        <f>IFERROR(__xludf.DUMMYFUNCTION("""COMPUTED_VALUE"""),60.0)</f>
        <v>60</v>
      </c>
      <c r="M58" s="6" t="str">
        <f>IFERROR(__xludf.DUMMYFUNCTION("""COMPUTED_VALUE"""),"")</f>
        <v/>
      </c>
      <c r="N58" s="6" t="str">
        <f>IFERROR(__xludf.DUMMYFUNCTION("""COMPUTED_VALUE"""),"Telegram")</f>
        <v>Telegram</v>
      </c>
      <c r="O58" s="6" t="str">
        <f>IFERROR(__xludf.DUMMYFUNCTION("""COMPUTED_VALUE"""),"raw")</f>
        <v>raw</v>
      </c>
      <c r="P58" s="6" t="str">
        <f>IFERROR(__xludf.DUMMYFUNCTION("""COMPUTED_VALUE"""),"Codex")</f>
        <v>Codex</v>
      </c>
      <c r="Q58" s="6" t="str">
        <f>IFERROR(__xludf.DUMMYFUNCTION("""COMPUTED_VALUE"""),"Как искать работу в 2026 году Уже писал про прокачку профессионального рейтинга тут и про изи-вкат на стажировки тут. В этом посте продолжу тему и дам оценку традиционным способам ")</f>
        <v>Как искать работу в 2026 году Уже писал про прокачку профессионального рейтинга тут и про изи-вкат на стажировки тут. В этом посте продолжу тему и дам оценку традиционным способам </v>
      </c>
      <c r="R58" s="6" t="str">
        <f>IFERROR(__xludf.DUMMYFUNCTION("""COMPUTED_VALUE"""),"internal")</f>
        <v>internal</v>
      </c>
      <c r="S58" s="6" t="str">
        <f>IFERROR(__xludf.DUMMYFUNCTION("""COMPUTED_VALUE"""),"unknown")</f>
        <v>unknown</v>
      </c>
      <c r="T58" s="6" t="str">
        <f>IFERROR(__xludf.DUMMYFUNCTION("""COMPUTED_VALUE"""),"telegram_internal")</f>
        <v>telegram_internal</v>
      </c>
      <c r="U58" s="6" t="str">
        <f>IFERROR(__xludf.DUMMYFUNCTION("""COMPUTED_VALUE"""),"Контент с предложением курсов")</f>
        <v>Контент с предложением курсов</v>
      </c>
      <c r="V58" s="6" t="str">
        <f>IFERROR(__xludf.DUMMYFUNCTION("""COMPUTED_VALUE"""),"Период продаж")</f>
        <v>Период продаж</v>
      </c>
      <c r="W58" s="6"/>
      <c r="X58" s="6"/>
      <c r="Y58" s="6" t="str">
        <f>IFERROR(__xludf.DUMMYFUNCTION("""COMPUTED_VALUE"""),"")</f>
        <v/>
      </c>
      <c r="Z58" s="6" t="str">
        <f>IFERROR(__xludf.DUMMYFUNCTION("""COMPUTED_VALUE"""),"")</f>
        <v/>
      </c>
      <c r="AA58" s="6" t="b">
        <f>IFERROR(__xludf.DUMMYFUNCTION("""COMPUTED_VALUE"""),TRUE)</f>
        <v>1</v>
      </c>
      <c r="AB58" s="6" t="b">
        <f>IFERROR(__xludf.DUMMYFUNCTION("""COMPUTED_VALUE"""),FALSE)</f>
        <v>0</v>
      </c>
      <c r="AC58" s="6" t="b">
        <f>IFERROR(__xludf.DUMMYFUNCTION("""COMPUTED_VALUE"""),FALSE)</f>
        <v>0</v>
      </c>
      <c r="AD58" s="6" t="b">
        <f>IFERROR(__xludf.DUMMYFUNCTION("""COMPUTED_VALUE"""),FALSE)</f>
        <v>0</v>
      </c>
      <c r="AE58" s="6"/>
      <c r="AF58" s="6" t="b">
        <f>IFERROR(__xludf.DUMMYFUNCTION("""COMPUTED_VALUE"""),FALSE)</f>
        <v>0</v>
      </c>
      <c r="AG58" s="6" t="str">
        <f>IFERROR(__xludf.DUMMYFUNCTION("""COMPUTED_VALUE"""),"2026-08-11T15:50:13+00:00")</f>
        <v>2026-08-11T15:50:13+00:00</v>
      </c>
      <c r="AH58" s="6" t="str">
        <f>IFERROR(__xludf.DUMMYFUNCTION("""COMPUTED_VALUE"""),"")</f>
        <v/>
      </c>
      <c r="AI58" s="6" t="str">
        <f>IFERROR(__xludf.DUMMYFUNCTION("""COMPUTED_VALUE"""),"#N/A")</f>
        <v>#N/A</v>
      </c>
      <c r="AJ58" s="9" t="s">
        <v>167</v>
      </c>
      <c r="AK58" s="9" t="s">
        <v>242</v>
      </c>
      <c r="AM58" s="9" t="s">
        <v>219</v>
      </c>
      <c r="AN58" s="4" t="str">
        <f>IFERROR(__xludf.DUMMYFUNCTION("IF(OR(AJ58=""general_brand"",AJ58=""external"",AJ58=""unknown""),"""",IF(AJ58=""product_line"",IF(AK58=""START"",""Аналитика старт | Алгоритмы старт | Backend старт | ML старт"",IF(AK58=""PRO"",""AI-агенты про | Алгоритмы про | Аналитика про | ML про | Ba"&amp;"ckend про"",IF(AK58=""START | PRO"",""Аналитика старт | Алгоритмы старт | Backend старт | ML старт | AI-агенты про | Алгоритмы про | Аналитика про | ML про | Backend про"",""""))),TEXTJOIN("" | "",TRUE,IF(REGEXMATCH(LOWER(AL58&amp;"" | ""&amp;E58),""аналитика ста"&amp;"рт""),""Аналитика старт"",""""),IF(REGEXMATCH(LOWER(AL58&amp;"" | ""&amp;E58),""алгоритмы старт""),""Алгоритмы старт"",""""),IF(REGEXMATCH(LOWER(AL58&amp;"" | ""&amp;E58),""backend старт""),""Backend старт"",""""),IF(REGEXMATCH(LOWER(AL58&amp;"" | ""&amp;E58),""ml старт""),""ML "&amp;"старт"",""""),IF(REGEXMATCH(LOWER(AL58&amp;"" | ""&amp;E58),""ai[ -]?агент""),""AI-агенты про"",""""),IF(REGEXMATCH(LOWER(AL58&amp;"" | ""&amp;E58),""алгоритмы про""),""Алгоритмы про"",""""),IF(REGEXMATCH(LOWER(AL58&amp;"" | ""&amp;E58),""аналитика про""),""Аналитика про"","""")"&amp;",IF(REGEXMATCH(LOWER(AL58&amp;"" | ""&amp;E58),""ml про""),""ML про"",""""),IF(REGEXMATCH(LOWER(AL58&amp;"" | ""&amp;E58),""backend про""),""Backend про"",""""),IF(REGEXMATCH(LOWER(AL58&amp;"" | ""&amp;E58),""(а/в|ав|а в|ab)[ -]?тест""),""А/В-тесты"",""""),IF(REGEXMATCH(LOWER(AL"&amp;"58&amp;"" | ""&amp;E58),""data science""),""Data science"",""""),IF(REGEXMATCH(LOWER(AL58&amp;"" | ""&amp;E58),""data[- ]?инжен""),""Data-инженер"",""""),IF(REGEXMATCH(LOWER(AL58&amp;"" | ""&amp;E58),""frontend""),""Frontend"",""""))))"),"AI-агенты про | Алгоритмы про | Аналитика про | ML про | Backend про")</f>
        <v>AI-агенты про | Алгоритмы про | Аналитика про | ML про | Backend про</v>
      </c>
    </row>
    <row r="59">
      <c r="A59" s="6" t="str">
        <f>IFERROR(__xludf.DUMMYFUNCTION("""COMPUTED_VALUE"""),"INT-1844")</f>
        <v>INT-1844</v>
      </c>
      <c r="B59" s="6" t="str">
        <f>IFERROR(__xludf.DUMMYFUNCTION("""COMPUTED_VALUE"""),"2026-08-12 19:05:42")</f>
        <v>2026-08-12 19:05:42</v>
      </c>
      <c r="C59" s="6" t="str">
        <f>IFERROR(__xludf.DUMMYFUNCTION("""COMPUTED_VALUE"""),"@postypashki_old")</f>
        <v>@postypashki_old</v>
      </c>
      <c r="D59" s="4" t="str">
        <f>IFERROR(__xludf.DUMMYFUNCTION("""COMPUTED_VALUE"""),"Контент с упоминанием")</f>
        <v>Контент с упоминанием</v>
      </c>
      <c r="E59" s="6" t="str">
        <f>IFERROR(__xludf.DUMMYFUNCTION("""COMPUTED_VALUE"""),"Аналитика про")</f>
        <v>Аналитика про</v>
      </c>
      <c r="F59" s="6" t="str">
        <f>IFERROR(__xludf.DUMMYFUNCTION("""COMPUTED_VALUE"""),"")</f>
        <v/>
      </c>
      <c r="G59" s="6" t="str">
        <f>IFERROR(__xludf.DUMMYFUNCTION("""COMPUTED_VALUE"""),"postypashki_old/1844")</f>
        <v>postypashki_old/1844</v>
      </c>
      <c r="H59" s="6" t="str">
        <f>IFERROR(__xludf.DUMMYFUNCTION("""COMPUTED_VALUE"""),"Гайд на собесы в СберЗвук Data Analyst
Выпускница нашего курса аналитика про прошла полный цикл отбора на позицию middle-аналитика в СберЗвук: от первого разговора с рекрутёром до финального интервью. По горячим следам собрали подробный гайд: какие этапы"&amp;" собеседований были, что спрашивали по SQl и статистике, какие давали продуктовые кейсы, а также, на что стоит сделать упор при подготовке.
Внутри файлика:
- оконки в SQL
- пайплайн проведения А/Б теста 
- статистические тесты и постанализ
- мощность тес"&amp;"та, MDE, доверительные интервалы
- метрики для музыкального сервиса
- способы проверки гипотез без класического А/Б теста
Особенно много внимания в ходе всех интервью уделялось экспериментам и умению генерировать метрики в зависимости от кейса. Значитель"&amp;"ная часть вопросов из этого файла достаточно классическая, то есть, этот файлик поможет не только тем, кто хочет непосредственно в СберЗвук, но и тем, кто просто готовится к собеседования на позиции Аналитика Данных.
Подписаться: @postypashki_old")</f>
        <v>Гайд на собесы в СберЗвук Data Analyst
Выпускница нашего курса аналитика про прошла полный цикл отбора на позицию middle-аналитика в СберЗвук: от первого разговора с рекрутёром до финального интервью. По горячим следам собрали подробный гайд: какие этапы собеседований были, что спрашивали по SQl и статистике, какие давали продуктовые кейсы, а также, на что стоит сделать упор при подготовке.
Внутри файлика:
- оконки в SQL
- пайплайн проведения А/Б теста 
- статистические тесты и постанализ
- мощность теста, MDE, доверительные интервалы
- метрики для музыкального сервиса
- способы проверки гипотез без класического А/Б теста
Особенно много внимания в ходе всех интервью уделялось экспериментам и умению генерировать метрики в зависимости от кейса. Значительная часть вопросов из этого файла достаточно классическая, то есть, этот файлик поможет не только тем, кто хочет непосредственно в СберЗвук, но и тем, кто просто готовится к собеседования на позиции Аналитика Данных.
Подписаться: @postypashki_old</v>
      </c>
      <c r="I59" s="6" t="str">
        <f>IFERROR(__xludf.DUMMYFUNCTION("""COMPUTED_VALUE"""),"internal")</f>
        <v>internal</v>
      </c>
      <c r="J59" s="10" t="str">
        <f>IFERROR(__xludf.DUMMYFUNCTION("""COMPUTED_VALUE"""),"https://t.me/postypashki_old/1844")</f>
        <v>https://t.me/postypashki_old/1844</v>
      </c>
      <c r="K59" s="6">
        <f>IFERROR(__xludf.DUMMYFUNCTION("""COMPUTED_VALUE"""),18200.0)</f>
        <v>18200</v>
      </c>
      <c r="L59" s="6">
        <f>IFERROR(__xludf.DUMMYFUNCTION("""COMPUTED_VALUE"""),40.0)</f>
        <v>40</v>
      </c>
      <c r="M59" s="6" t="str">
        <f>IFERROR(__xludf.DUMMYFUNCTION("""COMPUTED_VALUE"""),"")</f>
        <v/>
      </c>
      <c r="N59" s="6" t="str">
        <f>IFERROR(__xludf.DUMMYFUNCTION("""COMPUTED_VALUE"""),"Telegram")</f>
        <v>Telegram</v>
      </c>
      <c r="O59" s="6" t="str">
        <f>IFERROR(__xludf.DUMMYFUNCTION("""COMPUTED_VALUE"""),"raw")</f>
        <v>raw</v>
      </c>
      <c r="P59" s="6" t="str">
        <f>IFERROR(__xludf.DUMMYFUNCTION("""COMPUTED_VALUE"""),"Codex")</f>
        <v>Codex</v>
      </c>
      <c r="Q59" s="6" t="str">
        <f>IFERROR(__xludf.DUMMYFUNCTION("""COMPUTED_VALUE"""),"Гайд на собесы в СберЗвук Data Analyst Выпускница нашего курса аналитика про прошла полный цикл отбора на позицию middle-аналитика в СберЗвук: от первого разговора с рекрутёром до ")</f>
        <v>Гайд на собесы в СберЗвук Data Analyst Выпускница нашего курса аналитика про прошла полный цикл отбора на позицию middle-аналитика в СберЗвук: от первого разговора с рекрутёром до </v>
      </c>
      <c r="R59" s="6" t="str">
        <f>IFERROR(__xludf.DUMMYFUNCTION("""COMPUTED_VALUE"""),"internal")</f>
        <v>internal</v>
      </c>
      <c r="S59" s="6" t="str">
        <f>IFERROR(__xludf.DUMMYFUNCTION("""COMPUTED_VALUE"""),"unknown")</f>
        <v>unknown</v>
      </c>
      <c r="T59" s="6" t="str">
        <f>IFERROR(__xludf.DUMMYFUNCTION("""COMPUTED_VALUE"""),"telegram_internal")</f>
        <v>telegram_internal</v>
      </c>
      <c r="U59" s="6" t="str">
        <f>IFERROR(__xludf.DUMMYFUNCTION("""COMPUTED_VALUE"""),"Контент с упоминанием")</f>
        <v>Контент с упоминанием</v>
      </c>
      <c r="V59" s="6" t="str">
        <f>IFERROR(__xludf.DUMMYFUNCTION("""COMPUTED_VALUE"""),"Период продаж")</f>
        <v>Период продаж</v>
      </c>
      <c r="W59" s="6" t="str">
        <f>IFERROR(__xludf.DUMMYFUNCTION("""COMPUTED_VALUE"""),"Файл")</f>
        <v>Файл</v>
      </c>
      <c r="X59" s="6"/>
      <c r="Y59" s="6" t="str">
        <f>IFERROR(__xludf.DUMMYFUNCTION("""COMPUTED_VALUE"""),"")</f>
        <v/>
      </c>
      <c r="Z59" s="6" t="str">
        <f>IFERROR(__xludf.DUMMYFUNCTION("""COMPUTED_VALUE"""),"")</f>
        <v/>
      </c>
      <c r="AA59" s="6" t="b">
        <f>IFERROR(__xludf.DUMMYFUNCTION("""COMPUTED_VALUE"""),TRUE)</f>
        <v>1</v>
      </c>
      <c r="AB59" s="6" t="b">
        <f>IFERROR(__xludf.DUMMYFUNCTION("""COMPUTED_VALUE"""),FALSE)</f>
        <v>0</v>
      </c>
      <c r="AC59" s="6" t="b">
        <f>IFERROR(__xludf.DUMMYFUNCTION("""COMPUTED_VALUE"""),FALSE)</f>
        <v>0</v>
      </c>
      <c r="AD59" s="6" t="b">
        <f>IFERROR(__xludf.DUMMYFUNCTION("""COMPUTED_VALUE"""),FALSE)</f>
        <v>0</v>
      </c>
      <c r="AE59" s="6"/>
      <c r="AF59" s="6" t="b">
        <f>IFERROR(__xludf.DUMMYFUNCTION("""COMPUTED_VALUE"""),FALSE)</f>
        <v>0</v>
      </c>
      <c r="AG59" s="6" t="str">
        <f>IFERROR(__xludf.DUMMYFUNCTION("""COMPUTED_VALUE"""),"2026-08-12T16:05:42+00:00")</f>
        <v>2026-08-12T16:05:42+00:00</v>
      </c>
      <c r="AH59" s="6" t="str">
        <f>IFERROR(__xludf.DUMMYFUNCTION("""COMPUTED_VALUE"""),"")</f>
        <v/>
      </c>
      <c r="AI59" s="6" t="str">
        <f>IFERROR(__xludf.DUMMYFUNCTION("""COMPUTED_VALUE"""),"#N/A")</f>
        <v>#N/A</v>
      </c>
      <c r="AJ59" s="9" t="s">
        <v>224</v>
      </c>
      <c r="AK59" s="9" t="s">
        <v>242</v>
      </c>
      <c r="AL59" s="4" t="s">
        <v>243</v>
      </c>
      <c r="AM59" s="9" t="s">
        <v>228</v>
      </c>
      <c r="AN59" s="4" t="str">
        <f>IFERROR(__xludf.DUMMYFUNCTION("IF(OR(AJ59=""general_brand"",AJ59=""external"",AJ59=""unknown""),"""",IF(AJ59=""product_line"",IF(AK59=""START"",""Аналитика старт | Алгоритмы старт | Backend старт | ML старт"",IF(AK59=""PRO"",""AI-агенты про | Алгоритмы про | Аналитика про | ML про | Ba"&amp;"ckend про"",IF(AK59=""START | PRO"",""Аналитика старт | Алгоритмы старт | Backend старт | ML старт | AI-агенты про | Алгоритмы про | Аналитика про | ML про | Backend про"",""""))),TEXTJOIN("" | "",TRUE,IF(REGEXMATCH(LOWER(AL59&amp;"" | ""&amp;E59),""аналитика ста"&amp;"рт""),""Аналитика старт"",""""),IF(REGEXMATCH(LOWER(AL59&amp;"" | ""&amp;E59),""алгоритмы старт""),""Алгоритмы старт"",""""),IF(REGEXMATCH(LOWER(AL59&amp;"" | ""&amp;E59),""backend старт""),""Backend старт"",""""),IF(REGEXMATCH(LOWER(AL59&amp;"" | ""&amp;E59),""ml старт""),""ML "&amp;"старт"",""""),IF(REGEXMATCH(LOWER(AL59&amp;"" | ""&amp;E59),""ai[ -]?агент""),""AI-агенты про"",""""),IF(REGEXMATCH(LOWER(AL59&amp;"" | ""&amp;E59),""алгоритмы про""),""Алгоритмы про"",""""),IF(REGEXMATCH(LOWER(AL59&amp;"" | ""&amp;E59),""аналитика про""),""Аналитика про"","""")"&amp;",IF(REGEXMATCH(LOWER(AL59&amp;"" | ""&amp;E59),""ml про""),""ML про"",""""),IF(REGEXMATCH(LOWER(AL59&amp;"" | ""&amp;E59),""backend про""),""Backend про"",""""),IF(REGEXMATCH(LOWER(AL59&amp;"" | ""&amp;E59),""(а/в|ав|а в|ab)[ -]?тест""),""А/В-тесты"",""""),IF(REGEXMATCH(LOWER(AL"&amp;"59&amp;"" | ""&amp;E59),""data science""),""Data science"",""""),IF(REGEXMATCH(LOWER(AL59&amp;"" | ""&amp;E59),""data[- ]?инжен""),""Data-инженер"",""""),IF(REGEXMATCH(LOWER(AL59&amp;"" | ""&amp;E59),""frontend""),""Frontend"",""""))))"),"Аналитика про")</f>
        <v>Аналитика про</v>
      </c>
    </row>
    <row r="60">
      <c r="A60" s="6" t="str">
        <f>IFERROR(__xludf.DUMMYFUNCTION("""COMPUTED_VALUE"""),"INT-1845")</f>
        <v>INT-1845</v>
      </c>
      <c r="B60" s="6" t="str">
        <f>IFERROR(__xludf.DUMMYFUNCTION("""COMPUTED_VALUE"""),"2026-08-13 10:05:42")</f>
        <v>2026-08-13 10:05:42</v>
      </c>
      <c r="C60" s="6" t="str">
        <f>IFERROR(__xludf.DUMMYFUNCTION("""COMPUTED_VALUE"""),"@postypashki_old")</f>
        <v>@postypashki_old</v>
      </c>
      <c r="D60" s="4" t="str">
        <f>IFERROR(__xludf.DUMMYFUNCTION("""COMPUTED_VALUE"""),"Бесплатное событие / лид-магнит")</f>
        <v>Бесплатное событие / лид-магнит</v>
      </c>
      <c r="E60" s="6"/>
      <c r="F60" s="6" t="str">
        <f>IFERROR(__xludf.DUMMYFUNCTION("""COMPUTED_VALUE"""),"")</f>
        <v/>
      </c>
      <c r="G60" s="6" t="str">
        <f>IFERROR(__xludf.DUMMYFUNCTION("""COMPUTED_VALUE"""),"postypashki_old/1845")</f>
        <v>postypashki_old/1845</v>
      </c>
      <c r="H60" s="6" t="str">
        <f>IFERROR(__xludf.DUMMYFUNCTION("""COMPUTED_VALUE"""),"Товарищи, появился неплохой шанс прокачать свое резюме и получить в портфолио кейс, основанный на реальных данных бигтеха: Ozon Tech открыл регистрацию на онлайн-соревнование E-CUP 2026: Students.
Всего будет три трека:
➡️поиск дубликатов товаров
➡️ ИИ-м"&amp;"одерация карточек маркетплейса
➡️прогнозирование поведения пользователей
Что ждет участников:
➡️ Призовой фонд 7 200 000 ₽ (по три призовых места в каждом треке)
➡️ Билеты на топовую IT-конфу E-CODE (12–13 сентября), на которой пройдет финал (топ-5 участ"&amp;"ников каждого трека)
➡️ Фидбэк от инженеров Ozon Tech
➡️ Кастомный лимитированный мерч 😎
Кто может принять участие: студенты бакалавриата, специалитета, магистратуры (18+) и выпускники бакалавриата, поступившие в магистратуру в этом году. Можно соло или"&amp;" командой до 5 человек. Зовите друзей и залетайте!
Регистрация строго до 30 августа: https://e-cup-ozon.ru/")</f>
        <v>Товарищи, появился неплохой шанс прокачать свое резюме и получить в портфолио кейс, основанный на реальных данных бигтеха: Ozon Tech открыл регистрацию на онлайн-соревнование E-CUP 2026: Students.
Всего будет три трека:
➡️поиск дубликатов товаров
➡️ ИИ-модерация карточек маркетплейса
➡️прогнозирование поведения пользователей
Что ждет участников:
➡️ Призовой фонд 7 200 000 ₽ (по три призовых места в каждом треке)
➡️ Билеты на топовую IT-конфу E-CODE (12–13 сентября), на которой пройдет финал (топ-5 участников каждого трека)
➡️ Фидбэк от инженеров Ozon Tech
➡️ Кастомный лимитированный мерч 😎
Кто может принять участие: студенты бакалавриата, специалитета, магистратуры (18+) и выпускники бакалавриата, поступившие в магистратуру в этом году. Можно соло или командой до 5 человек. Зовите друзей и залетайте!
Регистрация строго до 30 августа: https://e-cup-ozon.ru/</v>
      </c>
      <c r="I60" s="6" t="str">
        <f>IFERROR(__xludf.DUMMYFUNCTION("""COMPUTED_VALUE"""),"internal")</f>
        <v>internal</v>
      </c>
      <c r="J60" s="10" t="str">
        <f>IFERROR(__xludf.DUMMYFUNCTION("""COMPUTED_VALUE"""),"https://t.me/postypashki_old/1845")</f>
        <v>https://t.me/postypashki_old/1845</v>
      </c>
      <c r="K60" s="6">
        <f>IFERROR(__xludf.DUMMYFUNCTION("""COMPUTED_VALUE"""),19100.0)</f>
        <v>19100</v>
      </c>
      <c r="L60" s="6">
        <f>IFERROR(__xludf.DUMMYFUNCTION("""COMPUTED_VALUE"""),35.0)</f>
        <v>35</v>
      </c>
      <c r="M60" s="6" t="str">
        <f>IFERROR(__xludf.DUMMYFUNCTION("""COMPUTED_VALUE"""),"")</f>
        <v/>
      </c>
      <c r="N60" s="6" t="str">
        <f>IFERROR(__xludf.DUMMYFUNCTION("""COMPUTED_VALUE"""),"Telegram")</f>
        <v>Telegram</v>
      </c>
      <c r="O60" s="6" t="str">
        <f>IFERROR(__xludf.DUMMYFUNCTION("""COMPUTED_VALUE"""),"raw")</f>
        <v>raw</v>
      </c>
      <c r="P60" s="6" t="str">
        <f>IFERROR(__xludf.DUMMYFUNCTION("""COMPUTED_VALUE"""),"Codex")</f>
        <v>Codex</v>
      </c>
      <c r="Q60" s="6" t="str">
        <f>IFERROR(__xludf.DUMMYFUNCTION("""COMPUTED_VALUE"""),"Товарищи, появился неплохой шанс прокачать свое резюме и получить в портфолио кейс, основанный на реальных данных бигтеха: Ozon Tech открыл регистрацию на онлайн-соревнование E-CUP")</f>
        <v>Товарищи, появился неплохой шанс прокачать свое резюме и получить в портфолио кейс, основанный на реальных данных бигтеха: Ozon Tech открыл регистрацию на онлайн-соревнование E-CUP</v>
      </c>
      <c r="R60" s="6" t="str">
        <f>IFERROR(__xludf.DUMMYFUNCTION("""COMPUTED_VALUE"""),"internal")</f>
        <v>internal</v>
      </c>
      <c r="S60" s="6" t="str">
        <f>IFERROR(__xludf.DUMMYFUNCTION("""COMPUTED_VALUE"""),"unknown")</f>
        <v>unknown</v>
      </c>
      <c r="T60" s="6" t="str">
        <f>IFERROR(__xludf.DUMMYFUNCTION("""COMPUTED_VALUE"""),"telegram_internal")</f>
        <v>telegram_internal</v>
      </c>
      <c r="U60" s="6" t="str">
        <f>IFERROR(__xludf.DUMMYFUNCTION("""COMPUTED_VALUE"""),"Бесплатное событие / лид-магнит")</f>
        <v>Бесплатное событие / лид-магнит</v>
      </c>
      <c r="V60" s="6" t="str">
        <f>IFERROR(__xludf.DUMMYFUNCTION("""COMPUTED_VALUE"""),"Период продаж")</f>
        <v>Период продаж</v>
      </c>
      <c r="W60" s="6" t="str">
        <f>IFERROR(__xludf.DUMMYFUNCTION("""COMPUTED_VALUE"""),"Фото")</f>
        <v>Фото</v>
      </c>
      <c r="X60" s="6"/>
      <c r="Y60" s="6" t="str">
        <f>IFERROR(__xludf.DUMMYFUNCTION("""COMPUTED_VALUE"""),"")</f>
        <v/>
      </c>
      <c r="Z60" s="6" t="str">
        <f>IFERROR(__xludf.DUMMYFUNCTION("""COMPUTED_VALUE"""),"")</f>
        <v/>
      </c>
      <c r="AA60" s="6" t="b">
        <f>IFERROR(__xludf.DUMMYFUNCTION("""COMPUTED_VALUE"""),FALSE)</f>
        <v>0</v>
      </c>
      <c r="AB60" s="6" t="b">
        <f>IFERROR(__xludf.DUMMYFUNCTION("""COMPUTED_VALUE"""),FALSE)</f>
        <v>0</v>
      </c>
      <c r="AC60" s="6" t="b">
        <f>IFERROR(__xludf.DUMMYFUNCTION("""COMPUTED_VALUE"""),FALSE)</f>
        <v>0</v>
      </c>
      <c r="AD60" s="6" t="b">
        <f>IFERROR(__xludf.DUMMYFUNCTION("""COMPUTED_VALUE"""),FALSE)</f>
        <v>0</v>
      </c>
      <c r="AE60" s="6"/>
      <c r="AF60" s="6" t="b">
        <f>IFERROR(__xludf.DUMMYFUNCTION("""COMPUTED_VALUE"""),FALSE)</f>
        <v>0</v>
      </c>
      <c r="AG60" s="6" t="str">
        <f>IFERROR(__xludf.DUMMYFUNCTION("""COMPUTED_VALUE"""),"2026-08-13T07:05:42+00:00")</f>
        <v>2026-08-13T07:05:42+00:00</v>
      </c>
      <c r="AH60" s="6" t="str">
        <f>IFERROR(__xludf.DUMMYFUNCTION("""COMPUTED_VALUE"""),"")</f>
        <v/>
      </c>
      <c r="AI60" s="6" t="str">
        <f>IFERROR(__xludf.DUMMYFUNCTION("""COMPUTED_VALUE"""),"#N/A")</f>
        <v>#N/A</v>
      </c>
      <c r="AJ60" s="9" t="s">
        <v>176</v>
      </c>
      <c r="AM60" s="9" t="s">
        <v>229</v>
      </c>
      <c r="AN60" s="6" t="str">
        <f>IFERROR(__xludf.DUMMYFUNCTION("IF(OR(AJ60=""general_brand"",AJ60=""external"",AJ60=""unknown""),"""",IF(AJ60=""product_line"",IF(AK60=""START"",""Аналитика старт | Алгоритмы старт | Backend старт | ML старт"",IF(AK60=""PRO"",""AI-агенты про | Алгоритмы про | Аналитика про | ML про | Ba"&amp;"ckend про"",IF(AK60=""START | PRO"",""Аналитика старт | Алгоритмы старт | Backend старт | ML старт | AI-агенты про | Алгоритмы про | Аналитика про | ML про | Backend про"",""""))),TEXTJOIN("" | "",TRUE,IF(REGEXMATCH(LOWER(AL60&amp;"" | ""&amp;E60),""аналитика ста"&amp;"рт""),""Аналитика старт"",""""),IF(REGEXMATCH(LOWER(AL60&amp;"" | ""&amp;E60),""алгоритмы старт""),""Алгоритмы старт"",""""),IF(REGEXMATCH(LOWER(AL60&amp;"" | ""&amp;E60),""backend старт""),""Backend старт"",""""),IF(REGEXMATCH(LOWER(AL60&amp;"" | ""&amp;E60),""ml старт""),""ML "&amp;"старт"",""""),IF(REGEXMATCH(LOWER(AL60&amp;"" | ""&amp;E60),""ai[ -]?агент""),""AI-агенты про"",""""),IF(REGEXMATCH(LOWER(AL60&amp;"" | ""&amp;E60),""алгоритмы про""),""Алгоритмы про"",""""),IF(REGEXMATCH(LOWER(AL60&amp;"" | ""&amp;E60),""аналитика про""),""Аналитика про"","""")"&amp;",IF(REGEXMATCH(LOWER(AL60&amp;"" | ""&amp;E60),""ml про""),""ML про"",""""),IF(REGEXMATCH(LOWER(AL60&amp;"" | ""&amp;E60),""backend про""),""Backend про"",""""),IF(REGEXMATCH(LOWER(AL60&amp;"" | ""&amp;E60),""(а/в|ав|а в|ab)[ -]?тест""),""А/В-тесты"",""""),IF(REGEXMATCH(LOWER(AL"&amp;"60&amp;"" | ""&amp;E60),""data science""),""Data science"",""""),IF(REGEXMATCH(LOWER(AL60&amp;"" | ""&amp;E60),""data[- ]?инжен""),""Data-инженер"",""""),IF(REGEXMATCH(LOWER(AL60&amp;"" | ""&amp;E60),""frontend""),""Frontend"",""""))))"),"")</f>
        <v/>
      </c>
    </row>
    <row r="61">
      <c r="A61" s="6" t="str">
        <f>IFERROR(__xludf.DUMMYFUNCTION("""COMPUTED_VALUE"""),"INT-1846")</f>
        <v>INT-1846</v>
      </c>
      <c r="B61" s="6" t="str">
        <f>IFERROR(__xludf.DUMMYFUNCTION("""COMPUTED_VALUE"""),"2026-08-13 17:33:44")</f>
        <v>2026-08-13 17:33:44</v>
      </c>
      <c r="C61" s="6" t="str">
        <f>IFERROR(__xludf.DUMMYFUNCTION("""COMPUTED_VALUE"""),"@postypashki_old")</f>
        <v>@postypashki_old</v>
      </c>
      <c r="D61" s="4" t="str">
        <f>IFERROR(__xludf.DUMMYFUNCTION("""COMPUTED_VALUE"""),"Прочий контент")</f>
        <v>Прочий контент</v>
      </c>
      <c r="E61" s="6"/>
      <c r="F61" s="6" t="str">
        <f>IFERROR(__xludf.DUMMYFUNCTION("""COMPUTED_VALUE"""),"")</f>
        <v/>
      </c>
      <c r="G61" s="6" t="str">
        <f>IFERROR(__xludf.DUMMYFUNCTION("""COMPUTED_VALUE"""),"postypashki_old/1846")</f>
        <v>postypashki_old/1846</v>
      </c>
      <c r="H61" s="6" t="str">
        <f>IFERROR(__xludf.DUMMYFUNCTION("""COMPUTED_VALUE"""),"Продолжаем знакомиться с талантливыми учениками ""Поступашек"". Сегодня в гостях - Эмиль, Java разработчик ВК и наш ученик, который поступил в ШАД.
Смотрим интервью по ссылке: https://www.youtube.com/watch?v=c62mnysk3j0
Обсудили много всего интересного:"&amp;" 
— Зачем Эмилю ШАД, если и так есть классное образование и карьера 
— Почему Эмиль ушел из Т-банка, несмотря на хорошую зарплату 
— Стоит ли идти учиться в Яндекс лицей 
— Почему нужно писать абсолютно все олимпиады, если даже особо не готовился
— Кому п"&amp;"одходит и не подходит КТ ИТМО
Получился разговор не только про образование и карьеру, но и про сомнения, неудачи, выбор и поиск своего пути.")</f>
        <v>Продолжаем знакомиться с талантливыми учениками "Поступашек". Сегодня в гостях - Эмиль, Java разработчик ВК и наш ученик, который поступил в ШАД.
Смотрим интервью по ссылке: https://www.youtube.com/watch?v=c62mnysk3j0
Обсудили много всего интересного: 
— Зачем Эмилю ШАД, если и так есть классное образование и карьера 
— Почему Эмиль ушел из Т-банка, несмотря на хорошую зарплату 
— Стоит ли идти учиться в Яндекс лицей 
— Почему нужно писать абсолютно все олимпиады, если даже особо не готовился
— Кому подходит и не подходит КТ ИТМО
Получился разговор не только про образование и карьеру, но и про сомнения, неудачи, выбор и поиск своего пути.</v>
      </c>
      <c r="I61" s="6" t="str">
        <f>IFERROR(__xludf.DUMMYFUNCTION("""COMPUTED_VALUE"""),"internal")</f>
        <v>internal</v>
      </c>
      <c r="J61" s="10" t="str">
        <f>IFERROR(__xludf.DUMMYFUNCTION("""COMPUTED_VALUE"""),"https://t.me/postypashki_old/1846")</f>
        <v>https://t.me/postypashki_old/1846</v>
      </c>
      <c r="K61" s="6">
        <f>IFERROR(__xludf.DUMMYFUNCTION("""COMPUTED_VALUE"""),19700.0)</f>
        <v>19700</v>
      </c>
      <c r="L61" s="6">
        <f>IFERROR(__xludf.DUMMYFUNCTION("""COMPUTED_VALUE"""),45.0)</f>
        <v>45</v>
      </c>
      <c r="M61" s="6" t="str">
        <f>IFERROR(__xludf.DUMMYFUNCTION("""COMPUTED_VALUE"""),"")</f>
        <v/>
      </c>
      <c r="N61" s="6" t="str">
        <f>IFERROR(__xludf.DUMMYFUNCTION("""COMPUTED_VALUE"""),"Telegram")</f>
        <v>Telegram</v>
      </c>
      <c r="O61" s="6" t="str">
        <f>IFERROR(__xludf.DUMMYFUNCTION("""COMPUTED_VALUE"""),"raw")</f>
        <v>raw</v>
      </c>
      <c r="P61" s="6" t="str">
        <f>IFERROR(__xludf.DUMMYFUNCTION("""COMPUTED_VALUE"""),"Codex")</f>
        <v>Codex</v>
      </c>
      <c r="Q61" s="6" t="str">
        <f>IFERROR(__xludf.DUMMYFUNCTION("""COMPUTED_VALUE"""),"Продолжаем знакомиться с талантливыми учениками ""Поступашек"". Сегодня в гостях - Эмиль, Java разработчик ВК и наш ученик, который поступил в ШАД. Смотрим интервью по ссылке: https:")</f>
        <v>Продолжаем знакомиться с талантливыми учениками "Поступашек". Сегодня в гостях - Эмиль, Java разработчик ВК и наш ученик, который поступил в ШАД. Смотрим интервью по ссылке: https:</v>
      </c>
      <c r="R61" s="6" t="str">
        <f>IFERROR(__xludf.DUMMYFUNCTION("""COMPUTED_VALUE"""),"internal")</f>
        <v>internal</v>
      </c>
      <c r="S61" s="6" t="str">
        <f>IFERROR(__xludf.DUMMYFUNCTION("""COMPUTED_VALUE"""),"unknown")</f>
        <v>unknown</v>
      </c>
      <c r="T61" s="6" t="str">
        <f>IFERROR(__xludf.DUMMYFUNCTION("""COMPUTED_VALUE"""),"telegram_internal")</f>
        <v>telegram_internal</v>
      </c>
      <c r="U61" s="6" t="str">
        <f>IFERROR(__xludf.DUMMYFUNCTION("""COMPUTED_VALUE"""),"Прочий контент")</f>
        <v>Прочий контент</v>
      </c>
      <c r="V61" s="6" t="str">
        <f>IFERROR(__xludf.DUMMYFUNCTION("""COMPUTED_VALUE"""),"Период продаж")</f>
        <v>Период продаж</v>
      </c>
      <c r="W61" s="6" t="str">
        <f>IFERROR(__xludf.DUMMYFUNCTION("""COMPUTED_VALUE"""),"Фото")</f>
        <v>Фото</v>
      </c>
      <c r="X61" s="6"/>
      <c r="Y61" s="6" t="str">
        <f>IFERROR(__xludf.DUMMYFUNCTION("""COMPUTED_VALUE"""),"")</f>
        <v/>
      </c>
      <c r="Z61" s="6" t="str">
        <f>IFERROR(__xludf.DUMMYFUNCTION("""COMPUTED_VALUE"""),"")</f>
        <v/>
      </c>
      <c r="AA61" s="6" t="b">
        <f>IFERROR(__xludf.DUMMYFUNCTION("""COMPUTED_VALUE"""),FALSE)</f>
        <v>0</v>
      </c>
      <c r="AB61" s="6" t="b">
        <f>IFERROR(__xludf.DUMMYFUNCTION("""COMPUTED_VALUE"""),FALSE)</f>
        <v>0</v>
      </c>
      <c r="AC61" s="6" t="b">
        <f>IFERROR(__xludf.DUMMYFUNCTION("""COMPUTED_VALUE"""),FALSE)</f>
        <v>0</v>
      </c>
      <c r="AD61" s="6" t="b">
        <f>IFERROR(__xludf.DUMMYFUNCTION("""COMPUTED_VALUE"""),FALSE)</f>
        <v>0</v>
      </c>
      <c r="AE61" s="6"/>
      <c r="AF61" s="6" t="b">
        <f>IFERROR(__xludf.DUMMYFUNCTION("""COMPUTED_VALUE"""),FALSE)</f>
        <v>0</v>
      </c>
      <c r="AG61" s="6" t="str">
        <f>IFERROR(__xludf.DUMMYFUNCTION("""COMPUTED_VALUE"""),"2026-08-13T14:33:44+00:00")</f>
        <v>2026-08-13T14:33:44+00:00</v>
      </c>
      <c r="AH61" s="6" t="str">
        <f>IFERROR(__xludf.DUMMYFUNCTION("""COMPUTED_VALUE"""),"")</f>
        <v/>
      </c>
      <c r="AI61" s="6" t="str">
        <f>IFERROR(__xludf.DUMMYFUNCTION("""COMPUTED_VALUE"""),"#N/A")</f>
        <v>#N/A</v>
      </c>
      <c r="AJ61" s="9" t="s">
        <v>233</v>
      </c>
      <c r="AM61" s="9" t="s">
        <v>219</v>
      </c>
      <c r="AN61" s="6" t="str">
        <f>IFERROR(__xludf.DUMMYFUNCTION("IF(OR(AJ61=""general_brand"",AJ61=""external"",AJ61=""unknown""),"""",IF(AJ61=""product_line"",IF(AK61=""START"",""Аналитика старт | Алгоритмы старт | Backend старт | ML старт"",IF(AK61=""PRO"",""AI-агенты про | Алгоритмы про | Аналитика про | ML про | Ba"&amp;"ckend про"",IF(AK61=""START | PRO"",""Аналитика старт | Алгоритмы старт | Backend старт | ML старт | AI-агенты про | Алгоритмы про | Аналитика про | ML про | Backend про"",""""))),TEXTJOIN("" | "",TRUE,IF(REGEXMATCH(LOWER(AL61&amp;"" | ""&amp;E61),""аналитика ста"&amp;"рт""),""Аналитика старт"",""""),IF(REGEXMATCH(LOWER(AL61&amp;"" | ""&amp;E61),""алгоритмы старт""),""Алгоритмы старт"",""""),IF(REGEXMATCH(LOWER(AL61&amp;"" | ""&amp;E61),""backend старт""),""Backend старт"",""""),IF(REGEXMATCH(LOWER(AL61&amp;"" | ""&amp;E61),""ml старт""),""ML "&amp;"старт"",""""),IF(REGEXMATCH(LOWER(AL61&amp;"" | ""&amp;E61),""ai[ -]?агент""),""AI-агенты про"",""""),IF(REGEXMATCH(LOWER(AL61&amp;"" | ""&amp;E61),""алгоритмы про""),""Алгоритмы про"",""""),IF(REGEXMATCH(LOWER(AL61&amp;"" | ""&amp;E61),""аналитика про""),""Аналитика про"","""")"&amp;",IF(REGEXMATCH(LOWER(AL61&amp;"" | ""&amp;E61),""ml про""),""ML про"",""""),IF(REGEXMATCH(LOWER(AL61&amp;"" | ""&amp;E61),""backend про""),""Backend про"",""""),IF(REGEXMATCH(LOWER(AL61&amp;"" | ""&amp;E61),""(а/в|ав|а в|ab)[ -]?тест""),""А/В-тесты"",""""),IF(REGEXMATCH(LOWER(AL"&amp;"61&amp;"" | ""&amp;E61),""data science""),""Data science"",""""),IF(REGEXMATCH(LOWER(AL61&amp;"" | ""&amp;E61),""data[- ]?инжен""),""Data-инженер"",""""),IF(REGEXMATCH(LOWER(AL61&amp;"" | ""&amp;E61),""frontend""),""Frontend"",""""))))"),"")</f>
        <v/>
      </c>
    </row>
    <row r="62">
      <c r="A62" s="6" t="str">
        <f>IFERROR(__xludf.DUMMYFUNCTION("""COMPUTED_VALUE"""),"INT-1847")</f>
        <v>INT-1847</v>
      </c>
      <c r="B62" s="6" t="str">
        <f>IFERROR(__xludf.DUMMYFUNCTION("""COMPUTED_VALUE"""),"2026-08-14 12:41:15")</f>
        <v>2026-08-14 12:41:15</v>
      </c>
      <c r="C62" s="6" t="str">
        <f>IFERROR(__xludf.DUMMYFUNCTION("""COMPUTED_VALUE"""),"@postypashki_old")</f>
        <v>@postypashki_old</v>
      </c>
      <c r="D62" s="4" t="str">
        <f>IFERROR(__xludf.DUMMYFUNCTION("""COMPUTED_VALUE"""),"Бесплатное событие / лид-магнит")</f>
        <v>Бесплатное событие / лид-магнит</v>
      </c>
      <c r="E62" s="6"/>
      <c r="F62" s="6" t="str">
        <f>IFERROR(__xludf.DUMMYFUNCTION("""COMPUTED_VALUE"""),"")</f>
        <v/>
      </c>
      <c r="G62" s="6" t="str">
        <f>IFERROR(__xludf.DUMMYFUNCTION("""COMPUTED_VALUE"""),"postypashki_old/1847")</f>
        <v>postypashki_old/1847</v>
      </c>
      <c r="H62" s="6" t="str">
        <f>IFERROR(__xludf.DUMMYFUNCTION("""COMPUTED_VALUE"""),"Яндекс открыл регистрацию в бесплатные олимпиадные Кружки по программированию и искусственному интеллекту
В Кружке по программированию (6–11 классы) разберут всё: от базовых алгоритмов до продвинутых структур данных, а в Кружке по ИИ (8–11 классы) изучат"&amp;" математику для ИИ и ML. У каждого направления несколько уровней сложности: от начального до продвинутого.
Занятия ведут победители олимпиад, тренеры сборных и члены жюри, а формат включает еженедельные лекции, семинары в небольших группах, регулярные ко"&amp;"нтесты и пробные олимпиады.
Регистрация уже открыта: обучение бесплатное, отбор — по заявке и вступительным испытаниям.")</f>
        <v>Яндекс открыл регистрацию в бесплатные олимпиадные Кружки по программированию и искусственному интеллекту
В Кружке по программированию (6–11 классы) разберут всё: от базовых алгоритмов до продвинутых структур данных, а в Кружке по ИИ (8–11 классы) изучат математику для ИИ и ML. У каждого направления несколько уровней сложности: от начального до продвинутого.
Занятия ведут победители олимпиад, тренеры сборных и члены жюри, а формат включает еженедельные лекции, семинары в небольших группах, регулярные контесты и пробные олимпиады.
Регистрация уже открыта: обучение бесплатное, отбор — по заявке и вступительным испытаниям.</v>
      </c>
      <c r="I62" s="6" t="str">
        <f>IFERROR(__xludf.DUMMYFUNCTION("""COMPUTED_VALUE"""),"internal")</f>
        <v>internal</v>
      </c>
      <c r="J62" s="10" t="str">
        <f>IFERROR(__xludf.DUMMYFUNCTION("""COMPUTED_VALUE"""),"https://t.me/postypashki_old/1847")</f>
        <v>https://t.me/postypashki_old/1847</v>
      </c>
      <c r="K62" s="6">
        <f>IFERROR(__xludf.DUMMYFUNCTION("""COMPUTED_VALUE"""),20300.0)</f>
        <v>20300</v>
      </c>
      <c r="L62" s="6">
        <f>IFERROR(__xludf.DUMMYFUNCTION("""COMPUTED_VALUE"""),45.0)</f>
        <v>45</v>
      </c>
      <c r="M62" s="6" t="str">
        <f>IFERROR(__xludf.DUMMYFUNCTION("""COMPUTED_VALUE"""),"")</f>
        <v/>
      </c>
      <c r="N62" s="6" t="str">
        <f>IFERROR(__xludf.DUMMYFUNCTION("""COMPUTED_VALUE"""),"Telegram")</f>
        <v>Telegram</v>
      </c>
      <c r="O62" s="6" t="str">
        <f>IFERROR(__xludf.DUMMYFUNCTION("""COMPUTED_VALUE"""),"raw")</f>
        <v>raw</v>
      </c>
      <c r="P62" s="6" t="str">
        <f>IFERROR(__xludf.DUMMYFUNCTION("""COMPUTED_VALUE"""),"Codex")</f>
        <v>Codex</v>
      </c>
      <c r="Q62" s="6" t="str">
        <f>IFERROR(__xludf.DUMMYFUNCTION("""COMPUTED_VALUE"""),"Яндекс открыл регистрацию в бесплатные олимпиадные Кружки по программированию и искусственному интеллекту В Кружке по программированию (6–11 классы) разберут всё: от базовых алгори")</f>
        <v>Яндекс открыл регистрацию в бесплатные олимпиадные Кружки по программированию и искусственному интеллекту В Кружке по программированию (6–11 классы) разберут всё: от базовых алгори</v>
      </c>
      <c r="R62" s="6" t="str">
        <f>IFERROR(__xludf.DUMMYFUNCTION("""COMPUTED_VALUE"""),"internal")</f>
        <v>internal</v>
      </c>
      <c r="S62" s="6" t="str">
        <f>IFERROR(__xludf.DUMMYFUNCTION("""COMPUTED_VALUE"""),"unknown")</f>
        <v>unknown</v>
      </c>
      <c r="T62" s="6" t="str">
        <f>IFERROR(__xludf.DUMMYFUNCTION("""COMPUTED_VALUE"""),"telegram_internal")</f>
        <v>telegram_internal</v>
      </c>
      <c r="U62" s="6" t="str">
        <f>IFERROR(__xludf.DUMMYFUNCTION("""COMPUTED_VALUE"""),"Бесплатное событие / лид-магнит")</f>
        <v>Бесплатное событие / лид-магнит</v>
      </c>
      <c r="V62" s="6" t="str">
        <f>IFERROR(__xludf.DUMMYFUNCTION("""COMPUTED_VALUE"""),"Период продаж")</f>
        <v>Период продаж</v>
      </c>
      <c r="W62" s="6" t="str">
        <f>IFERROR(__xludf.DUMMYFUNCTION("""COMPUTED_VALUE"""),"Фото")</f>
        <v>Фото</v>
      </c>
      <c r="X62" s="6"/>
      <c r="Y62" s="6" t="str">
        <f>IFERROR(__xludf.DUMMYFUNCTION("""COMPUTED_VALUE"""),"")</f>
        <v/>
      </c>
      <c r="Z62" s="6" t="str">
        <f>IFERROR(__xludf.DUMMYFUNCTION("""COMPUTED_VALUE"""),"")</f>
        <v/>
      </c>
      <c r="AA62" s="6" t="b">
        <f>IFERROR(__xludf.DUMMYFUNCTION("""COMPUTED_VALUE"""),FALSE)</f>
        <v>0</v>
      </c>
      <c r="AB62" s="6" t="b">
        <f>IFERROR(__xludf.DUMMYFUNCTION("""COMPUTED_VALUE"""),FALSE)</f>
        <v>0</v>
      </c>
      <c r="AC62" s="6" t="b">
        <f>IFERROR(__xludf.DUMMYFUNCTION("""COMPUTED_VALUE"""),FALSE)</f>
        <v>0</v>
      </c>
      <c r="AD62" s="6" t="b">
        <f>IFERROR(__xludf.DUMMYFUNCTION("""COMPUTED_VALUE"""),TRUE)</f>
        <v>1</v>
      </c>
      <c r="AE62" s="6"/>
      <c r="AF62" s="6" t="b">
        <f>IFERROR(__xludf.DUMMYFUNCTION("""COMPUTED_VALUE"""),TRUE)</f>
        <v>1</v>
      </c>
      <c r="AG62" s="6" t="str">
        <f>IFERROR(__xludf.DUMMYFUNCTION("""COMPUTED_VALUE"""),"2026-08-14T09:41:15+00:00")</f>
        <v>2026-08-14T09:41:15+00:00</v>
      </c>
      <c r="AH62" s="6" t="str">
        <f>IFERROR(__xludf.DUMMYFUNCTION("""COMPUTED_VALUE"""),"")</f>
        <v/>
      </c>
      <c r="AI62" s="6" t="str">
        <f>IFERROR(__xludf.DUMMYFUNCTION("""COMPUTED_VALUE"""),"#N/A")</f>
        <v>#N/A</v>
      </c>
      <c r="AJ62" s="9" t="s">
        <v>176</v>
      </c>
      <c r="AM62" s="9" t="s">
        <v>235</v>
      </c>
      <c r="AN62" s="6" t="str">
        <f>IFERROR(__xludf.DUMMYFUNCTION("IF(OR(AJ62=""general_brand"",AJ62=""external"",AJ62=""unknown""),"""",IF(AJ62=""product_line"",IF(AK62=""START"",""Аналитика старт | Алгоритмы старт | Backend старт | ML старт"",IF(AK62=""PRO"",""AI-агенты про | Алгоритмы про | Аналитика про | ML про | Ba"&amp;"ckend про"",IF(AK62=""START | PRO"",""Аналитика старт | Алгоритмы старт | Backend старт | ML старт | AI-агенты про | Алгоритмы про | Аналитика про | ML про | Backend про"",""""))),TEXTJOIN("" | "",TRUE,IF(REGEXMATCH(LOWER(AL62&amp;"" | ""&amp;E62),""аналитика ста"&amp;"рт""),""Аналитика старт"",""""),IF(REGEXMATCH(LOWER(AL62&amp;"" | ""&amp;E62),""алгоритмы старт""),""Алгоритмы старт"",""""),IF(REGEXMATCH(LOWER(AL62&amp;"" | ""&amp;E62),""backend старт""),""Backend старт"",""""),IF(REGEXMATCH(LOWER(AL62&amp;"" | ""&amp;E62),""ml старт""),""ML "&amp;"старт"",""""),IF(REGEXMATCH(LOWER(AL62&amp;"" | ""&amp;E62),""ai[ -]?агент""),""AI-агенты про"",""""),IF(REGEXMATCH(LOWER(AL62&amp;"" | ""&amp;E62),""алгоритмы про""),""Алгоритмы про"",""""),IF(REGEXMATCH(LOWER(AL62&amp;"" | ""&amp;E62),""аналитика про""),""Аналитика про"","""")"&amp;",IF(REGEXMATCH(LOWER(AL62&amp;"" | ""&amp;E62),""ml про""),""ML про"",""""),IF(REGEXMATCH(LOWER(AL62&amp;"" | ""&amp;E62),""backend про""),""Backend про"",""""),IF(REGEXMATCH(LOWER(AL62&amp;"" | ""&amp;E62),""(а/в|ав|а в|ab)[ -]?тест""),""А/В-тесты"",""""),IF(REGEXMATCH(LOWER(AL"&amp;"62&amp;"" | ""&amp;E62),""data science""),""Data science"",""""),IF(REGEXMATCH(LOWER(AL62&amp;"" | ""&amp;E62),""data[- ]?инжен""),""Data-инженер"",""""),IF(REGEXMATCH(LOWER(AL62&amp;"" | ""&amp;E62),""frontend""),""Frontend"",""""))))"),"")</f>
        <v/>
      </c>
    </row>
    <row r="63">
      <c r="A63" s="6" t="str">
        <f>IFERROR(__xludf.DUMMYFUNCTION("""COMPUTED_VALUE"""),"INT-1848")</f>
        <v>INT-1848</v>
      </c>
      <c r="B63" s="6" t="str">
        <f>IFERROR(__xludf.DUMMYFUNCTION("""COMPUTED_VALUE"""),"2026-08-14 19:52:44")</f>
        <v>2026-08-14 19:52:44</v>
      </c>
      <c r="C63" s="6" t="str">
        <f>IFERROR(__xludf.DUMMYFUNCTION("""COMPUTED_VALUE"""),"@postypashki_old")</f>
        <v>@postypashki_old</v>
      </c>
      <c r="D63" s="4" t="str">
        <f>IFERROR(__xludf.DUMMYFUNCTION("""COMPUTED_VALUE"""),"Прочий контент")</f>
        <v>Прочий контент</v>
      </c>
      <c r="E63" s="6"/>
      <c r="F63" s="6" t="str">
        <f>IFERROR(__xludf.DUMMYFUNCTION("""COMPUTED_VALUE"""),"")</f>
        <v/>
      </c>
      <c r="G63" s="6" t="str">
        <f>IFERROR(__xludf.DUMMYFUNCTION("""COMPUTED_VALUE"""),"postypashki_old/1848")</f>
        <v>postypashki_old/1848</v>
      </c>
      <c r="H63" s="6" t="str">
        <f>IFERROR(__xludf.DUMMYFUNCTION("""COMPUTED_VALUE"""),"ВК - кринж или норм 
Давайте честно. ""Устроился в Яндекс"" и ""устроился в ВК"" звучат по-разному. На второе кто-нибудь пошутит про кривой редизайн каждые пару месяцев, лагающие приложения, подписки на каждом шагу и тупую рекламу. У бренда правда пробле"&amp;"ма с восприятием: его видят не как техкомпанию, а как комбайн из соцсетей и рекламы. Но ""на безрыбье и рак рыба"". Если у тебя нет коммерческого опыта, не стоит вертеть носом из-за мемов, вот почему.
Это не одна компания, а десятки
ВКонтакте, Mail.ru, V"&amp;"K Tech, VK Video - у каждой свой стек и уровень разработки. В одной команде сильный лид, современный стек, релизы каждую неделю. В другой легаси старше тебя и месяцы согласований. Смотри сам: VK Tech - 80% команды инженеры, менеджмент из бигтеха, отдельны"&amp;"й от соцсетей продукт без легаси. А в других юнитах легаси реальное, и об этом говорят сами инженеры VK. Команда VK Мессенджера честно описала на Хабре, как жила с четырьмя разными кодовыми базами и страхом что-то тронуть: на простую фичу ""пометить чат н"&amp;"епрочитанным"" у разработчика ушёл месяц, а нормально разобраться в коде получилось только через полгода. В итоге решились переписывать всё с нуля. Так что переписывать чужой старый код под новый стек - местами реальная часть работы, и это на любителя.
Ко"&amp;"роче, ""крутая команда"" - это не про весь холдинг, а про конкретные юниты. Проверяй до оффера: спроси у ребят в нашем чатике или у самой команды про процессы прямо на собесе.
Как туда попасть
Студентов и выпускников активно хантят, особенно если учишься"&amp;" там, где у VK свой образовательный центр: Бауманка (самый первый и крупный центр VK), МФТИ, ИТМО, СПбГУ, Вышка, МГУ, УрФУ, Иннополис. Там партнёрский бакалавриат/магистратура и прямой выход на стажировку без общего конкурса. Вуза нет в списке? У VK Educa"&amp;"tion есть открытые онлайн-программы для всех и если указать эту строчку в резюме, то выше шансы при отборе. Но есть нюанс с тем, как попасть на стажку. Просто закинуть резюме и ждать - слабая стратегия, отклик часто не долетает, стажки часто одиночные, а "&amp;"не массовый набор как у Яндекса. Работает другое: искать сотрудников нужной команды и писать напрямую, выходить на HR в личку - это повышает шансы для любой компании. Собесы не запредельно трудные, но расслабляться нельзя. Путь стандартный: скрининг - тех"&amp;"ничка - финал. Единого собеса на весь VK нет, всё зависит от направления и интервьюеров: где-то копают язык, где-то базы и сети, где-то архитектуру или твой пет-проект. 
Чем хороша стажка
Часто слышу от ребят: постажировались в бигтехе, ставки после нет,"&amp;" снова на рынок. А в резюме кроме строчки ""стажировался в NDA"" - нечего, задачи были простецкие или баги фиксили, на собесе такое не впечатляет. У VK по опыту наших студентов иначе: в бэкенд-стажировке в AI-команде реально интегрировали core поискового "&amp;"движка в поиск по музыке ВКонтакте и строили пайплайны под индексацию. Пускают в прод-код, а не сажают в стороне разгребать бэклог или багами заниматься. И больше половины стажёров каждый набор получают оффер и остаются. Если не дали оффер, то хотя бы в с"&amp;"ледующей компании будет чем похвастаться.
Так зачем идти в ВК
Бренд так себе, половиной сервисов ты сам не пользуешься. Но на собесе смотрят чаще на обязанности, которые ты выполнял, чем на контору, хотя бигтех и добавит +реп. Оба пункта как раз про рабо"&amp;"ту в ВК. Поэтому рекомендую присмотреться, а не ставить крест, особенно новичкам. К тому же из ВК любит переманивать тот же Яндекс и другие бигтехи. Короче, не смотри на мемы, смотри на реальные задачи и рост. 
Подписаться: @postypashki_old")</f>
        <v>ВК - кринж или норм 
Давайте честно. "Устроился в Яндекс" и "устроился в ВК" звучат по-разному. На второе кто-нибудь пошутит про кривой редизайн каждые пару месяцев, лагающие приложения, подписки на каждом шагу и тупую рекламу. У бренда правда проблема с восприятием: его видят не как техкомпанию, а как комбайн из соцсетей и рекламы. Но "на безрыбье и рак рыба". Если у тебя нет коммерческого опыта, не стоит вертеть носом из-за мемов, вот почему.
Это не одна компания, а десятки
ВКонтакте, Mail.ru, VK Tech, VK Video - у каждой свой стек и уровень разработки. В одной команде сильный лид, современный стек, релизы каждую неделю. В другой легаси старше тебя и месяцы согласований. Смотри сам: VK Tech - 80% команды инженеры, менеджмент из бигтеха, отдельный от соцсетей продукт без легаси. А в других юнитах легаси реальное, и об этом говорят сами инженеры VK. Команда VK Мессенджера честно описала на Хабре, как жила с четырьмя разными кодовыми базами и страхом что-то тронуть: на простую фичу "пометить чат непрочитанным" у разработчика ушёл месяц, а нормально разобраться в коде получилось только через полгода. В итоге решились переписывать всё с нуля. Так что переписывать чужой старый код под новый стек - местами реальная часть работы, и это на любителя.
Короче, "крутая команда" - это не про весь холдинг, а про конкретные юниты. Проверяй до оффера: спроси у ребят в нашем чатике или у самой команды про процессы прямо на собесе.
Как туда попасть
Студентов и выпускников активно хантят, особенно если учишься там, где у VK свой образовательный центр: Бауманка (самый первый и крупный центр VK), МФТИ, ИТМО, СПбГУ, Вышка, МГУ, УрФУ, Иннополис. Там партнёрский бакалавриат/магистратура и прямой выход на стажировку без общего конкурса. Вуза нет в списке? У VK Education есть открытые онлайн-программы для всех и если указать эту строчку в резюме, то выше шансы при отборе. Но есть нюанс с тем, как попасть на стажку. Просто закинуть резюме и ждать - слабая стратегия, отклик часто не долетает, стажки часто одиночные, а не массовый набор как у Яндекса. Работает другое: искать сотрудников нужной команды и писать напрямую, выходить на HR в личку - это повышает шансы для любой компании. Собесы не запредельно трудные, но расслабляться нельзя. Путь стандартный: скрининг - техничка - финал. Единого собеса на весь VK нет, всё зависит от направления и интервьюеров: где-то копают язык, где-то базы и сети, где-то архитектуру или твой пет-проект. 
Чем хороша стажка
Часто слышу от ребят: постажировались в бигтехе, ставки после нет, снова на рынок. А в резюме кроме строчки "стажировался в NDA" - нечего, задачи были простецкие или баги фиксили, на собесе такое не впечатляет. У VK по опыту наших студентов иначе: в бэкенд-стажировке в AI-команде реально интегрировали core поискового движка в поиск по музыке ВКонтакте и строили пайплайны под индексацию. Пускают в прод-код, а не сажают в стороне разгребать бэклог или багами заниматься. И больше половины стажёров каждый набор получают оффер и остаются. Если не дали оффер, то хотя бы в следующей компании будет чем похвастаться.
Так зачем идти в ВК
Бренд так себе, половиной сервисов ты сам не пользуешься. Но на собесе смотрят чаще на обязанности, которые ты выполнял, чем на контору, хотя бигтех и добавит +реп. Оба пункта как раз про работу в ВК. Поэтому рекомендую присмотреться, а не ставить крест, особенно новичкам. К тому же из ВК любит переманивать тот же Яндекс и другие бигтехи. Короче, не смотри на мемы, смотри на реальные задачи и рост. 
Подписаться: @postypashki_old</v>
      </c>
      <c r="I63" s="6" t="str">
        <f>IFERROR(__xludf.DUMMYFUNCTION("""COMPUTED_VALUE"""),"internal")</f>
        <v>internal</v>
      </c>
      <c r="J63" s="10" t="str">
        <f>IFERROR(__xludf.DUMMYFUNCTION("""COMPUTED_VALUE"""),"https://t.me/postypashki_old/1848")</f>
        <v>https://t.me/postypashki_old/1848</v>
      </c>
      <c r="K63" s="6">
        <f>IFERROR(__xludf.DUMMYFUNCTION("""COMPUTED_VALUE"""),18100.0)</f>
        <v>18100</v>
      </c>
      <c r="L63" s="6">
        <f>IFERROR(__xludf.DUMMYFUNCTION("""COMPUTED_VALUE"""),175.0)</f>
        <v>175</v>
      </c>
      <c r="M63" s="6" t="str">
        <f>IFERROR(__xludf.DUMMYFUNCTION("""COMPUTED_VALUE"""),"")</f>
        <v/>
      </c>
      <c r="N63" s="6" t="str">
        <f>IFERROR(__xludf.DUMMYFUNCTION("""COMPUTED_VALUE"""),"Telegram")</f>
        <v>Telegram</v>
      </c>
      <c r="O63" s="6" t="str">
        <f>IFERROR(__xludf.DUMMYFUNCTION("""COMPUTED_VALUE"""),"raw")</f>
        <v>raw</v>
      </c>
      <c r="P63" s="6" t="str">
        <f>IFERROR(__xludf.DUMMYFUNCTION("""COMPUTED_VALUE"""),"Codex")</f>
        <v>Codex</v>
      </c>
      <c r="Q63" s="6" t="str">
        <f>IFERROR(__xludf.DUMMYFUNCTION("""COMPUTED_VALUE"""),"ВК - кринж или норм Давайте честно. ""Устроился в Яндекс"" и ""устроился в ВК"" звучат по-разному. На второе кто-нибудь пошутит про кривой редизайн каждые пару месяцев, лагающие прилож")</f>
        <v>ВК - кринж или норм Давайте честно. "Устроился в Яндекс" и "устроился в ВК" звучат по-разному. На второе кто-нибудь пошутит про кривой редизайн каждые пару месяцев, лагающие прилож</v>
      </c>
      <c r="R63" s="6" t="str">
        <f>IFERROR(__xludf.DUMMYFUNCTION("""COMPUTED_VALUE"""),"internal")</f>
        <v>internal</v>
      </c>
      <c r="S63" s="6" t="str">
        <f>IFERROR(__xludf.DUMMYFUNCTION("""COMPUTED_VALUE"""),"unknown")</f>
        <v>unknown</v>
      </c>
      <c r="T63" s="6" t="str">
        <f>IFERROR(__xludf.DUMMYFUNCTION("""COMPUTED_VALUE"""),"telegram_internal")</f>
        <v>telegram_internal</v>
      </c>
      <c r="U63" s="6" t="str">
        <f>IFERROR(__xludf.DUMMYFUNCTION("""COMPUTED_VALUE"""),"Прочий контент")</f>
        <v>Прочий контент</v>
      </c>
      <c r="V63" s="6" t="str">
        <f>IFERROR(__xludf.DUMMYFUNCTION("""COMPUTED_VALUE"""),"Период продаж")</f>
        <v>Период продаж</v>
      </c>
      <c r="W63" s="6"/>
      <c r="X63" s="6"/>
      <c r="Y63" s="6" t="str">
        <f>IFERROR(__xludf.DUMMYFUNCTION("""COMPUTED_VALUE"""),"")</f>
        <v/>
      </c>
      <c r="Z63" s="6" t="str">
        <f>IFERROR(__xludf.DUMMYFUNCTION("""COMPUTED_VALUE"""),"")</f>
        <v/>
      </c>
      <c r="AA63" s="6" t="b">
        <f>IFERROR(__xludf.DUMMYFUNCTION("""COMPUTED_VALUE"""),TRUE)</f>
        <v>1</v>
      </c>
      <c r="AB63" s="6" t="b">
        <f>IFERROR(__xludf.DUMMYFUNCTION("""COMPUTED_VALUE"""),FALSE)</f>
        <v>0</v>
      </c>
      <c r="AC63" s="6" t="b">
        <f>IFERROR(__xludf.DUMMYFUNCTION("""COMPUTED_VALUE"""),FALSE)</f>
        <v>0</v>
      </c>
      <c r="AD63" s="6" t="b">
        <f>IFERROR(__xludf.DUMMYFUNCTION("""COMPUTED_VALUE"""),FALSE)</f>
        <v>0</v>
      </c>
      <c r="AE63" s="6"/>
      <c r="AF63" s="6" t="b">
        <f>IFERROR(__xludf.DUMMYFUNCTION("""COMPUTED_VALUE"""),FALSE)</f>
        <v>0</v>
      </c>
      <c r="AG63" s="6" t="str">
        <f>IFERROR(__xludf.DUMMYFUNCTION("""COMPUTED_VALUE"""),"2026-08-14T16:52:44+00:00")</f>
        <v>2026-08-14T16:52:44+00:00</v>
      </c>
      <c r="AH63" s="6" t="str">
        <f>IFERROR(__xludf.DUMMYFUNCTION("""COMPUTED_VALUE"""),"")</f>
        <v/>
      </c>
      <c r="AI63" s="6" t="str">
        <f>IFERROR(__xludf.DUMMYFUNCTION("""COMPUTED_VALUE"""),"#N/A")</f>
        <v>#N/A</v>
      </c>
      <c r="AJ63" s="9" t="s">
        <v>208</v>
      </c>
      <c r="AM63" s="9" t="s">
        <v>219</v>
      </c>
      <c r="AN63" s="6" t="str">
        <f>IFERROR(__xludf.DUMMYFUNCTION("IF(OR(AJ63=""general_brand"",AJ63=""external"",AJ63=""unknown""),"""",IF(AJ63=""product_line"",IF(AK63=""START"",""Аналитика старт | Алгоритмы старт | Backend старт | ML старт"",IF(AK63=""PRO"",""AI-агенты про | Алгоритмы про | Аналитика про | ML про | Ba"&amp;"ckend про"",IF(AK63=""START | PRO"",""Аналитика старт | Алгоритмы старт | Backend старт | ML старт | AI-агенты про | Алгоритмы про | Аналитика про | ML про | Backend про"",""""))),TEXTJOIN("" | "",TRUE,IF(REGEXMATCH(LOWER(AL63&amp;"" | ""&amp;E63),""аналитика ста"&amp;"рт""),""Аналитика старт"",""""),IF(REGEXMATCH(LOWER(AL63&amp;"" | ""&amp;E63),""алгоритмы старт""),""Алгоритмы старт"",""""),IF(REGEXMATCH(LOWER(AL63&amp;"" | ""&amp;E63),""backend старт""),""Backend старт"",""""),IF(REGEXMATCH(LOWER(AL63&amp;"" | ""&amp;E63),""ml старт""),""ML "&amp;"старт"",""""),IF(REGEXMATCH(LOWER(AL63&amp;"" | ""&amp;E63),""ai[ -]?агент""),""AI-агенты про"",""""),IF(REGEXMATCH(LOWER(AL63&amp;"" | ""&amp;E63),""алгоритмы про""),""Алгоритмы про"",""""),IF(REGEXMATCH(LOWER(AL63&amp;"" | ""&amp;E63),""аналитика про""),""Аналитика про"","""")"&amp;",IF(REGEXMATCH(LOWER(AL63&amp;"" | ""&amp;E63),""ml про""),""ML про"",""""),IF(REGEXMATCH(LOWER(AL63&amp;"" | ""&amp;E63),""backend про""),""Backend про"",""""),IF(REGEXMATCH(LOWER(AL63&amp;"" | ""&amp;E63),""(а/в|ав|а в|ab)[ -]?тест""),""А/В-тесты"",""""),IF(REGEXMATCH(LOWER(AL"&amp;"63&amp;"" | ""&amp;E63),""data science""),""Data science"",""""),IF(REGEXMATCH(LOWER(AL63&amp;"" | ""&amp;E63),""data[- ]?инжен""),""Data-инженер"",""""),IF(REGEXMATCH(LOWER(AL63&amp;"" | ""&amp;E63),""frontend""),""Frontend"",""""))))"),"")</f>
        <v/>
      </c>
    </row>
    <row r="64">
      <c r="A64" s="6" t="str">
        <f>IFERROR(__xludf.DUMMYFUNCTION("""COMPUTED_VALUE"""),"INT-1849")</f>
        <v>INT-1849</v>
      </c>
      <c r="B64" s="6" t="str">
        <f>IFERROR(__xludf.DUMMYFUNCTION("""COMPUTED_VALUE"""),"2026-08-16 12:20:46")</f>
        <v>2026-08-16 12:20:46</v>
      </c>
      <c r="C64" s="6" t="str">
        <f>IFERROR(__xludf.DUMMYFUNCTION("""COMPUTED_VALUE"""),"@postypashki_old")</f>
        <v>@postypashki_old</v>
      </c>
      <c r="D64" s="4" t="str">
        <f>IFERROR(__xludf.DUMMYFUNCTION("""COMPUTED_VALUE"""),"Прочий контент")</f>
        <v>Прочий контент</v>
      </c>
      <c r="E64" s="6"/>
      <c r="F64" s="6" t="str">
        <f>IFERROR(__xludf.DUMMYFUNCTION("""COMPUTED_VALUE"""),"")</f>
        <v/>
      </c>
      <c r="G64" s="6" t="str">
        <f>IFERROR(__xludf.DUMMYFUNCTION("""COMPUTED_VALUE"""),"postypashki_old/1849")</f>
        <v>postypashki_old/1849</v>
      </c>
      <c r="H64" s="6" t="str">
        <f>IFERROR(__xludf.DUMMYFUNCTION("""COMPUTED_VALUE"""),"Охота на волков продолжается
Видели новость про парня, который устроился в Cloud.ru (это дочка Сбера)?
Суть в том, что он указал в резюме опыт работы в ВТБ и Райффайзене, хотя на самом деле там не работал. Каким-то образом он прошёл все этапы собеседова"&amp;"ний и в июне получил оффер в Cloud.ru.
Но когда пришло время оформлять документы, он предоставил выписку из трудовой, которая, как позже выяснилось, была отредактирована (возможно, подделана). Кто-то из сотрудников или HR заметил несоответствия, и сейчас"&amp;" компания проводит внутреннее расследование с участием службы безопасности.
Ситуация, мягко говоря, неприятная. Если Сбер подаст в суд, то парню, скорее всего, будет очень сложно найти работу в IT в будущем.
Ну что, ребят, как там накруточка?
Подписать"&amp;"ся: @postypashki_old")</f>
        <v>Охота на волков продолжается
Видели новость про парня, который устроился в Cloud.ru (это дочка Сбера)?
Суть в том, что он указал в резюме опыт работы в ВТБ и Райффайзене, хотя на самом деле там не работал. Каким-то образом он прошёл все этапы собеседований и в июне получил оффер в Cloud.ru.
Но когда пришло время оформлять документы, он предоставил выписку из трудовой, которая, как позже выяснилось, была отредактирована (возможно, подделана). Кто-то из сотрудников или HR заметил несоответствия, и сейчас компания проводит внутреннее расследование с участием службы безопасности.
Ситуация, мягко говоря, неприятная. Если Сбер подаст в суд, то парню, скорее всего, будет очень сложно найти работу в IT в будущем.
Ну что, ребят, как там накруточка?
Подписаться: @postypashki_old</v>
      </c>
      <c r="I64" s="6" t="str">
        <f>IFERROR(__xludf.DUMMYFUNCTION("""COMPUTED_VALUE"""),"internal")</f>
        <v>internal</v>
      </c>
      <c r="J64" s="10" t="str">
        <f>IFERROR(__xludf.DUMMYFUNCTION("""COMPUTED_VALUE"""),"https://t.me/postypashki_old/1849")</f>
        <v>https://t.me/postypashki_old/1849</v>
      </c>
      <c r="K64" s="6">
        <f>IFERROR(__xludf.DUMMYFUNCTION("""COMPUTED_VALUE"""),23100.0)</f>
        <v>23100</v>
      </c>
      <c r="L64" s="6">
        <f>IFERROR(__xludf.DUMMYFUNCTION("""COMPUTED_VALUE"""),198.0)</f>
        <v>198</v>
      </c>
      <c r="M64" s="6" t="str">
        <f>IFERROR(__xludf.DUMMYFUNCTION("""COMPUTED_VALUE"""),"")</f>
        <v/>
      </c>
      <c r="N64" s="6" t="str">
        <f>IFERROR(__xludf.DUMMYFUNCTION("""COMPUTED_VALUE"""),"Telegram")</f>
        <v>Telegram</v>
      </c>
      <c r="O64" s="6" t="str">
        <f>IFERROR(__xludf.DUMMYFUNCTION("""COMPUTED_VALUE"""),"raw")</f>
        <v>raw</v>
      </c>
      <c r="P64" s="6" t="str">
        <f>IFERROR(__xludf.DUMMYFUNCTION("""COMPUTED_VALUE"""),"Codex")</f>
        <v>Codex</v>
      </c>
      <c r="Q64" s="6" t="str">
        <f>IFERROR(__xludf.DUMMYFUNCTION("""COMPUTED_VALUE"""),"Охота на волков продолжается Видели новость про парня, который устроился в Cloud.ru (это дочка Сбера)? Суть в том, что он указал в резюме опыт работы в ВТБ и Райффайзене, хотя на с")</f>
        <v>Охота на волков продолжается Видели новость про парня, который устроился в Cloud.ru (это дочка Сбера)? Суть в том, что он указал в резюме опыт работы в ВТБ и Райффайзене, хотя на с</v>
      </c>
      <c r="R64" s="6" t="str">
        <f>IFERROR(__xludf.DUMMYFUNCTION("""COMPUTED_VALUE"""),"internal")</f>
        <v>internal</v>
      </c>
      <c r="S64" s="6" t="str">
        <f>IFERROR(__xludf.DUMMYFUNCTION("""COMPUTED_VALUE"""),"unknown")</f>
        <v>unknown</v>
      </c>
      <c r="T64" s="6" t="str">
        <f>IFERROR(__xludf.DUMMYFUNCTION("""COMPUTED_VALUE"""),"telegram_internal")</f>
        <v>telegram_internal</v>
      </c>
      <c r="U64" s="6" t="str">
        <f>IFERROR(__xludf.DUMMYFUNCTION("""COMPUTED_VALUE"""),"Прочий контент")</f>
        <v>Прочий контент</v>
      </c>
      <c r="V64" s="6" t="str">
        <f>IFERROR(__xludf.DUMMYFUNCTION("""COMPUTED_VALUE"""),"Период продаж")</f>
        <v>Период продаж</v>
      </c>
      <c r="W64" s="6" t="str">
        <f>IFERROR(__xludf.DUMMYFUNCTION("""COMPUTED_VALUE"""),"Фото")</f>
        <v>Фото</v>
      </c>
      <c r="X64" s="6"/>
      <c r="Y64" s="6" t="str">
        <f>IFERROR(__xludf.DUMMYFUNCTION("""COMPUTED_VALUE"""),"")</f>
        <v/>
      </c>
      <c r="Z64" s="6" t="str">
        <f>IFERROR(__xludf.DUMMYFUNCTION("""COMPUTED_VALUE"""),"")</f>
        <v/>
      </c>
      <c r="AA64" s="6" t="b">
        <f>IFERROR(__xludf.DUMMYFUNCTION("""COMPUTED_VALUE"""),FALSE)</f>
        <v>0</v>
      </c>
      <c r="AB64" s="6" t="b">
        <f>IFERROR(__xludf.DUMMYFUNCTION("""COMPUTED_VALUE"""),FALSE)</f>
        <v>0</v>
      </c>
      <c r="AC64" s="6" t="b">
        <f>IFERROR(__xludf.DUMMYFUNCTION("""COMPUTED_VALUE"""),FALSE)</f>
        <v>0</v>
      </c>
      <c r="AD64" s="6" t="b">
        <f>IFERROR(__xludf.DUMMYFUNCTION("""COMPUTED_VALUE"""),FALSE)</f>
        <v>0</v>
      </c>
      <c r="AE64" s="6"/>
      <c r="AF64" s="6" t="b">
        <f>IFERROR(__xludf.DUMMYFUNCTION("""COMPUTED_VALUE"""),FALSE)</f>
        <v>0</v>
      </c>
      <c r="AG64" s="6" t="str">
        <f>IFERROR(__xludf.DUMMYFUNCTION("""COMPUTED_VALUE"""),"2026-08-16T09:20:46+00:00")</f>
        <v>2026-08-16T09:20:46+00:00</v>
      </c>
      <c r="AH64" s="6" t="str">
        <f>IFERROR(__xludf.DUMMYFUNCTION("""COMPUTED_VALUE"""),"")</f>
        <v/>
      </c>
      <c r="AI64" s="6" t="str">
        <f>IFERROR(__xludf.DUMMYFUNCTION("""COMPUTED_VALUE"""),"#N/A")</f>
        <v>#N/A</v>
      </c>
      <c r="AJ64" s="9" t="s">
        <v>208</v>
      </c>
      <c r="AM64" s="9" t="s">
        <v>219</v>
      </c>
      <c r="AN64" s="6" t="str">
        <f>IFERROR(__xludf.DUMMYFUNCTION("IF(OR(AJ64=""general_brand"",AJ64=""external"",AJ64=""unknown""),"""",IF(AJ64=""product_line"",IF(AK64=""START"",""Аналитика старт | Алгоритмы старт | Backend старт | ML старт"",IF(AK64=""PRO"",""AI-агенты про | Алгоритмы про | Аналитика про | ML про | Ba"&amp;"ckend про"",IF(AK64=""START | PRO"",""Аналитика старт | Алгоритмы старт | Backend старт | ML старт | AI-агенты про | Алгоритмы про | Аналитика про | ML про | Backend про"",""""))),TEXTJOIN("" | "",TRUE,IF(REGEXMATCH(LOWER(AL64&amp;"" | ""&amp;E64),""аналитика ста"&amp;"рт""),""Аналитика старт"",""""),IF(REGEXMATCH(LOWER(AL64&amp;"" | ""&amp;E64),""алгоритмы старт""),""Алгоритмы старт"",""""),IF(REGEXMATCH(LOWER(AL64&amp;"" | ""&amp;E64),""backend старт""),""Backend старт"",""""),IF(REGEXMATCH(LOWER(AL64&amp;"" | ""&amp;E64),""ml старт""),""ML "&amp;"старт"",""""),IF(REGEXMATCH(LOWER(AL64&amp;"" | ""&amp;E64),""ai[ -]?агент""),""AI-агенты про"",""""),IF(REGEXMATCH(LOWER(AL64&amp;"" | ""&amp;E64),""алгоритмы про""),""Алгоритмы про"",""""),IF(REGEXMATCH(LOWER(AL64&amp;"" | ""&amp;E64),""аналитика про""),""Аналитика про"","""")"&amp;",IF(REGEXMATCH(LOWER(AL64&amp;"" | ""&amp;E64),""ml про""),""ML про"",""""),IF(REGEXMATCH(LOWER(AL64&amp;"" | ""&amp;E64),""backend про""),""Backend про"",""""),IF(REGEXMATCH(LOWER(AL64&amp;"" | ""&amp;E64),""(а/в|ав|а в|ab)[ -]?тест""),""А/В-тесты"",""""),IF(REGEXMATCH(LOWER(AL"&amp;"64&amp;"" | ""&amp;E64),""data science""),""Data science"",""""),IF(REGEXMATCH(LOWER(AL64&amp;"" | ""&amp;E64),""data[- ]?инжен""),""Data-инженер"",""""),IF(REGEXMATCH(LOWER(AL64&amp;"" | ""&amp;E64),""frontend""),""Frontend"",""""))))"),"")</f>
        <v/>
      </c>
    </row>
    <row r="65">
      <c r="A65" s="6" t="str">
        <f>IFERROR(__xludf.DUMMYFUNCTION("""COMPUTED_VALUE"""),"INT-1852")</f>
        <v>INT-1852</v>
      </c>
      <c r="B65" s="6" t="str">
        <f>IFERROR(__xludf.DUMMYFUNCTION("""COMPUTED_VALUE"""),"2026-08-16 19:39:39")</f>
        <v>2026-08-16 19:39:39</v>
      </c>
      <c r="C65" s="6" t="str">
        <f>IFERROR(__xludf.DUMMYFUNCTION("""COMPUTED_VALUE"""),"@postypashki_old")</f>
        <v>@postypashki_old</v>
      </c>
      <c r="D65" s="4" t="str">
        <f>IFERROR(__xludf.DUMMYFUNCTION("""COMPUTED_VALUE"""),"Контент с упоминанием")</f>
        <v>Контент с упоминанием</v>
      </c>
      <c r="E65" s="6"/>
      <c r="F65" s="6" t="str">
        <f>IFERROR(__xludf.DUMMYFUNCTION("""COMPUTED_VALUE"""),"")</f>
        <v/>
      </c>
      <c r="G65" s="6" t="str">
        <f>IFERROR(__xludf.DUMMYFUNCTION("""COMPUTED_VALUE"""),"postypashki_old/1852")</f>
        <v>postypashki_old/1852</v>
      </c>
      <c r="H65" s="6" t="str">
        <f>IFERROR(__xludf.DUMMYFUNCTION("""COMPUTED_VALUE"""),"LinkedIn: как зарегистрироваться и не словить бан
LinkedIn - главная профессиональная соц сеть, которая должна быть у каждого специалиста, претендующего на старший грейд и работу за рубежом. Но проблема, что сама компания сидит в UK и строго соблюдает ан"&amp;"тироссийские санкции. В посте обсудим, как пройти регистрацию и не улететь в бан. 
1. Регистрация с нуля
Главное будьте ниже радаров и избегайте, игнорируйте запрос на верификацию!
• Используйте личную почту (не корпоративную и не домен .ru).  
• Имя и ф"&amp;"амилия строго как в документах (пишите как в заграннике).  
• Укажите локацию, где будете искать работу (не РФ), например Испания. Нам момент оффера просто скажите, что друзья пригласили на время пожить в другом месте. 
• Привяжите постоянный номер (подро"&amp;"бнее о номерах в отдельном блоке ниже).  
• LinkedIn запрещает несколько аккаунтов на одного человека - это прямо прописано в правилах.
2. Что делать с V**
Есть риск, что разные браузеры и V** спровоцируют бан или запрос на верификацию, что нам нужно изб"&amp;"егать, поэтому
• Выберите один сервер и одну страну, не меняйте их;
• Подключайте V** до открытия сайта;
• Включите Kill Switch;
• Используйте одно устройство и один браузер;
• Не заходите с разных IP одновременно;
• Отключите автоматическую смену ""самог"&amp;"о быстрого"" сервера.
• Никаких расширений для автоматизации, масс-приглашений и парсинга - это гарантированный бан без шанса на восстановление.
3. После регистрации
• Подтвердите почту;
• Заполните профиль (аватарка, шапка, опыт, образование);
• Добавьт"&amp;"е несколько знакомых коллег (не десятки за раз, а то можем спровоцировать бан);
• Активируйте двухфакторку и резервный email.
• Как прогревать аккаунт плавно и о других фишках выход на доход в валюте будет на наших курсах ""ПРО""
4. Застряли на CAPTCHA
О"&amp;"шибка ""noCAPTCHA user response code is missing or invalid» - НЕ означает блокировку.
•  Не проходите проверку десятки раз подряд.  
•  Не переключайтесь между браузерами, устройствами и VPN-серверами.
•  Сделайте паузу и проверьте:
- включены ли JavaScr"&amp;"ipt и cookie;
- правильное ли время и дата на устройстве;
- обновлён ли браузер;
- отключены ли блокировщики скриптов;
- стабильно ли подключение (попробуйте перезагрузить роутер).
• Если ничего не помогает, удалите куки только для LinkedIn или попробуйте"&amp;" войти через мобильное приложение.
• Существует неофициальный лайфхак:
- нажмите ""Sign in"".
- выберите ""Forgot password"".
- получите код на почту и смените пароль.
- попробуйте войти снова.
Так вы подтверждаете доступ к почте через штатную процедуру "&amp;"сброса пароля. Этот способ не гарантирован, но иногда помогает обойти капчу. 
• Если не помогло, сделайте скриншот ошибки (дата, браузер, устройство) и пишите в поддержку. Не создавайте новый профиль после каждой неудачной попытки!
5. Если аккаунт уже ог"&amp;"раничен (Restricted Account)
Ни в коем случае не регистрируйте второй аккаунт - это усугубит ситуацию. Процедура описана здесь.
Что делать:
- Сохраните ссылку на свой профиль, все письма от LinkedIn, скриншот ограничения.
- Войдите с обычными данными и с"&amp;"ледуйте инструкциям апелляции.
- LinkedIn может запросить верификацию через Persona: загрузить фото документа, а иногда и селфи.
Важно: российские документы не принимаются (система выдаёт ошибку Unsupported Country ID). Не советую подделывать документы, "&amp;"ибо эта система проверки много, где действует (не только на LinkedIn) и в будущем могут быть проблемы и с другими платформами.  Приложите скриншот этой ошибки к обращению и попросите ручную проверку. 
Пример запроса на английском:
Persona cannot process "&amp;"my government-issued identity document, so I’m unable to complete the required verification. Please provide an alternative method to verify my identity or account ownership and escalate my case for manual review.
Продолжайте переписку в одном обращении, д"&amp;"аже если поддержка повторно присылает ссылку на Persona. Дополнительно можно написать @LinkedInHelp в X и попросить проверить уже открытый кейс (никогда не публикуйте паспортные данные в открытых сообщениях).
4. Где взять иностранный номер (если вы в Рос"&amp;"сии)
Сначала попробуйте свой российский номер. Если код не приходит или номер не принимается - нужен постоянный иностранный.
•  Требования к номеру:
- реальная SIM/eSIM мобильного оператора (не VoIP);
- закреплён за вами (или за доверенным человеком);
- "&amp;"принимает входящие SMS;
- работает в международном роуминге;
- не отключается при регулярном пополнении.
•  Не берите:
- туристические data-only eSIM (у них нет номера);
- виртуальные номера (VoIP - LinkedIn их определяет);
- одноразовые и краткосрочные "&amp;"(потом не восстановить доступ).
• Самый надёжный вариант: попросить друга за границей оформить на себя SIM/eSIM и передать вам. Вы оплачиваете тариф, он формальный владелец, доверие критически важно.
• Если такого друга нет, рассмотрите платные сервисы:
"&amp;"- eSIM.net (O2 SMS Only). Британский номер +44, £6/мес, только SMS. Нужна иностранная карта.  
- TravelSim. Эстонский номер +372, физическая SIM/eSIM, есть звонки и SMS, сохраняется при пополнении. Оплата иностранной картой.  
- SimTravel. Можно заказать "&amp;"в России, пополнять в рублях. Уточните у поддержки, принимает ли SMS от LinkedIn и работает ли в вашем регионе.  
Если у вас нет иностранной карты, попросите друга за рубежом оплатить покупку и продление.
• За криптовалюту есть MoreMins, eSIM Plus, HotTe"&amp;"lecom. Но они дают виртуальные номера, для LinkedIn это запасной вариант (риск, что код не придёт).
•Перед покупкой всегда уточняйте 4 пункта:
- Это мобильный, а не VoIP-номер?  
- Принимает ли сервисные и короткие SMS?  
- Сохраняется ли номер при регул"&amp;"ярной оплате?  
- Работает ли приём SMS в международном роуминге?
После регистрации держите номер активным: LinkedIn может запросить его повторно через несколько месяцев.
5. Где взять стабильный V**-сервер
Ищите у платных V**-провайдеров опцию Dedicated"&amp;" IP или Static IP - это постоянный адрес, не с тысячами других пользователей.
• Настройки:
- один сервер и одна страна навсегда;
- V** включается ДО открытия LinkedIn;
- включён Kill Switch;
- используете одно устройство и один браузер;
- НЕ заходите пар"&amp;"аллельно с другого IP;
- отключите автосмену сервера.
• Бесплатные V**, Tor, публичные прокси и браузерные расширения - табу.  
• Технически можно поднять свой VPS с WireGuard или Outline, но его IP будет принадлежать дата-центру - это тоже неидеально.
•"&amp;" Сам LinkedIn рекомендует избегать V**, но в России это вынужденная мера. Главное  использовать один и тот же маршрут постоянно, чтобы не вызывать подозрений.
Все обсудить/спросить совет можно в нашем чате единомышленников. 
Подписаться: @postypashki_ol"&amp;"d")</f>
        <v>LinkedIn: как зарегистрироваться и не словить бан
LinkedIn - главная профессиональная соц сеть, которая должна быть у каждого специалиста, претендующего на старший грейд и работу за рубежом. Но проблема, что сама компания сидит в UK и строго соблюдает антироссийские санкции. В посте обсудим, как пройти регистрацию и не улететь в бан. 
1. Регистрация с нуля
Главное будьте ниже радаров и избегайте, игнорируйте запрос на верификацию!
• Используйте личную почту (не корпоративную и не домен .ru).  
• Имя и фамилия строго как в документах (пишите как в заграннике).  
• Укажите локацию, где будете искать работу (не РФ), например Испания. Нам момент оффера просто скажите, что друзья пригласили на время пожить в другом месте. 
• Привяжите постоянный номер (подробнее о номерах в отдельном блоке ниже).  
• LinkedIn запрещает несколько аккаунтов на одного человека - это прямо прописано в правилах.
2. Что делать с V**
Есть риск, что разные браузеры и V** спровоцируют бан или запрос на верификацию, что нам нужно избегать, поэтому
• Выберите один сервер и одну страну, не меняйте их;
• Подключайте V** до открытия сайта;
• Включите Kill Switch;
• Используйте одно устройство и один браузер;
• Не заходите с разных IP одновременно;
• Отключите автоматическую смену "самого быстрого" сервера.
• Никаких расширений для автоматизации, масс-приглашений и парсинга - это гарантированный бан без шанса на восстановление.
3. После регистрации
• Подтвердите почту;
• Заполните профиль (аватарка, шапка, опыт, образование);
• Добавьте несколько знакомых коллег (не десятки за раз, а то можем спровоцировать бан);
• Активируйте двухфакторку и резервный email.
• Как прогревать аккаунт плавно и о других фишках выход на доход в валюте будет на наших курсах "ПРО"
4. Застряли на CAPTCHA
Ошибка "noCAPTCHA user response code is missing or invalid» - НЕ означает блокировку.
•  Не проходите проверку десятки раз подряд.  
•  Не переключайтесь между браузерами, устройствами и VPN-серверами.
•  Сделайте паузу и проверьте:
- включены ли JavaScript и cookie;
- правильное ли время и дата на устройстве;
- обновлён ли браузер;
- отключены ли блокировщики скриптов;
- стабильно ли подключение (попробуйте перезагрузить роутер).
• Если ничего не помогает, удалите куки только для LinkedIn или попробуйте войти через мобильное приложение.
• Существует неофициальный лайфхак:
- нажмите "Sign in".
- выберите "Forgot password".
- получите код на почту и смените пароль.
- попробуйте войти снова.
Так вы подтверждаете доступ к почте через штатную процедуру сброса пароля. Этот способ не гарантирован, но иногда помогает обойти капчу. 
• Если не помогло, сделайте скриншот ошибки (дата, браузер, устройство) и пишите в поддержку. Не создавайте новый профиль после каждой неудачной попытки!
5. Если аккаунт уже ограничен (Restricted Account)
Ни в коем случае не регистрируйте второй аккаунт - это усугубит ситуацию. Процедура описана здесь.
Что делать:
- Сохраните ссылку на свой профиль, все письма от LinkedIn, скриншот ограничения.
- Войдите с обычными данными и следуйте инструкциям апелляции.
- LinkedIn может запросить верификацию через Persona: загрузить фото документа, а иногда и селфи.
Важно: российские документы не принимаются (система выдаёт ошибку Unsupported Country ID). Не советую подделывать документы, ибо эта система проверки много, где действует (не только на LinkedIn) и в будущем могут быть проблемы и с другими платформами.  Приложите скриншот этой ошибки к обращению и попросите ручную проверку. 
Пример запроса на английском:
Persona cannot process my government-issued identity document, so I’m unable to complete the required verification. Please provide an alternative method to verify my identity or account ownership and escalate my case for manual review.
Продолжайте переписку в одном обращении, даже если поддержка повторно присылает ссылку на Persona. Дополнительно можно написать @LinkedInHelp в X и попросить проверить уже открытый кейс (никогда не публикуйте паспортные данные в открытых сообщениях).
4. Где взять иностранный номер (если вы в России)
Сначала попробуйте свой российский номер. Если код не приходит или номер не принимается - нужен постоянный иностранный.
•  Требования к номеру:
- реальная SIM/eSIM мобильного оператора (не VoIP);
- закреплён за вами (или за доверенным человеком);
- принимает входящие SMS;
- работает в международном роуминге;
- не отключается при регулярном пополнении.
•  Не берите:
- туристические data-only eSIM (у них нет номера);
- виртуальные номера (VoIP - LinkedIn их определяет);
- одноразовые и краткосрочные (потом не восстановить доступ).
• Самый надёжный вариант: попросить друга за границей оформить на себя SIM/eSIM и передать вам. Вы оплачиваете тариф, он формальный владелец, доверие критически важно.
• Если такого друга нет, рассмотрите платные сервисы:
- eSIM.net (O2 SMS Only). Британский номер +44, £6/мес, только SMS. Нужна иностранная карта.  
- TravelSim. Эстонский номер +372, физическая SIM/eSIM, есть звонки и SMS, сохраняется при пополнении. Оплата иностранной картой.  
- SimTravel. Можно заказать в России, пополнять в рублях. Уточните у поддержки, принимает ли SMS от LinkedIn и работает ли в вашем регионе.  
Если у вас нет иностранной карты, попросите друга за рубежом оплатить покупку и продление.
• За криптовалюту есть MoreMins, eSIM Plus, HotTelecom. Но они дают виртуальные номера, для LinkedIn это запасной вариант (риск, что код не придёт).
•Перед покупкой всегда уточняйте 4 пункта:
- Это мобильный, а не VoIP-номер?  
- Принимает ли сервисные и короткие SMS?  
- Сохраняется ли номер при регулярной оплате?  
- Работает ли приём SMS в международном роуминге?
После регистрации держите номер активным: LinkedIn может запросить его повторно через несколько месяцев.
5. Где взять стабильный V**-сервер
Ищите у платных V**-провайдеров опцию Dedicated IP или Static IP - это постоянный адрес, не с тысячами других пользователей.
• Настройки:
- один сервер и одна страна навсегда;
- V** включается ДО открытия LinkedIn;
- включён Kill Switch;
- используете одно устройство и один браузер;
- НЕ заходите параллельно с другого IP;
- отключите автосмену сервера.
• Бесплатные V**, Tor, публичные прокси и браузерные расширения - табу.  
• Технически можно поднять свой VPS с WireGuard или Outline, но его IP будет принадлежать дата-центру - это тоже неидеально.
• Сам LinkedIn рекомендует избегать V**, но в России это вынужденная мера. Главное  использовать один и тот же маршрут постоянно, чтобы не вызывать подозрений.
Все обсудить/спросить совет можно в нашем чате единомышленников. 
Подписаться: @postypashki_old</v>
      </c>
      <c r="I65" s="6" t="str">
        <f>IFERROR(__xludf.DUMMYFUNCTION("""COMPUTED_VALUE"""),"internal")</f>
        <v>internal</v>
      </c>
      <c r="J65" s="10" t="str">
        <f>IFERROR(__xludf.DUMMYFUNCTION("""COMPUTED_VALUE"""),"https://t.me/postypashki_old/1852")</f>
        <v>https://t.me/postypashki_old/1852</v>
      </c>
      <c r="K65" s="6">
        <f>IFERROR(__xludf.DUMMYFUNCTION("""COMPUTED_VALUE"""),22100.0)</f>
        <v>22100</v>
      </c>
      <c r="L65" s="6">
        <f>IFERROR(__xludf.DUMMYFUNCTION("""COMPUTED_VALUE"""),88.0)</f>
        <v>88</v>
      </c>
      <c r="M65" s="6" t="str">
        <f>IFERROR(__xludf.DUMMYFUNCTION("""COMPUTED_VALUE"""),"")</f>
        <v/>
      </c>
      <c r="N65" s="6" t="str">
        <f>IFERROR(__xludf.DUMMYFUNCTION("""COMPUTED_VALUE"""),"Telegram")</f>
        <v>Telegram</v>
      </c>
      <c r="O65" s="6" t="str">
        <f>IFERROR(__xludf.DUMMYFUNCTION("""COMPUTED_VALUE"""),"raw")</f>
        <v>raw</v>
      </c>
      <c r="P65" s="6" t="str">
        <f>IFERROR(__xludf.DUMMYFUNCTION("""COMPUTED_VALUE"""),"Codex")</f>
        <v>Codex</v>
      </c>
      <c r="Q65" s="6" t="str">
        <f>IFERROR(__xludf.DUMMYFUNCTION("""COMPUTED_VALUE"""),"LinkedIn: как зарегистрироваться и не словить бан LinkedIn - главная профессиональная соц сеть, которая должна быть у каждого специалиста, претендующего на старший грейд и работу з")</f>
        <v>LinkedIn: как зарегистрироваться и не словить бан LinkedIn - главная профессиональная соц сеть, которая должна быть у каждого специалиста, претендующего на старший грейд и работу з</v>
      </c>
      <c r="R65" s="6" t="str">
        <f>IFERROR(__xludf.DUMMYFUNCTION("""COMPUTED_VALUE"""),"internal")</f>
        <v>internal</v>
      </c>
      <c r="S65" s="6" t="str">
        <f>IFERROR(__xludf.DUMMYFUNCTION("""COMPUTED_VALUE"""),"unknown")</f>
        <v>unknown</v>
      </c>
      <c r="T65" s="6" t="str">
        <f>IFERROR(__xludf.DUMMYFUNCTION("""COMPUTED_VALUE"""),"telegram_internal")</f>
        <v>telegram_internal</v>
      </c>
      <c r="U65" s="6" t="str">
        <f>IFERROR(__xludf.DUMMYFUNCTION("""COMPUTED_VALUE"""),"Контент с упоминанием")</f>
        <v>Контент с упоминанием</v>
      </c>
      <c r="V65" s="6" t="str">
        <f>IFERROR(__xludf.DUMMYFUNCTION("""COMPUTED_VALUE"""),"Период продаж")</f>
        <v>Период продаж</v>
      </c>
      <c r="W65" s="6"/>
      <c r="X65" s="6"/>
      <c r="Y65" s="6" t="str">
        <f>IFERROR(__xludf.DUMMYFUNCTION("""COMPUTED_VALUE"""),"")</f>
        <v/>
      </c>
      <c r="Z65" s="6" t="str">
        <f>IFERROR(__xludf.DUMMYFUNCTION("""COMPUTED_VALUE"""),"")</f>
        <v/>
      </c>
      <c r="AA65" s="6" t="b">
        <f>IFERROR(__xludf.DUMMYFUNCTION("""COMPUTED_VALUE"""),TRUE)</f>
        <v>1</v>
      </c>
      <c r="AB65" s="6" t="b">
        <f>IFERROR(__xludf.DUMMYFUNCTION("""COMPUTED_VALUE"""),FALSE)</f>
        <v>0</v>
      </c>
      <c r="AC65" s="6" t="b">
        <f>IFERROR(__xludf.DUMMYFUNCTION("""COMPUTED_VALUE"""),FALSE)</f>
        <v>0</v>
      </c>
      <c r="AD65" s="6" t="b">
        <f>IFERROR(__xludf.DUMMYFUNCTION("""COMPUTED_VALUE"""),TRUE)</f>
        <v>1</v>
      </c>
      <c r="AE65" s="6"/>
      <c r="AF65" s="6" t="b">
        <f>IFERROR(__xludf.DUMMYFUNCTION("""COMPUTED_VALUE"""),FALSE)</f>
        <v>0</v>
      </c>
      <c r="AG65" s="6" t="str">
        <f>IFERROR(__xludf.DUMMYFUNCTION("""COMPUTED_VALUE"""),"2026-08-16T16:39:39+00:00")</f>
        <v>2026-08-16T16:39:39+00:00</v>
      </c>
      <c r="AH65" s="6" t="str">
        <f>IFERROR(__xludf.DUMMYFUNCTION("""COMPUTED_VALUE"""),"")</f>
        <v/>
      </c>
      <c r="AI65" s="6" t="str">
        <f>IFERROR(__xludf.DUMMYFUNCTION("""COMPUTED_VALUE"""),"#N/A")</f>
        <v>#N/A</v>
      </c>
      <c r="AJ65" s="9" t="s">
        <v>167</v>
      </c>
      <c r="AK65" s="9" t="s">
        <v>242</v>
      </c>
      <c r="AM65" s="9" t="s">
        <v>219</v>
      </c>
      <c r="AN65" s="4" t="str">
        <f>IFERROR(__xludf.DUMMYFUNCTION("IF(OR(AJ65=""general_brand"",AJ65=""external"",AJ65=""unknown""),"""",IF(AJ65=""product_line"",IF(AK65=""START"",""Аналитика старт | Алгоритмы старт | Backend старт | ML старт"",IF(AK65=""PRO"",""AI-агенты про | Алгоритмы про | Аналитика про | ML про | Ba"&amp;"ckend про"",IF(AK65=""START | PRO"",""Аналитика старт | Алгоритмы старт | Backend старт | ML старт | AI-агенты про | Алгоритмы про | Аналитика про | ML про | Backend про"",""""))),TEXTJOIN("" | "",TRUE,IF(REGEXMATCH(LOWER(AL65&amp;"" | ""&amp;E65),""аналитика ста"&amp;"рт""),""Аналитика старт"",""""),IF(REGEXMATCH(LOWER(AL65&amp;"" | ""&amp;E65),""алгоритмы старт""),""Алгоритмы старт"",""""),IF(REGEXMATCH(LOWER(AL65&amp;"" | ""&amp;E65),""backend старт""),""Backend старт"",""""),IF(REGEXMATCH(LOWER(AL65&amp;"" | ""&amp;E65),""ml старт""),""ML "&amp;"старт"",""""),IF(REGEXMATCH(LOWER(AL65&amp;"" | ""&amp;E65),""ai[ -]?агент""),""AI-агенты про"",""""),IF(REGEXMATCH(LOWER(AL65&amp;"" | ""&amp;E65),""алгоритмы про""),""Алгоритмы про"",""""),IF(REGEXMATCH(LOWER(AL65&amp;"" | ""&amp;E65),""аналитика про""),""Аналитика про"","""")"&amp;",IF(REGEXMATCH(LOWER(AL65&amp;"" | ""&amp;E65),""ml про""),""ML про"",""""),IF(REGEXMATCH(LOWER(AL65&amp;"" | ""&amp;E65),""backend про""),""Backend про"",""""),IF(REGEXMATCH(LOWER(AL65&amp;"" | ""&amp;E65),""(а/в|ав|а в|ab)[ -]?тест""),""А/В-тесты"",""""),IF(REGEXMATCH(LOWER(AL"&amp;"65&amp;"" | ""&amp;E65),""data science""),""Data science"",""""),IF(REGEXMATCH(LOWER(AL65&amp;"" | ""&amp;E65),""data[- ]?инжен""),""Data-инженер"",""""),IF(REGEXMATCH(LOWER(AL65&amp;"" | ""&amp;E65),""frontend""),""Frontend"",""""))))"),"AI-агенты про | Алгоритмы про | Аналитика про | ML про | Backend про")</f>
        <v>AI-агенты про | Алгоритмы про | Аналитика про | ML про | Backend про</v>
      </c>
    </row>
    <row r="66">
      <c r="A66" s="6" t="str">
        <f>IFERROR(__xludf.DUMMYFUNCTION("""COMPUTED_VALUE"""),"INT-1853")</f>
        <v>INT-1853</v>
      </c>
      <c r="B66" s="6" t="str">
        <f>IFERROR(__xludf.DUMMYFUNCTION("""COMPUTED_VALUE"""),"2026-08-17 10:00:23")</f>
        <v>2026-08-17 10:00:23</v>
      </c>
      <c r="C66" s="6" t="str">
        <f>IFERROR(__xludf.DUMMYFUNCTION("""COMPUTED_VALUE"""),"@postypashki_old")</f>
        <v>@postypashki_old</v>
      </c>
      <c r="D66" s="4" t="str">
        <f>IFERROR(__xludf.DUMMYFUNCTION("""COMPUTED_VALUE"""),"Бесплатное событие / лид-магнит")</f>
        <v>Бесплатное событие / лид-магнит</v>
      </c>
      <c r="E66" s="6"/>
      <c r="F66" s="6" t="str">
        <f>IFERROR(__xludf.DUMMYFUNCTION("""COMPUTED_VALUE"""),"")</f>
        <v/>
      </c>
      <c r="G66" s="6" t="str">
        <f>IFERROR(__xludf.DUMMYFUNCTION("""COMPUTED_VALUE"""),"postypashki_old/1853")</f>
        <v>postypashki_old/1853</v>
      </c>
      <c r="H66" s="6" t="str">
        <f>IFERROR(__xludf.DUMMYFUNCTION("""COMPUTED_VALUE"""),"МТС приглашает на четвертый сезон True Tech Champ 2026 — всероссийского чемпионата по программированию с призовым фондом 10 250 000 рублей
Соревнование проходит в двух треках.
Трек 1. Алгоритмический  [призовой фонд 2 750 000 ₽, шесть призовых мест]
Про"&amp;"верь, насколько быстро и точно ты решаешь классические и нестандартные алгоритмические задачи.
Трек 2. Программирование роботов [призовой фонд 7 500 000 ₽, три призовых места]
Собери команду и запрограммируй робособаку и робота-манипулятора для доставки "&amp;"груза через полосу препятствий.
Зарегистрируйся на алгоритмический трек до 13 сентября и на программирование роботов до 27 сентября и включайся в гонку за финал True Tech Champ 2026.")</f>
        <v>МТС приглашает на четвертый сезон True Tech Champ 2026 — всероссийского чемпионата по программированию с призовым фондом 10 250 000 рублей
Соревнование проходит в двух треках.
Трек 1. Алгоритмический  [призовой фонд 2 750 000 ₽, шесть призовых мест]
Проверь, насколько быстро и точно ты решаешь классические и нестандартные алгоритмические задачи.
Трек 2. Программирование роботов [призовой фонд 7 500 000 ₽, три призовых места]
Собери команду и запрограммируй робособаку и робота-манипулятора для доставки груза через полосу препятствий.
Зарегистрируйся на алгоритмический трек до 13 сентября и на программирование роботов до 27 сентября и включайся в гонку за финал True Tech Champ 2026.</v>
      </c>
      <c r="I66" s="6" t="str">
        <f>IFERROR(__xludf.DUMMYFUNCTION("""COMPUTED_VALUE"""),"internal")</f>
        <v>internal</v>
      </c>
      <c r="J66" s="10" t="str">
        <f>IFERROR(__xludf.DUMMYFUNCTION("""COMPUTED_VALUE"""),"https://t.me/postypashki_old/1853")</f>
        <v>https://t.me/postypashki_old/1853</v>
      </c>
      <c r="K66" s="6">
        <f>IFERROR(__xludf.DUMMYFUNCTION("""COMPUTED_VALUE"""),18800.0)</f>
        <v>18800</v>
      </c>
      <c r="L66" s="6">
        <f>IFERROR(__xludf.DUMMYFUNCTION("""COMPUTED_VALUE"""),19.0)</f>
        <v>19</v>
      </c>
      <c r="M66" s="6" t="str">
        <f>IFERROR(__xludf.DUMMYFUNCTION("""COMPUTED_VALUE"""),"")</f>
        <v/>
      </c>
      <c r="N66" s="6" t="str">
        <f>IFERROR(__xludf.DUMMYFUNCTION("""COMPUTED_VALUE"""),"Telegram")</f>
        <v>Telegram</v>
      </c>
      <c r="O66" s="6" t="str">
        <f>IFERROR(__xludf.DUMMYFUNCTION("""COMPUTED_VALUE"""),"raw")</f>
        <v>raw</v>
      </c>
      <c r="P66" s="6" t="str">
        <f>IFERROR(__xludf.DUMMYFUNCTION("""COMPUTED_VALUE"""),"Codex")</f>
        <v>Codex</v>
      </c>
      <c r="Q66" s="6" t="str">
        <f>IFERROR(__xludf.DUMMYFUNCTION("""COMPUTED_VALUE"""),"МТС приглашает на четвертый сезон True Tech Champ 2026 — всероссийского чемпионата по программированию с призовым фондом 10 250 000 рублей Соревнование проходит в двух треках. Трек")</f>
        <v>МТС приглашает на четвертый сезон True Tech Champ 2026 — всероссийского чемпионата по программированию с призовым фондом 10 250 000 рублей Соревнование проходит в двух треках. Трек</v>
      </c>
      <c r="R66" s="6" t="str">
        <f>IFERROR(__xludf.DUMMYFUNCTION("""COMPUTED_VALUE"""),"internal")</f>
        <v>internal</v>
      </c>
      <c r="S66" s="6" t="str">
        <f>IFERROR(__xludf.DUMMYFUNCTION("""COMPUTED_VALUE"""),"unknown")</f>
        <v>unknown</v>
      </c>
      <c r="T66" s="6" t="str">
        <f>IFERROR(__xludf.DUMMYFUNCTION("""COMPUTED_VALUE"""),"telegram_internal")</f>
        <v>telegram_internal</v>
      </c>
      <c r="U66" s="6" t="str">
        <f>IFERROR(__xludf.DUMMYFUNCTION("""COMPUTED_VALUE"""),"Бесплатное событие / лид-магнит")</f>
        <v>Бесплатное событие / лид-магнит</v>
      </c>
      <c r="V66" s="6" t="str">
        <f>IFERROR(__xludf.DUMMYFUNCTION("""COMPUTED_VALUE"""),"Период продаж")</f>
        <v>Период продаж</v>
      </c>
      <c r="W66" s="6" t="str">
        <f>IFERROR(__xludf.DUMMYFUNCTION("""COMPUTED_VALUE"""),"Фото")</f>
        <v>Фото</v>
      </c>
      <c r="X66" s="6"/>
      <c r="Y66" s="6" t="str">
        <f>IFERROR(__xludf.DUMMYFUNCTION("""COMPUTED_VALUE"""),"")</f>
        <v/>
      </c>
      <c r="Z66" s="6" t="str">
        <f>IFERROR(__xludf.DUMMYFUNCTION("""COMPUTED_VALUE"""),"")</f>
        <v/>
      </c>
      <c r="AA66" s="6" t="b">
        <f>IFERROR(__xludf.DUMMYFUNCTION("""COMPUTED_VALUE"""),FALSE)</f>
        <v>0</v>
      </c>
      <c r="AB66" s="6" t="b">
        <f>IFERROR(__xludf.DUMMYFUNCTION("""COMPUTED_VALUE"""),FALSE)</f>
        <v>0</v>
      </c>
      <c r="AC66" s="6" t="b">
        <f>IFERROR(__xludf.DUMMYFUNCTION("""COMPUTED_VALUE"""),FALSE)</f>
        <v>0</v>
      </c>
      <c r="AD66" s="6" t="b">
        <f>IFERROR(__xludf.DUMMYFUNCTION("""COMPUTED_VALUE"""),FALSE)</f>
        <v>0</v>
      </c>
      <c r="AE66" s="6"/>
      <c r="AF66" s="6" t="b">
        <f>IFERROR(__xludf.DUMMYFUNCTION("""COMPUTED_VALUE"""),TRUE)</f>
        <v>1</v>
      </c>
      <c r="AG66" s="6" t="str">
        <f>IFERROR(__xludf.DUMMYFUNCTION("""COMPUTED_VALUE"""),"2026-08-17T07:00:23+00:00")</f>
        <v>2026-08-17T07:00:23+00:00</v>
      </c>
      <c r="AH66" s="6" t="str">
        <f>IFERROR(__xludf.DUMMYFUNCTION("""COMPUTED_VALUE"""),"")</f>
        <v/>
      </c>
      <c r="AI66" s="6" t="str">
        <f>IFERROR(__xludf.DUMMYFUNCTION("""COMPUTED_VALUE"""),"#N/A")</f>
        <v>#N/A</v>
      </c>
      <c r="AJ66" s="9" t="s">
        <v>176</v>
      </c>
      <c r="AM66" s="9" t="s">
        <v>235</v>
      </c>
      <c r="AN66" s="6" t="str">
        <f>IFERROR(__xludf.DUMMYFUNCTION("IF(OR(AJ66=""general_brand"",AJ66=""external"",AJ66=""unknown""),"""",IF(AJ66=""product_line"",IF(AK66=""START"",""Аналитика старт | Алгоритмы старт | Backend старт | ML старт"",IF(AK66=""PRO"",""AI-агенты про | Алгоритмы про | Аналитика про | ML про | Ba"&amp;"ckend про"",IF(AK66=""START | PRO"",""Аналитика старт | Алгоритмы старт | Backend старт | ML старт | AI-агенты про | Алгоритмы про | Аналитика про | ML про | Backend про"",""""))),TEXTJOIN("" | "",TRUE,IF(REGEXMATCH(LOWER(AL66&amp;"" | ""&amp;E66),""аналитика ста"&amp;"рт""),""Аналитика старт"",""""),IF(REGEXMATCH(LOWER(AL66&amp;"" | ""&amp;E66),""алгоритмы старт""),""Алгоритмы старт"",""""),IF(REGEXMATCH(LOWER(AL66&amp;"" | ""&amp;E66),""backend старт""),""Backend старт"",""""),IF(REGEXMATCH(LOWER(AL66&amp;"" | ""&amp;E66),""ml старт""),""ML "&amp;"старт"",""""),IF(REGEXMATCH(LOWER(AL66&amp;"" | ""&amp;E66),""ai[ -]?агент""),""AI-агенты про"",""""),IF(REGEXMATCH(LOWER(AL66&amp;"" | ""&amp;E66),""алгоритмы про""),""Алгоритмы про"",""""),IF(REGEXMATCH(LOWER(AL66&amp;"" | ""&amp;E66),""аналитика про""),""Аналитика про"","""")"&amp;",IF(REGEXMATCH(LOWER(AL66&amp;"" | ""&amp;E66),""ml про""),""ML про"",""""),IF(REGEXMATCH(LOWER(AL66&amp;"" | ""&amp;E66),""backend про""),""Backend про"",""""),IF(REGEXMATCH(LOWER(AL66&amp;"" | ""&amp;E66),""(а/в|ав|а в|ab)[ -]?тест""),""А/В-тесты"",""""),IF(REGEXMATCH(LOWER(AL"&amp;"66&amp;"" | ""&amp;E66),""data science""),""Data science"",""""),IF(REGEXMATCH(LOWER(AL66&amp;"" | ""&amp;E66),""data[- ]?инжен""),""Data-инженер"",""""),IF(REGEXMATCH(LOWER(AL66&amp;"" | ""&amp;E66),""frontend""),""Frontend"",""""))))"),"")</f>
        <v/>
      </c>
    </row>
    <row r="67">
      <c r="A67" s="6" t="str">
        <f>IFERROR(__xludf.DUMMYFUNCTION("""COMPUTED_VALUE"""),"INT-1854")</f>
        <v>INT-1854</v>
      </c>
      <c r="B67" s="6" t="str">
        <f>IFERROR(__xludf.DUMMYFUNCTION("""COMPUTED_VALUE"""),"2026-08-17 19:05:47")</f>
        <v>2026-08-17 19:05:47</v>
      </c>
      <c r="C67" s="6" t="str">
        <f>IFERROR(__xludf.DUMMYFUNCTION("""COMPUTED_VALUE"""),"@postypashki_old")</f>
        <v>@postypashki_old</v>
      </c>
      <c r="D67" s="4" t="str">
        <f>IFERROR(__xludf.DUMMYFUNCTION("""COMPUTED_VALUE"""),"Прочий контент")</f>
        <v>Прочий контент</v>
      </c>
      <c r="E67" s="6" t="str">
        <f>IFERROR(__xludf.DUMMYFUNCTION("""COMPUTED_VALUE"""),"АВ тестам")</f>
        <v>АВ тестам</v>
      </c>
      <c r="F67" s="6" t="str">
        <f>IFERROR(__xludf.DUMMYFUNCTION("""COMPUTED_VALUE"""),"")</f>
        <v/>
      </c>
      <c r="G67" s="6" t="str">
        <f>IFERROR(__xludf.DUMMYFUNCTION("""COMPUTED_VALUE"""),"postypashki_old/1854")</f>
        <v>postypashki_old/1854</v>
      </c>
      <c r="H67" s="6" t="str">
        <f>IFERROR(__xludf.DUMMYFUNCTION("""COMPUTED_VALUE"""),"Гайд на собесы аналитика в Ozon
Наши выпускники сейчас активно ходят по собесам, поэтому по горячим следам собрали гайд с реальными вопросами и задачами из Ozon.
Внутри: SQL, Python, A/B-тесты, статистика и продуктовая аналитика: с 16 по 20 грейд, от ст"&amp;"ажёра до Senior.
У каждой задачи указаны грейд и ориентир по времени на решение.
Сохраняйте, делитесь с друзьями и ставьте 🔥, если хотите такие же гайды по другим бигтехам.
Подписаться: @postypashki_old")</f>
        <v>Гайд на собесы аналитика в Ozon
Наши выпускники сейчас активно ходят по собесам, поэтому по горячим следам собрали гайд с реальными вопросами и задачами из Ozon.
Внутри: SQL, Python, A/B-тесты, статистика и продуктовая аналитика: с 16 по 20 грейд, от стажёра до Senior.
У каждой задачи указаны грейд и ориентир по времени на решение.
Сохраняйте, делитесь с друзьями и ставьте 🔥, если хотите такие же гайды по другим бигтехам.
Подписаться: @postypashki_old</v>
      </c>
      <c r="I67" s="6" t="str">
        <f>IFERROR(__xludf.DUMMYFUNCTION("""COMPUTED_VALUE"""),"internal")</f>
        <v>internal</v>
      </c>
      <c r="J67" s="10" t="str">
        <f>IFERROR(__xludf.DUMMYFUNCTION("""COMPUTED_VALUE"""),"https://t.me/postypashki_old/1854")</f>
        <v>https://t.me/postypashki_old/1854</v>
      </c>
      <c r="K67" s="6">
        <f>IFERROR(__xludf.DUMMYFUNCTION("""COMPUTED_VALUE"""),22000.0)</f>
        <v>22000</v>
      </c>
      <c r="L67" s="6">
        <f>IFERROR(__xludf.DUMMYFUNCTION("""COMPUTED_VALUE"""),101.0)</f>
        <v>101</v>
      </c>
      <c r="M67" s="6" t="str">
        <f>IFERROR(__xludf.DUMMYFUNCTION("""COMPUTED_VALUE"""),"")</f>
        <v/>
      </c>
      <c r="N67" s="6" t="str">
        <f>IFERROR(__xludf.DUMMYFUNCTION("""COMPUTED_VALUE"""),"Telegram")</f>
        <v>Telegram</v>
      </c>
      <c r="O67" s="6" t="str">
        <f>IFERROR(__xludf.DUMMYFUNCTION("""COMPUTED_VALUE"""),"raw")</f>
        <v>raw</v>
      </c>
      <c r="P67" s="6" t="str">
        <f>IFERROR(__xludf.DUMMYFUNCTION("""COMPUTED_VALUE"""),"Codex")</f>
        <v>Codex</v>
      </c>
      <c r="Q67" s="6" t="str">
        <f>IFERROR(__xludf.DUMMYFUNCTION("""COMPUTED_VALUE"""),"Гайд на собесы аналитика в Ozon Наши выпускники сейчас активно ходят по собесам, поэтому по горячим следам собрали гайд с реальными вопросами и задачами из Ozon. Внутри: SQL, Pytho")</f>
        <v>Гайд на собесы аналитика в Ozon Наши выпускники сейчас активно ходят по собесам, поэтому по горячим следам собрали гайд с реальными вопросами и задачами из Ozon. Внутри: SQL, Pytho</v>
      </c>
      <c r="R67" s="6" t="str">
        <f>IFERROR(__xludf.DUMMYFUNCTION("""COMPUTED_VALUE"""),"internal")</f>
        <v>internal</v>
      </c>
      <c r="S67" s="6" t="str">
        <f>IFERROR(__xludf.DUMMYFUNCTION("""COMPUTED_VALUE"""),"unknown")</f>
        <v>unknown</v>
      </c>
      <c r="T67" s="6" t="str">
        <f>IFERROR(__xludf.DUMMYFUNCTION("""COMPUTED_VALUE"""),"telegram_internal")</f>
        <v>telegram_internal</v>
      </c>
      <c r="U67" s="6" t="str">
        <f>IFERROR(__xludf.DUMMYFUNCTION("""COMPUTED_VALUE"""),"Прочий контент")</f>
        <v>Прочий контент</v>
      </c>
      <c r="V67" s="6" t="str">
        <f>IFERROR(__xludf.DUMMYFUNCTION("""COMPUTED_VALUE"""),"Период продаж")</f>
        <v>Период продаж</v>
      </c>
      <c r="W67" s="6" t="str">
        <f>IFERROR(__xludf.DUMMYFUNCTION("""COMPUTED_VALUE"""),"Файл")</f>
        <v>Файл</v>
      </c>
      <c r="X67" s="6"/>
      <c r="Y67" s="6" t="str">
        <f>IFERROR(__xludf.DUMMYFUNCTION("""COMPUTED_VALUE"""),"")</f>
        <v/>
      </c>
      <c r="Z67" s="6" t="str">
        <f>IFERROR(__xludf.DUMMYFUNCTION("""COMPUTED_VALUE"""),"")</f>
        <v/>
      </c>
      <c r="AA67" s="6" t="b">
        <f>IFERROR(__xludf.DUMMYFUNCTION("""COMPUTED_VALUE"""),TRUE)</f>
        <v>1</v>
      </c>
      <c r="AB67" s="6" t="b">
        <f>IFERROR(__xludf.DUMMYFUNCTION("""COMPUTED_VALUE"""),FALSE)</f>
        <v>0</v>
      </c>
      <c r="AC67" s="6" t="b">
        <f>IFERROR(__xludf.DUMMYFUNCTION("""COMPUTED_VALUE"""),FALSE)</f>
        <v>0</v>
      </c>
      <c r="AD67" s="6" t="b">
        <f>IFERROR(__xludf.DUMMYFUNCTION("""COMPUTED_VALUE"""),FALSE)</f>
        <v>0</v>
      </c>
      <c r="AE67" s="6"/>
      <c r="AF67" s="6" t="b">
        <f>IFERROR(__xludf.DUMMYFUNCTION("""COMPUTED_VALUE"""),FALSE)</f>
        <v>0</v>
      </c>
      <c r="AG67" s="6" t="str">
        <f>IFERROR(__xludf.DUMMYFUNCTION("""COMPUTED_VALUE"""),"2026-08-17T16:05:47+00:00")</f>
        <v>2026-08-17T16:05:47+00:00</v>
      </c>
      <c r="AH67" s="6" t="str">
        <f>IFERROR(__xludf.DUMMYFUNCTION("""COMPUTED_VALUE"""),"")</f>
        <v/>
      </c>
      <c r="AI67" s="6" t="str">
        <f>IFERROR(__xludf.DUMMYFUNCTION("""COMPUTED_VALUE"""),"#N/A")</f>
        <v>#N/A</v>
      </c>
      <c r="AJ67" s="9" t="s">
        <v>224</v>
      </c>
      <c r="AL67" s="4" t="s">
        <v>227</v>
      </c>
      <c r="AM67" s="9" t="s">
        <v>228</v>
      </c>
      <c r="AN67" s="4" t="str">
        <f>IFERROR(__xludf.DUMMYFUNCTION("IF(OR(AJ67=""general_brand"",AJ67=""external"",AJ67=""unknown""),"""",IF(AJ67=""product_line"",IF(AK67=""START"",""Аналитика старт | Алгоритмы старт | Backend старт | ML старт"",IF(AK67=""PRO"",""AI-агенты про | Алгоритмы про | Аналитика про | ML про | Ba"&amp;"ckend про"",IF(AK67=""START | PRO"",""Аналитика старт | Алгоритмы старт | Backend старт | ML старт | AI-агенты про | Алгоритмы про | Аналитика про | ML про | Backend про"",""""))),TEXTJOIN("" | "",TRUE,IF(REGEXMATCH(LOWER(AL67&amp;"" | ""&amp;E67),""аналитика ста"&amp;"рт""),""Аналитика старт"",""""),IF(REGEXMATCH(LOWER(AL67&amp;"" | ""&amp;E67),""алгоритмы старт""),""Алгоритмы старт"",""""),IF(REGEXMATCH(LOWER(AL67&amp;"" | ""&amp;E67),""backend старт""),""Backend старт"",""""),IF(REGEXMATCH(LOWER(AL67&amp;"" | ""&amp;E67),""ml старт""),""ML "&amp;"старт"",""""),IF(REGEXMATCH(LOWER(AL67&amp;"" | ""&amp;E67),""ai[ -]?агент""),""AI-агенты про"",""""),IF(REGEXMATCH(LOWER(AL67&amp;"" | ""&amp;E67),""алгоритмы про""),""Алгоритмы про"",""""),IF(REGEXMATCH(LOWER(AL67&amp;"" | ""&amp;E67),""аналитика про""),""Аналитика про"","""")"&amp;",IF(REGEXMATCH(LOWER(AL67&amp;"" | ""&amp;E67),""ml про""),""ML про"",""""),IF(REGEXMATCH(LOWER(AL67&amp;"" | ""&amp;E67),""backend про""),""Backend про"",""""),IF(REGEXMATCH(LOWER(AL67&amp;"" | ""&amp;E67),""(а/в|ав|а в|ab)[ -]?тест""),""А/В-тесты"",""""),IF(REGEXMATCH(LOWER(AL"&amp;"67&amp;"" | ""&amp;E67),""data science""),""Data science"",""""),IF(REGEXMATCH(LOWER(AL67&amp;"" | ""&amp;E67),""data[- ]?инжен""),""Data-инженер"",""""),IF(REGEXMATCH(LOWER(AL67&amp;"" | ""&amp;E67),""frontend""),""Frontend"",""""))))"),"А/В-тесты")</f>
        <v>А/В-тесты</v>
      </c>
    </row>
    <row r="68">
      <c r="A68" s="6" t="str">
        <f>IFERROR(__xludf.DUMMYFUNCTION("""COMPUTED_VALUE"""),"INT-1855")</f>
        <v>INT-1855</v>
      </c>
      <c r="B68" s="6" t="str">
        <f>IFERROR(__xludf.DUMMYFUNCTION("""COMPUTED_VALUE"""),"2026-08-18 19:05:48")</f>
        <v>2026-08-18 19:05:48</v>
      </c>
      <c r="C68" s="6" t="str">
        <f>IFERROR(__xludf.DUMMYFUNCTION("""COMPUTED_VALUE"""),"@postypashki_old")</f>
        <v>@postypashki_old</v>
      </c>
      <c r="D68" s="4" t="str">
        <f>IFERROR(__xludf.DUMMYFUNCTION("""COMPUTED_VALUE"""),"Прочий контент")</f>
        <v>Прочий контент</v>
      </c>
      <c r="E68" s="6"/>
      <c r="F68" s="6" t="str">
        <f>IFERROR(__xludf.DUMMYFUNCTION("""COMPUTED_VALUE"""),"")</f>
        <v/>
      </c>
      <c r="G68" s="6" t="str">
        <f>IFERROR(__xludf.DUMMYFUNCTION("""COMPUTED_VALUE"""),"postypashki_old/1855")</f>
        <v>postypashki_old/1855</v>
      </c>
      <c r="H68" s="6" t="str">
        <f>IFERROR(__xludf.DUMMYFUNCTION("""COMPUTED_VALUE"""),"Наш студент прошёл больше шести этапов собеседований, получил два оффера - и остался ни с чем. Почему? Поучительная история в новом ролике. Смотрим! Смотрим! 
https://www.youtube.com/shorts/glbdWwbwlWI")</f>
        <v>Наш студент прошёл больше шести этапов собеседований, получил два оффера - и остался ни с чем. Почему? Поучительная история в новом ролике. Смотрим! Смотрим! 
https://www.youtube.com/shorts/glbdWwbwlWI</v>
      </c>
      <c r="I68" s="6" t="str">
        <f>IFERROR(__xludf.DUMMYFUNCTION("""COMPUTED_VALUE"""),"internal")</f>
        <v>internal</v>
      </c>
      <c r="J68" s="10" t="str">
        <f>IFERROR(__xludf.DUMMYFUNCTION("""COMPUTED_VALUE"""),"https://t.me/postypashki_old/1855")</f>
        <v>https://t.me/postypashki_old/1855</v>
      </c>
      <c r="K68" s="6">
        <f>IFERROR(__xludf.DUMMYFUNCTION("""COMPUTED_VALUE"""),20600.0)</f>
        <v>20600</v>
      </c>
      <c r="L68" s="6">
        <f>IFERROR(__xludf.DUMMYFUNCTION("""COMPUTED_VALUE"""),32.0)</f>
        <v>32</v>
      </c>
      <c r="M68" s="6" t="str">
        <f>IFERROR(__xludf.DUMMYFUNCTION("""COMPUTED_VALUE"""),"")</f>
        <v/>
      </c>
      <c r="N68" s="6" t="str">
        <f>IFERROR(__xludf.DUMMYFUNCTION("""COMPUTED_VALUE"""),"Telegram")</f>
        <v>Telegram</v>
      </c>
      <c r="O68" s="6" t="str">
        <f>IFERROR(__xludf.DUMMYFUNCTION("""COMPUTED_VALUE"""),"raw")</f>
        <v>raw</v>
      </c>
      <c r="P68" s="6" t="str">
        <f>IFERROR(__xludf.DUMMYFUNCTION("""COMPUTED_VALUE"""),"Codex")</f>
        <v>Codex</v>
      </c>
      <c r="Q68" s="6" t="str">
        <f>IFERROR(__xludf.DUMMYFUNCTION("""COMPUTED_VALUE"""),"Наш студент прошёл больше шести этапов собеседований, получил два оффера - и остался ни с чем. Почему? Поучительная история в новом ролике. Смотрим! Смотрим! https://www.youtube.co")</f>
        <v>Наш студент прошёл больше шести этапов собеседований, получил два оффера - и остался ни с чем. Почему? Поучительная история в новом ролике. Смотрим! Смотрим! https://www.youtube.co</v>
      </c>
      <c r="R68" s="6" t="str">
        <f>IFERROR(__xludf.DUMMYFUNCTION("""COMPUTED_VALUE"""),"internal")</f>
        <v>internal</v>
      </c>
      <c r="S68" s="6" t="str">
        <f>IFERROR(__xludf.DUMMYFUNCTION("""COMPUTED_VALUE"""),"unknown")</f>
        <v>unknown</v>
      </c>
      <c r="T68" s="6" t="str">
        <f>IFERROR(__xludf.DUMMYFUNCTION("""COMPUTED_VALUE"""),"telegram_internal")</f>
        <v>telegram_internal</v>
      </c>
      <c r="U68" s="6" t="str">
        <f>IFERROR(__xludf.DUMMYFUNCTION("""COMPUTED_VALUE"""),"Прочий контент")</f>
        <v>Прочий контент</v>
      </c>
      <c r="V68" s="6" t="str">
        <f>IFERROR(__xludf.DUMMYFUNCTION("""COMPUTED_VALUE"""),"Период продаж")</f>
        <v>Период продаж</v>
      </c>
      <c r="W68" s="6"/>
      <c r="X68" s="6"/>
      <c r="Y68" s="6" t="str">
        <f>IFERROR(__xludf.DUMMYFUNCTION("""COMPUTED_VALUE"""),"")</f>
        <v/>
      </c>
      <c r="Z68" s="6" t="str">
        <f>IFERROR(__xludf.DUMMYFUNCTION("""COMPUTED_VALUE"""),"")</f>
        <v/>
      </c>
      <c r="AA68" s="6" t="b">
        <f>IFERROR(__xludf.DUMMYFUNCTION("""COMPUTED_VALUE"""),FALSE)</f>
        <v>0</v>
      </c>
      <c r="AB68" s="6" t="b">
        <f>IFERROR(__xludf.DUMMYFUNCTION("""COMPUTED_VALUE"""),FALSE)</f>
        <v>0</v>
      </c>
      <c r="AC68" s="6" t="b">
        <f>IFERROR(__xludf.DUMMYFUNCTION("""COMPUTED_VALUE"""),FALSE)</f>
        <v>0</v>
      </c>
      <c r="AD68" s="6" t="b">
        <f>IFERROR(__xludf.DUMMYFUNCTION("""COMPUTED_VALUE"""),FALSE)</f>
        <v>0</v>
      </c>
      <c r="AE68" s="6"/>
      <c r="AF68" s="6" t="b">
        <f>IFERROR(__xludf.DUMMYFUNCTION("""COMPUTED_VALUE"""),FALSE)</f>
        <v>0</v>
      </c>
      <c r="AG68" s="6" t="str">
        <f>IFERROR(__xludf.DUMMYFUNCTION("""COMPUTED_VALUE"""),"2026-08-18T16:05:48+00:00")</f>
        <v>2026-08-18T16:05:48+00:00</v>
      </c>
      <c r="AH68" s="6" t="str">
        <f>IFERROR(__xludf.DUMMYFUNCTION("""COMPUTED_VALUE"""),"")</f>
        <v/>
      </c>
      <c r="AI68" s="6" t="str">
        <f>IFERROR(__xludf.DUMMYFUNCTION("""COMPUTED_VALUE"""),"#N/A")</f>
        <v>#N/A</v>
      </c>
      <c r="AJ68" s="9" t="s">
        <v>233</v>
      </c>
      <c r="AM68" s="9" t="s">
        <v>219</v>
      </c>
      <c r="AN68" s="6" t="str">
        <f>IFERROR(__xludf.DUMMYFUNCTION("IF(OR(AJ68=""general_brand"",AJ68=""external"",AJ68=""unknown""),"""",IF(AJ68=""product_line"",IF(AK68=""START"",""Аналитика старт | Алгоритмы старт | Backend старт | ML старт"",IF(AK68=""PRO"",""AI-агенты про | Алгоритмы про | Аналитика про | ML про | Ba"&amp;"ckend про"",IF(AK68=""START | PRO"",""Аналитика старт | Алгоритмы старт | Backend старт | ML старт | AI-агенты про | Алгоритмы про | Аналитика про | ML про | Backend про"",""""))),TEXTJOIN("" | "",TRUE,IF(REGEXMATCH(LOWER(AL68&amp;"" | ""&amp;E68),""аналитика ста"&amp;"рт""),""Аналитика старт"",""""),IF(REGEXMATCH(LOWER(AL68&amp;"" | ""&amp;E68),""алгоритмы старт""),""Алгоритмы старт"",""""),IF(REGEXMATCH(LOWER(AL68&amp;"" | ""&amp;E68),""backend старт""),""Backend старт"",""""),IF(REGEXMATCH(LOWER(AL68&amp;"" | ""&amp;E68),""ml старт""),""ML "&amp;"старт"",""""),IF(REGEXMATCH(LOWER(AL68&amp;"" | ""&amp;E68),""ai[ -]?агент""),""AI-агенты про"",""""),IF(REGEXMATCH(LOWER(AL68&amp;"" | ""&amp;E68),""алгоритмы про""),""Алгоритмы про"",""""),IF(REGEXMATCH(LOWER(AL68&amp;"" | ""&amp;E68),""аналитика про""),""Аналитика про"","""")"&amp;",IF(REGEXMATCH(LOWER(AL68&amp;"" | ""&amp;E68),""ml про""),""ML про"",""""),IF(REGEXMATCH(LOWER(AL68&amp;"" | ""&amp;E68),""backend про""),""Backend про"",""""),IF(REGEXMATCH(LOWER(AL68&amp;"" | ""&amp;E68),""(а/в|ав|а в|ab)[ -]?тест""),""А/В-тесты"",""""),IF(REGEXMATCH(LOWER(AL"&amp;"68&amp;"" | ""&amp;E68),""data science""),""Data science"",""""),IF(REGEXMATCH(LOWER(AL68&amp;"" | ""&amp;E68),""data[- ]?инжен""),""Data-инженер"",""""),IF(REGEXMATCH(LOWER(AL68&amp;"" | ""&amp;E68),""frontend""),""Frontend"",""""))))"),"")</f>
        <v/>
      </c>
    </row>
    <row r="69">
      <c r="A69" s="6" t="str">
        <f>IFERROR(__xludf.DUMMYFUNCTION("""COMPUTED_VALUE"""),"INT-1856")</f>
        <v>INT-1856</v>
      </c>
      <c r="B69" s="6" t="str">
        <f>IFERROR(__xludf.DUMMYFUNCTION("""COMPUTED_VALUE"""),"2026-08-19 18:58:14")</f>
        <v>2026-08-19 18:58:14</v>
      </c>
      <c r="C69" s="6" t="str">
        <f>IFERROR(__xludf.DUMMYFUNCTION("""COMPUTED_VALUE"""),"@postypashki_old")</f>
        <v>@postypashki_old</v>
      </c>
      <c r="D69" s="4" t="str">
        <f>IFERROR(__xludf.DUMMYFUNCTION("""COMPUTED_VALUE"""),"Прочий контент")</f>
        <v>Прочий контент</v>
      </c>
      <c r="E69" s="6"/>
      <c r="F69" s="6" t="str">
        <f>IFERROR(__xludf.DUMMYFUNCTION("""COMPUTED_VALUE"""),"")</f>
        <v/>
      </c>
      <c r="G69" s="6" t="str">
        <f>IFERROR(__xludf.DUMMYFUNCTION("""COMPUTED_VALUE"""),"postypashki_old/1856")</f>
        <v>postypashki_old/1856</v>
      </c>
      <c r="H69" s="6" t="str">
        <f>IFERROR(__xludf.DUMMYFUNCTION("""COMPUTED_VALUE"""),"Полный цикл отбора в Fast Forward на кванта (HFT) 
Лучший хфт фонд в России с офисом, что для хфт особенно важно. Весь нетворкинг проходит непосредственно очно, тебе не нужно ждать часы, для того чтобы получить ответ или отдельного созвона, thinkи будут "&amp;"проходить намного чаще, в общем одни плюсы от ирл коммуникации. Недавно наш выпускник проходил туда отбор, делимся с вами как прошли этапы. 
Условия (hr созвон)
Первый созвон был с hr, которая поспрашивала про опыт и достижения. Тут скорее требуется зара"&amp;"нее подготовить структурированный рассказ и придумать мотивацию. Мотивация ""хочу большие бабки"" не канает. По условиям сразу предупредили, что зп в конверте/криптой на холодный кошель. У них также есть и менялы, которые помогут в нал перевести всё. Офис"&amp;" в центре мск, есть компенсация на спортивные активности и дмс (до 100к), а также заказывают таксу до дома если в офисе просидел больше 10 часов. По зп на джун позицию стоит ориентироваться на 300-400к рублей. 
Тестовое
Будьте готовы, что практически во "&amp;"всех фондах у вас отбор будет начинаться с тестового. На него нужно будет день выделить как миниум. Тут главное не намудрить, используйте простенькую модель, а основную идейность лучше заложить в микроструктуру фичей. Здесь давалась задача восстановления "&amp;"чужой стратегии по стакану и готовой разметке чужой стратегией. 
Первый тех собес
На этот этап советую подготовиться ребятам, которые МЛщики и далеки от проги. Собес будет длиться в районе 1:30, может и больше, создалось ощущение что время не нормировано"&amp;". Задачки здесь вы решать не будете. Вас опросят по cpython и плюсам. Опросят как работает интерпритатор, компилятор, как аллоцируются данные, как работают треды/процессы/GIL. Питон нужно знать будет на уровне тонкостей реализации структур данных (листы, "&amp;"хеш таблицы, очереди и т п), будет большим плюсом если знаешь различая в реализаций структур данных в python и c++. Также были вопросы по канкаренси (микрозадачки устные) и по АКОС(последнее скорее просто на понимание работы плюсов и как устроен кэш). Уто"&amp;"чню на всякий случай, это собеседование было на кванта (не на swe). В конце спросили кейс: ""почему best_ask, best_bid покупка в стакане в слепую, то есть всегда, является плохой стратегией?"". 
Второй тех собес
На этом собесе было более чилово, так как "&amp;"спрашивали уже задачи, а не кучу теоретических микровопросов (тут конечно без них полностью не обошлось). В начале были опросы по ML, но так как в хфт преимущественно в основном ток classic нужен будет, то только по classic опрашивали. Опросили по бустинг"&amp;"ам, по нейросетям чуть поспрашивали (рекурренткам). Были вопросы по основным проблемам во время обучения (перечислить все), также просили из оптов рассказать про все спуски которые знаю и рассказать какой быстрее сходится, почему и т п. А также по временн"&amp;"ым рядам погоняли, но тут скорее был вайб, что они начали опрашивать по этому из-за того что я заикнулся, что насмотрен в этой теме (поспрашивали гарчи, арима, var, как раскладывтаь на тренд и тесты). Затем пошли задачки, они по уровню были примерно как н"&amp;"а школьных олимпиадах 9й класс, то есть классические брейнтизеры (было штуки 4). Похожие задачи для тернировки можно найти quantguide.
Очный финал
Встречался очно с лидом, он в процессе дал брейнтизер почти в самом начале встречи (я его быстро решил), оп"&amp;"ять же таска похожа на те как на прошлом собесе были. А затем было просто похоже на вайбчек он рассказывал чем занимаются, запугивал что нужно будет по 70 часов в неделю воркать. Очень много пытался выяснить про научные интересы, то есть статьи, которые н"&amp;"аписал, лаборатории вузовские. Также расспрашивал про другие достижения в духе олимпиад, соревнований и хакатонов. Ничего из этого у меня не было, поэтому не взяли. Вернулись с обратной связью, что все было классно, только мне нужно подрасти, опять же ста"&amp;"тьи, олимпиады или ШАД. 
По итогу именно с технической части на самом деле оказалось проще, чем я думал, да конечно расспрашивали в большом количестве, но спрашивали очень базовые вещи. Еще больше задач и вопросов с собесов в нашей открытой базе собесов "&amp;"и тестовых заданий на нашем сайте. 
Подписаться: @postypashki_old")</f>
        <v>Полный цикл отбора в Fast Forward на кванта (HFT) 
Лучший хфт фонд в России с офисом, что для хфт особенно важно. Весь нетворкинг проходит непосредственно очно, тебе не нужно ждать часы, для того чтобы получить ответ или отдельного созвона, thinkи будут проходить намного чаще, в общем одни плюсы от ирл коммуникации. Недавно наш выпускник проходил туда отбор, делимся с вами как прошли этапы. 
Условия (hr созвон)
Первый созвон был с hr, которая поспрашивала про опыт и достижения. Тут скорее требуется заранее подготовить структурированный рассказ и придумать мотивацию. Мотивация "хочу большие бабки" не канает. По условиям сразу предупредили, что зп в конверте/криптой на холодный кошель. У них также есть и менялы, которые помогут в нал перевести всё. Офис в центре мск, есть компенсация на спортивные активности и дмс (до 100к), а также заказывают таксу до дома если в офисе просидел больше 10 часов. По зп на джун позицию стоит ориентироваться на 300-400к рублей. 
Тестовое
Будьте готовы, что практически во всех фондах у вас отбор будет начинаться с тестового. На него нужно будет день выделить как миниум. Тут главное не намудрить, используйте простенькую модель, а основную идейность лучше заложить в микроструктуру фичей. Здесь давалась задача восстановления чужой стратегии по стакану и готовой разметке чужой стратегией. 
Первый тех собес
На этот этап советую подготовиться ребятам, которые МЛщики и далеки от проги. Собес будет длиться в районе 1:30, может и больше, создалось ощущение что время не нормировано. Задачки здесь вы решать не будете. Вас опросят по cpython и плюсам. Опросят как работает интерпритатор, компилятор, как аллоцируются данные, как работают треды/процессы/GIL. Питон нужно знать будет на уровне тонкостей реализации структур данных (листы, хеш таблицы, очереди и т п), будет большим плюсом если знаешь различая в реализаций структур данных в python и c++. Также были вопросы по канкаренси (микрозадачки устные) и по АКОС(последнее скорее просто на понимание работы плюсов и как устроен кэш). Уточню на всякий случай, это собеседование было на кванта (не на swe). В конце спросили кейс: "почему best_ask, best_bid покупка в стакане в слепую, то есть всегда, является плохой стратегией?". 
Второй тех собес
На этом собесе было более чилово, так как спрашивали уже задачи, а не кучу теоретических микровопросов (тут конечно без них полностью не обошлось). В начале были опросы по ML, но так как в хфт преимущественно в основном ток classic нужен будет, то только по classic опрашивали. Опросили по бустингам, по нейросетям чуть поспрашивали (рекурренткам). Были вопросы по основным проблемам во время обучения (перечислить все), также просили из оптов рассказать про все спуски которые знаю и рассказать какой быстрее сходится, почему и т п. А также по временным рядам погоняли, но тут скорее был вайб, что они начали опрашивать по этому из-за того что я заикнулся, что насмотрен в этой теме (поспрашивали гарчи, арима, var, как раскладывтаь на тренд и тесты). Затем пошли задачки, они по уровню были примерно как на школьных олимпиадах 9й класс, то есть классические брейнтизеры (было штуки 4). Похожие задачи для тернировки можно найти quantguide.
Очный финал
Встречался очно с лидом, он в процессе дал брейнтизер почти в самом начале встречи (я его быстро решил), опять же таска похожа на те как на прошлом собесе были. А затем было просто похоже на вайбчек он рассказывал чем занимаются, запугивал что нужно будет по 70 часов в неделю воркать. Очень много пытался выяснить про научные интересы, то есть статьи, которые написал, лаборатории вузовские. Также расспрашивал про другие достижения в духе олимпиад, соревнований и хакатонов. Ничего из этого у меня не было, поэтому не взяли. Вернулись с обратной связью, что все было классно, только мне нужно подрасти, опять же статьи, олимпиады или ШАД. 
По итогу именно с технической части на самом деле оказалось проще, чем я думал, да конечно расспрашивали в большом количестве, но спрашивали очень базовые вещи. Еще больше задач и вопросов с собесов в нашей открытой базе собесов и тестовых заданий на нашем сайте. 
Подписаться: @postypashki_old</v>
      </c>
      <c r="I69" s="6" t="str">
        <f>IFERROR(__xludf.DUMMYFUNCTION("""COMPUTED_VALUE"""),"internal")</f>
        <v>internal</v>
      </c>
      <c r="J69" s="10" t="str">
        <f>IFERROR(__xludf.DUMMYFUNCTION("""COMPUTED_VALUE"""),"https://t.me/postypashki_old/1856")</f>
        <v>https://t.me/postypashki_old/1856</v>
      </c>
      <c r="K69" s="6">
        <f>IFERROR(__xludf.DUMMYFUNCTION("""COMPUTED_VALUE"""),23800.0)</f>
        <v>23800</v>
      </c>
      <c r="L69" s="6">
        <f>IFERROR(__xludf.DUMMYFUNCTION("""COMPUTED_VALUE"""),123.0)</f>
        <v>123</v>
      </c>
      <c r="M69" s="6" t="str">
        <f>IFERROR(__xludf.DUMMYFUNCTION("""COMPUTED_VALUE"""),"")</f>
        <v/>
      </c>
      <c r="N69" s="6" t="str">
        <f>IFERROR(__xludf.DUMMYFUNCTION("""COMPUTED_VALUE"""),"Telegram")</f>
        <v>Telegram</v>
      </c>
      <c r="O69" s="6" t="str">
        <f>IFERROR(__xludf.DUMMYFUNCTION("""COMPUTED_VALUE"""),"raw")</f>
        <v>raw</v>
      </c>
      <c r="P69" s="6" t="str">
        <f>IFERROR(__xludf.DUMMYFUNCTION("""COMPUTED_VALUE"""),"Codex")</f>
        <v>Codex</v>
      </c>
      <c r="Q69" s="6" t="str">
        <f>IFERROR(__xludf.DUMMYFUNCTION("""COMPUTED_VALUE"""),"Полный цикл отбора в Fast Forward на кванта (HFT) Лучший хфт фонд в России с офисом, что для хфт особенно важно. Весь нетворкинг проходит непосредственно очно, тебе не нужно ждать ")</f>
        <v>Полный цикл отбора в Fast Forward на кванта (HFT) Лучший хфт фонд в России с офисом, что для хфт особенно важно. Весь нетворкинг проходит непосредственно очно, тебе не нужно ждать </v>
      </c>
      <c r="R69" s="6" t="str">
        <f>IFERROR(__xludf.DUMMYFUNCTION("""COMPUTED_VALUE"""),"internal")</f>
        <v>internal</v>
      </c>
      <c r="S69" s="6" t="str">
        <f>IFERROR(__xludf.DUMMYFUNCTION("""COMPUTED_VALUE"""),"unknown")</f>
        <v>unknown</v>
      </c>
      <c r="T69" s="6" t="str">
        <f>IFERROR(__xludf.DUMMYFUNCTION("""COMPUTED_VALUE"""),"telegram_internal")</f>
        <v>telegram_internal</v>
      </c>
      <c r="U69" s="6" t="str">
        <f>IFERROR(__xludf.DUMMYFUNCTION("""COMPUTED_VALUE"""),"Прочий контент")</f>
        <v>Прочий контент</v>
      </c>
      <c r="V69" s="6" t="str">
        <f>IFERROR(__xludf.DUMMYFUNCTION("""COMPUTED_VALUE"""),"Период продаж")</f>
        <v>Период продаж</v>
      </c>
      <c r="W69" s="6"/>
      <c r="X69" s="6"/>
      <c r="Y69" s="6" t="str">
        <f>IFERROR(__xludf.DUMMYFUNCTION("""COMPUTED_VALUE"""),"")</f>
        <v/>
      </c>
      <c r="Z69" s="6" t="str">
        <f>IFERROR(__xludf.DUMMYFUNCTION("""COMPUTED_VALUE"""),"")</f>
        <v/>
      </c>
      <c r="AA69" s="6" t="b">
        <f>IFERROR(__xludf.DUMMYFUNCTION("""COMPUTED_VALUE"""),TRUE)</f>
        <v>1</v>
      </c>
      <c r="AB69" s="6" t="b">
        <f>IFERROR(__xludf.DUMMYFUNCTION("""COMPUTED_VALUE"""),FALSE)</f>
        <v>0</v>
      </c>
      <c r="AC69" s="6" t="b">
        <f>IFERROR(__xludf.DUMMYFUNCTION("""COMPUTED_VALUE"""),FALSE)</f>
        <v>0</v>
      </c>
      <c r="AD69" s="6" t="b">
        <f>IFERROR(__xludf.DUMMYFUNCTION("""COMPUTED_VALUE"""),FALSE)</f>
        <v>0</v>
      </c>
      <c r="AE69" s="6"/>
      <c r="AF69" s="6" t="b">
        <f>IFERROR(__xludf.DUMMYFUNCTION("""COMPUTED_VALUE"""),FALSE)</f>
        <v>0</v>
      </c>
      <c r="AG69" s="6" t="str">
        <f>IFERROR(__xludf.DUMMYFUNCTION("""COMPUTED_VALUE"""),"2026-08-19T15:58:14+00:00")</f>
        <v>2026-08-19T15:58:14+00:00</v>
      </c>
      <c r="AH69" s="6" t="str">
        <f>IFERROR(__xludf.DUMMYFUNCTION("""COMPUTED_VALUE"""),"")</f>
        <v/>
      </c>
      <c r="AI69" s="6" t="str">
        <f>IFERROR(__xludf.DUMMYFUNCTION("""COMPUTED_VALUE"""),"#N/A")</f>
        <v>#N/A</v>
      </c>
      <c r="AJ69" s="9" t="s">
        <v>233</v>
      </c>
      <c r="AM69" s="9" t="s">
        <v>219</v>
      </c>
      <c r="AN69" s="6" t="str">
        <f>IFERROR(__xludf.DUMMYFUNCTION("IF(OR(AJ69=""general_brand"",AJ69=""external"",AJ69=""unknown""),"""",IF(AJ69=""product_line"",IF(AK69=""START"",""Аналитика старт | Алгоритмы старт | Backend старт | ML старт"",IF(AK69=""PRO"",""AI-агенты про | Алгоритмы про | Аналитика про | ML про | Ba"&amp;"ckend про"",IF(AK69=""START | PRO"",""Аналитика старт | Алгоритмы старт | Backend старт | ML старт | AI-агенты про | Алгоритмы про | Аналитика про | ML про | Backend про"",""""))),TEXTJOIN("" | "",TRUE,IF(REGEXMATCH(LOWER(AL69&amp;"" | ""&amp;E69),""аналитика ста"&amp;"рт""),""Аналитика старт"",""""),IF(REGEXMATCH(LOWER(AL69&amp;"" | ""&amp;E69),""алгоритмы старт""),""Алгоритмы старт"",""""),IF(REGEXMATCH(LOWER(AL69&amp;"" | ""&amp;E69),""backend старт""),""Backend старт"",""""),IF(REGEXMATCH(LOWER(AL69&amp;"" | ""&amp;E69),""ml старт""),""ML "&amp;"старт"",""""),IF(REGEXMATCH(LOWER(AL69&amp;"" | ""&amp;E69),""ai[ -]?агент""),""AI-агенты про"",""""),IF(REGEXMATCH(LOWER(AL69&amp;"" | ""&amp;E69),""алгоритмы про""),""Алгоритмы про"",""""),IF(REGEXMATCH(LOWER(AL69&amp;"" | ""&amp;E69),""аналитика про""),""Аналитика про"","""")"&amp;",IF(REGEXMATCH(LOWER(AL69&amp;"" | ""&amp;E69),""ml про""),""ML про"",""""),IF(REGEXMATCH(LOWER(AL69&amp;"" | ""&amp;E69),""backend про""),""Backend про"",""""),IF(REGEXMATCH(LOWER(AL69&amp;"" | ""&amp;E69),""(а/в|ав|а в|ab)[ -]?тест""),""А/В-тесты"",""""),IF(REGEXMATCH(LOWER(AL"&amp;"69&amp;"" | ""&amp;E69),""data science""),""Data science"",""""),IF(REGEXMATCH(LOWER(AL69&amp;"" | ""&amp;E69),""data[- ]?инжен""),""Data-инженер"",""""),IF(REGEXMATCH(LOWER(AL69&amp;"" | ""&amp;E69),""frontend""),""Frontend"",""""))))"),"")</f>
        <v/>
      </c>
    </row>
    <row r="70">
      <c r="A70" s="6" t="str">
        <f>IFERROR(__xludf.DUMMYFUNCTION("""COMPUTED_VALUE"""),"INT-1857")</f>
        <v>INT-1857</v>
      </c>
      <c r="B70" s="6" t="str">
        <f>IFERROR(__xludf.DUMMYFUNCTION("""COMPUTED_VALUE"""),"2026-08-20 19:11:50")</f>
        <v>2026-08-20 19:11:50</v>
      </c>
      <c r="C70" s="6" t="str">
        <f>IFERROR(__xludf.DUMMYFUNCTION("""COMPUTED_VALUE"""),"@postypashki_old")</f>
        <v>@postypashki_old</v>
      </c>
      <c r="D70" s="4" t="str">
        <f>IFERROR(__xludf.DUMMYFUNCTION("""COMPUTED_VALUE"""),"Прочий контент")</f>
        <v>Прочий контент</v>
      </c>
      <c r="E70" s="6"/>
      <c r="F70" s="6" t="str">
        <f>IFERROR(__xludf.DUMMYFUNCTION("""COMPUTED_VALUE"""),"")</f>
        <v/>
      </c>
      <c r="G70" s="6" t="str">
        <f>IFERROR(__xludf.DUMMYFUNCTION("""COMPUTED_VALUE"""),"postypashki_old/1857")</f>
        <v>postypashki_old/1857</v>
      </c>
      <c r="H70" s="6" t="str">
        <f>IFERROR(__xludf.DUMMYFUNCTION("""COMPUTED_VALUE"""),"Собрали 9 не самых очевидных стажировок в IT, которые стоит держать на радаре
Не ограничились ссылками на карьерные сайты: по каждой программе разобрали реальные задачи, стек, этапы отбора, нагрузку, деньги, что известно о переходе в штат на опыте наших "&amp;"стендов и подводные камни, которые обычно не выносят на лендинг.
Внутри - MAGNIT TECH, X5 Tech, КРОК, Московская биржа, Ростелеком, Kaspersky, Контур, YADRO и СИБУР Цифровой. Если о чем-то забыли, пишите в комментариях! Список стажировок можно найти на н"&amp;"ашем сайте.
Подписаться: @postypashki_old")</f>
        <v>Собрали 9 не самых очевидных стажировок в IT, которые стоит держать на радаре
Не ограничились ссылками на карьерные сайты: по каждой программе разобрали реальные задачи, стек, этапы отбора, нагрузку, деньги, что известно о переходе в штат на опыте наших стендов и подводные камни, которые обычно не выносят на лендинг.
Внутри - MAGNIT TECH, X5 Tech, КРОК, Московская биржа, Ростелеком, Kaspersky, Контур, YADRO и СИБУР Цифровой. Если о чем-то забыли, пишите в комментариях! Список стажировок можно найти на нашем сайте.
Подписаться: @postypashki_old</v>
      </c>
      <c r="I70" s="6" t="str">
        <f>IFERROR(__xludf.DUMMYFUNCTION("""COMPUTED_VALUE"""),"internal")</f>
        <v>internal</v>
      </c>
      <c r="J70" s="10" t="str">
        <f>IFERROR(__xludf.DUMMYFUNCTION("""COMPUTED_VALUE"""),"https://t.me/postypashki_old/1857")</f>
        <v>https://t.me/postypashki_old/1857</v>
      </c>
      <c r="K70" s="6">
        <f>IFERROR(__xludf.DUMMYFUNCTION("""COMPUTED_VALUE"""),22800.0)</f>
        <v>22800</v>
      </c>
      <c r="L70" s="6">
        <f>IFERROR(__xludf.DUMMYFUNCTION("""COMPUTED_VALUE"""),80.0)</f>
        <v>80</v>
      </c>
      <c r="M70" s="6" t="str">
        <f>IFERROR(__xludf.DUMMYFUNCTION("""COMPUTED_VALUE"""),"")</f>
        <v/>
      </c>
      <c r="N70" s="6" t="str">
        <f>IFERROR(__xludf.DUMMYFUNCTION("""COMPUTED_VALUE"""),"Telegram")</f>
        <v>Telegram</v>
      </c>
      <c r="O70" s="6" t="str">
        <f>IFERROR(__xludf.DUMMYFUNCTION("""COMPUTED_VALUE"""),"raw")</f>
        <v>raw</v>
      </c>
      <c r="P70" s="6" t="str">
        <f>IFERROR(__xludf.DUMMYFUNCTION("""COMPUTED_VALUE"""),"Codex")</f>
        <v>Codex</v>
      </c>
      <c r="Q70" s="6" t="str">
        <f>IFERROR(__xludf.DUMMYFUNCTION("""COMPUTED_VALUE"""),"Собрали 9 не самых очевидных стажировок в IT, которые стоит держать на радаре Не ограничились ссылками на карьерные сайты: по каждой программе разобрали реальные задачи, стек, этап")</f>
        <v>Собрали 9 не самых очевидных стажировок в IT, которые стоит держать на радаре Не ограничились ссылками на карьерные сайты: по каждой программе разобрали реальные задачи, стек, этап</v>
      </c>
      <c r="R70" s="6" t="str">
        <f>IFERROR(__xludf.DUMMYFUNCTION("""COMPUTED_VALUE"""),"internal")</f>
        <v>internal</v>
      </c>
      <c r="S70" s="6" t="str">
        <f>IFERROR(__xludf.DUMMYFUNCTION("""COMPUTED_VALUE"""),"unknown")</f>
        <v>unknown</v>
      </c>
      <c r="T70" s="6" t="str">
        <f>IFERROR(__xludf.DUMMYFUNCTION("""COMPUTED_VALUE"""),"telegram_internal")</f>
        <v>telegram_internal</v>
      </c>
      <c r="U70" s="6" t="str">
        <f>IFERROR(__xludf.DUMMYFUNCTION("""COMPUTED_VALUE"""),"Прочий контент")</f>
        <v>Прочий контент</v>
      </c>
      <c r="V70" s="6" t="str">
        <f>IFERROR(__xludf.DUMMYFUNCTION("""COMPUTED_VALUE"""),"Период продаж")</f>
        <v>Период продаж</v>
      </c>
      <c r="W70" s="6" t="str">
        <f>IFERROR(__xludf.DUMMYFUNCTION("""COMPUTED_VALUE"""),"Файл")</f>
        <v>Файл</v>
      </c>
      <c r="X70" s="6"/>
      <c r="Y70" s="6" t="str">
        <f>IFERROR(__xludf.DUMMYFUNCTION("""COMPUTED_VALUE"""),"")</f>
        <v/>
      </c>
      <c r="Z70" s="6" t="str">
        <f>IFERROR(__xludf.DUMMYFUNCTION("""COMPUTED_VALUE"""),"")</f>
        <v/>
      </c>
      <c r="AA70" s="6" t="b">
        <f>IFERROR(__xludf.DUMMYFUNCTION("""COMPUTED_VALUE"""),TRUE)</f>
        <v>1</v>
      </c>
      <c r="AB70" s="6" t="b">
        <f>IFERROR(__xludf.DUMMYFUNCTION("""COMPUTED_VALUE"""),FALSE)</f>
        <v>0</v>
      </c>
      <c r="AC70" s="6" t="b">
        <f>IFERROR(__xludf.DUMMYFUNCTION("""COMPUTED_VALUE"""),FALSE)</f>
        <v>0</v>
      </c>
      <c r="AD70" s="6" t="b">
        <f>IFERROR(__xludf.DUMMYFUNCTION("""COMPUTED_VALUE"""),FALSE)</f>
        <v>0</v>
      </c>
      <c r="AE70" s="6"/>
      <c r="AF70" s="6" t="b">
        <f>IFERROR(__xludf.DUMMYFUNCTION("""COMPUTED_VALUE"""),FALSE)</f>
        <v>0</v>
      </c>
      <c r="AG70" s="6" t="str">
        <f>IFERROR(__xludf.DUMMYFUNCTION("""COMPUTED_VALUE"""),"2026-08-20T16:11:50+00:00")</f>
        <v>2026-08-20T16:11:50+00:00</v>
      </c>
      <c r="AH70" s="6" t="str">
        <f>IFERROR(__xludf.DUMMYFUNCTION("""COMPUTED_VALUE"""),"")</f>
        <v/>
      </c>
      <c r="AI70" s="6" t="str">
        <f>IFERROR(__xludf.DUMMYFUNCTION("""COMPUTED_VALUE"""),"#N/A")</f>
        <v>#N/A</v>
      </c>
      <c r="AJ70" s="9" t="s">
        <v>233</v>
      </c>
      <c r="AM70" s="9" t="s">
        <v>219</v>
      </c>
      <c r="AN70" s="6" t="str">
        <f>IFERROR(__xludf.DUMMYFUNCTION("IF(OR(AJ70=""general_brand"",AJ70=""external"",AJ70=""unknown""),"""",IF(AJ70=""product_line"",IF(AK70=""START"",""Аналитика старт | Алгоритмы старт | Backend старт | ML старт"",IF(AK70=""PRO"",""AI-агенты про | Алгоритмы про | Аналитика про | ML про | Ba"&amp;"ckend про"",IF(AK70=""START | PRO"",""Аналитика старт | Алгоритмы старт | Backend старт | ML старт | AI-агенты про | Алгоритмы про | Аналитика про | ML про | Backend про"",""""))),TEXTJOIN("" | "",TRUE,IF(REGEXMATCH(LOWER(AL70&amp;"" | ""&amp;E70),""аналитика ста"&amp;"рт""),""Аналитика старт"",""""),IF(REGEXMATCH(LOWER(AL70&amp;"" | ""&amp;E70),""алгоритмы старт""),""Алгоритмы старт"",""""),IF(REGEXMATCH(LOWER(AL70&amp;"" | ""&amp;E70),""backend старт""),""Backend старт"",""""),IF(REGEXMATCH(LOWER(AL70&amp;"" | ""&amp;E70),""ml старт""),""ML "&amp;"старт"",""""),IF(REGEXMATCH(LOWER(AL70&amp;"" | ""&amp;E70),""ai[ -]?агент""),""AI-агенты про"",""""),IF(REGEXMATCH(LOWER(AL70&amp;"" | ""&amp;E70),""алгоритмы про""),""Алгоритмы про"",""""),IF(REGEXMATCH(LOWER(AL70&amp;"" | ""&amp;E70),""аналитика про""),""Аналитика про"","""")"&amp;",IF(REGEXMATCH(LOWER(AL70&amp;"" | ""&amp;E70),""ml про""),""ML про"",""""),IF(REGEXMATCH(LOWER(AL70&amp;"" | ""&amp;E70),""backend про""),""Backend про"",""""),IF(REGEXMATCH(LOWER(AL70&amp;"" | ""&amp;E70),""(а/в|ав|а в|ab)[ -]?тест""),""А/В-тесты"",""""),IF(REGEXMATCH(LOWER(AL"&amp;"70&amp;"" | ""&amp;E70),""data science""),""Data science"",""""),IF(REGEXMATCH(LOWER(AL70&amp;"" | ""&amp;E70),""data[- ]?инжен""),""Data-инженер"",""""),IF(REGEXMATCH(LOWER(AL70&amp;"" | ""&amp;E70),""frontend""),""Frontend"",""""))))"),"")</f>
        <v/>
      </c>
    </row>
    <row r="71">
      <c r="A71" s="6" t="str">
        <f>IFERROR(__xludf.DUMMYFUNCTION("""COMPUTED_VALUE"""),"INT-1859")</f>
        <v>INT-1859</v>
      </c>
      <c r="B71" s="6" t="str">
        <f>IFERROR(__xludf.DUMMYFUNCTION("""COMPUTED_VALUE"""),"2026-08-22 13:19:48")</f>
        <v>2026-08-22 13:19:48</v>
      </c>
      <c r="C71" s="6" t="str">
        <f>IFERROR(__xludf.DUMMYFUNCTION("""COMPUTED_VALUE"""),"@postypashki_old")</f>
        <v>@postypashki_old</v>
      </c>
      <c r="D71" s="4" t="str">
        <f>IFERROR(__xludf.DUMMYFUNCTION("""COMPUTED_VALUE"""),"Запуск / набор")</f>
        <v>Запуск / набор</v>
      </c>
      <c r="E71" s="6" t="str">
        <f>IFERROR(__xludf.DUMMYFUNCTION("""COMPUTED_VALUE"""),"ML про | Backend про | Алгоритмы про | Аналитика про | AI агенты | АВ тестам")</f>
        <v>ML про | Backend про | Алгоритмы про | Аналитика про | AI агенты | АВ тестам</v>
      </c>
      <c r="F71" s="6" t="str">
        <f>IFERROR(__xludf.DUMMYFUNCTION("""COMPUTED_VALUE"""),"")</f>
        <v/>
      </c>
      <c r="G71" s="6" t="str">
        <f>IFERROR(__xludf.DUMMYFUNCTION("""COMPUTED_VALUE"""),"postypashki_old/1859")</f>
        <v>postypashki_old/1859</v>
      </c>
      <c r="H71" s="6" t="str">
        <f>IFERROR(__xludf.DUMMYFUNCTION("""COMPUTED_VALUE"""),"Выходим на новый уровень с линейкой 1️⃣1️⃣1️⃣
Товарищи, если база уже есть, то следующий шаг — углубиться в специализацию, закрыть пробелы, освоить новые инструменты и стать сильнее как специалист.
Для этого мы запускаем ПРО — углублённые карьерные курс"&amp;"ы для тех, кто хочет качать карьеру и заработок! Для записи и вопросов — пишите менеджеру
📎Курсы ПРО подойдут тем, кто:
— уже знает основы и хочет глубже разобраться в своей специализации
— хочет перейти с junior на middle и расти дальше
— готовится к "&amp;"собеседованиям на более сильные позиции
— хочет сменить роль и добрать недостающие навыки
— уже на старте имеет сильную базу и хочет целиться выше стажёрских и junior-позиций
➡️Действует гарантия: прошел курс, выполнил все рекомендации, но не получил офф"&amp;"ер — вернем деньги
➡️Курс длится 6 недель: теория, практика, домашние задания и пет-проект. Всё это время рядом преподаватель и куратор.
Открываем сразу 5 направлений:
➡️Аналитика ПРО
Продвинутый SQL, A/B-тесты, эконометрика, Causal Inference и ML.
➡️M"&amp;"L ПРО
Вывод модели в прод, MLOps, рекомендательные системы, ранжирование, uplift и динамическое преобразование.
➡️Backend ПРО
Многопоточка, System Desgin, Микросервисы, базы данных, кеширование, мониторинг и распределённые системы.
➡️Алгоритмы ПРО
Продв"&amp;"инутые алгоритмы и задачи для сложных технических интервью в hft фонды, faang+, для олимпиад и контестов.
➡️ИИ-агенты ПРО 
Будем разбираться не просто в LLM. Вы научитесь проектировать полноценные агентные системы и за курс соберём 5 собственных AI-агент"&amp;"ов и пройдём весь путь от архитектуры и инструментов до работы с RAG, multi-agent системами, MCP, evals и деплоем.
В программу всех курсов войдет:
🔵закрытый банк вопросов с интервью топовых бигтехов
🔵разбор ближайшей стажировки в Т-банк и Яндекс 
🔵moc"&amp;"k-собеседования с обратной связью
🔵рефералка в бигтех после защиты пет-проекта
🔵карьерная стратегия: резюме, поиск вакансий, подготовка к HR секциям
💰Бонус для всех записавшихся - курс про поиск валютной удалёнки и работы за рубежом в подарок")</f>
        <v>Выходим на новый уровень с линейкой 1️⃣1️⃣1️⃣
Товарищи, если база уже есть, то следующий шаг — углубиться в специализацию, закрыть пробелы, освоить новые инструменты и стать сильнее как специалист.
Для этого мы запускаем ПРО — углублённые карьерные курсы для тех, кто хочет качать карьеру и заработок! Для записи и вопросов — пишите менеджеру
📎Курсы ПРО подойдут тем, кто:
— уже знает основы и хочет глубже разобраться в своей специализации
— хочет перейти с junior на middle и расти дальше
— готовится к собеседованиям на более сильные позиции
— хочет сменить роль и добрать недостающие навыки
— уже на старте имеет сильную базу и хочет целиться выше стажёрских и junior-позиций
➡️Действует гарантия: прошел курс, выполнил все рекомендации, но не получил оффер — вернем деньги
➡️Курс длится 6 недель: теория, практика, домашние задания и пет-проект. Всё это время рядом преподаватель и куратор.
Открываем сразу 5 направлений:
➡️Аналитика ПРО
Продвинутый SQL, A/B-тесты, эконометрика, Causal Inference и ML.
➡️ML ПРО
Вывод модели в прод, MLOps, рекомендательные системы, ранжирование, uplift и динамическое преобразование.
➡️Backend ПРО
Многопоточка, System Desgin, Микросервисы, базы данных, кеширование, мониторинг и распределённые системы.
➡️Алгоритмы ПРО
Продвинутые алгоритмы и задачи для сложных технических интервью в hft фонды, faang+, для олимпиад и контестов.
➡️ИИ-агенты ПРО 
Будем разбираться не просто в LLM. Вы научитесь проектировать полноценные агентные системы и за курс соберём 5 собственных AI-агентов и пройдём весь путь от архитектуры и инструментов до работы с RAG, multi-agent системами, MCP, evals и деплоем.
В программу всех курсов войдет:
🔵закрытый банк вопросов с интервью топовых бигтехов
🔵разбор ближайшей стажировки в Т-банк и Яндекс 
🔵mock-собеседования с обратной связью
🔵рефералка в бигтех после защиты пет-проекта
🔵карьерная стратегия: резюме, поиск вакансий, подготовка к HR секциям
💰Бонус для всех записавшихся - курс про поиск валютной удалёнки и работы за рубежом в подарок</v>
      </c>
      <c r="I71" s="6" t="str">
        <f>IFERROR(__xludf.DUMMYFUNCTION("""COMPUTED_VALUE"""),"internal")</f>
        <v>internal</v>
      </c>
      <c r="J71" s="10" t="str">
        <f>IFERROR(__xludf.DUMMYFUNCTION("""COMPUTED_VALUE"""),"https://t.me/postypashki_old/1859")</f>
        <v>https://t.me/postypashki_old/1859</v>
      </c>
      <c r="K71" s="6">
        <f>IFERROR(__xludf.DUMMYFUNCTION("""COMPUTED_VALUE"""),35200.0)</f>
        <v>35200</v>
      </c>
      <c r="L71" s="6">
        <f>IFERROR(__xludf.DUMMYFUNCTION("""COMPUTED_VALUE"""),55.0)</f>
        <v>55</v>
      </c>
      <c r="M71" s="6" t="str">
        <f>IFERROR(__xludf.DUMMYFUNCTION("""COMPUTED_VALUE"""),"")</f>
        <v/>
      </c>
      <c r="N71" s="6" t="str">
        <f>IFERROR(__xludf.DUMMYFUNCTION("""COMPUTED_VALUE"""),"Telegram")</f>
        <v>Telegram</v>
      </c>
      <c r="O71" s="6" t="str">
        <f>IFERROR(__xludf.DUMMYFUNCTION("""COMPUTED_VALUE"""),"raw")</f>
        <v>raw</v>
      </c>
      <c r="P71" s="6" t="str">
        <f>IFERROR(__xludf.DUMMYFUNCTION("""COMPUTED_VALUE"""),"Codex")</f>
        <v>Codex</v>
      </c>
      <c r="Q71" s="6" t="str">
        <f>IFERROR(__xludf.DUMMYFUNCTION("""COMPUTED_VALUE"""),"Выходим на новый уровень с линейкой 1️⃣1️⃣1️⃣ Товарищи, если база уже есть, то следующий шаг — углубиться в специализацию, закрыть пробелы, освоить новые инструменты и стать сильне")</f>
        <v>Выходим на новый уровень с линейкой 1️⃣1️⃣1️⃣ Товарищи, если база уже есть, то следующий шаг — углубиться в специализацию, закрыть пробелы, освоить новые инструменты и стать сильне</v>
      </c>
      <c r="R71" s="6" t="str">
        <f>IFERROR(__xludf.DUMMYFUNCTION("""COMPUTED_VALUE"""),"internal")</f>
        <v>internal</v>
      </c>
      <c r="S71" s="6" t="str">
        <f>IFERROR(__xludf.DUMMYFUNCTION("""COMPUTED_VALUE"""),"unknown")</f>
        <v>unknown</v>
      </c>
      <c r="T71" s="6" t="str">
        <f>IFERROR(__xludf.DUMMYFUNCTION("""COMPUTED_VALUE"""),"telegram_internal")</f>
        <v>telegram_internal</v>
      </c>
      <c r="U71" s="6" t="str">
        <f>IFERROR(__xludf.DUMMYFUNCTION("""COMPUTED_VALUE"""),"Запуск / набор")</f>
        <v>Запуск / набор</v>
      </c>
      <c r="V71" s="6" t="str">
        <f>IFERROR(__xludf.DUMMYFUNCTION("""COMPUTED_VALUE"""),"Период продаж")</f>
        <v>Период продаж</v>
      </c>
      <c r="W71" s="6" t="str">
        <f>IFERROR(__xludf.DUMMYFUNCTION("""COMPUTED_VALUE"""),"Фото")</f>
        <v>Фото</v>
      </c>
      <c r="X71" s="6"/>
      <c r="Y71" s="6" t="str">
        <f>IFERROR(__xludf.DUMMYFUNCTION("""COMPUTED_VALUE"""),"")</f>
        <v/>
      </c>
      <c r="Z71" s="6" t="str">
        <f>IFERROR(__xludf.DUMMYFUNCTION("""COMPUTED_VALUE"""),"")</f>
        <v/>
      </c>
      <c r="AA71" s="6" t="b">
        <f>IFERROR(__xludf.DUMMYFUNCTION("""COMPUTED_VALUE"""),TRUE)</f>
        <v>1</v>
      </c>
      <c r="AB71" s="6" t="b">
        <f>IFERROR(__xludf.DUMMYFUNCTION("""COMPUTED_VALUE"""),FALSE)</f>
        <v>0</v>
      </c>
      <c r="AC71" s="6" t="b">
        <f>IFERROR(__xludf.DUMMYFUNCTION("""COMPUTED_VALUE"""),TRUE)</f>
        <v>1</v>
      </c>
      <c r="AD71" s="6" t="b">
        <f>IFERROR(__xludf.DUMMYFUNCTION("""COMPUTED_VALUE"""),FALSE)</f>
        <v>0</v>
      </c>
      <c r="AE71" s="6"/>
      <c r="AF71" s="6" t="b">
        <f>IFERROR(__xludf.DUMMYFUNCTION("""COMPUTED_VALUE"""),FALSE)</f>
        <v>0</v>
      </c>
      <c r="AG71" s="6" t="str">
        <f>IFERROR(__xludf.DUMMYFUNCTION("""COMPUTED_VALUE"""),"2026-08-22T10:19:48+00:00")</f>
        <v>2026-08-22T10:19:48+00:00</v>
      </c>
      <c r="AH71" s="6" t="str">
        <f>IFERROR(__xludf.DUMMYFUNCTION("""COMPUTED_VALUE"""),"")</f>
        <v/>
      </c>
      <c r="AI71" s="6" t="str">
        <f>IFERROR(__xludf.DUMMYFUNCTION("""COMPUTED_VALUE"""),"#N/A")</f>
        <v>#N/A</v>
      </c>
      <c r="AJ71" s="9" t="s">
        <v>223</v>
      </c>
      <c r="AK71" s="9" t="s">
        <v>242</v>
      </c>
      <c r="AL71" s="4" t="s">
        <v>244</v>
      </c>
      <c r="AM71" s="9" t="s">
        <v>237</v>
      </c>
      <c r="AN71" s="4" t="str">
        <f>IFERROR(__xludf.DUMMYFUNCTION("IF(OR(AJ71=""general_brand"",AJ71=""external"",AJ71=""unknown""),"""",IF(AJ71=""product_line"",IF(AK71=""START"",""Аналитика старт | Алгоритмы старт | Backend старт | ML старт"",IF(AK71=""PRO"",""AI-агенты про | Алгоритмы про | Аналитика про | ML про | Ba"&amp;"ckend про"",IF(AK71=""START | PRO"",""Аналитика старт | Алгоритмы старт | Backend старт | ML старт | AI-агенты про | Алгоритмы про | Аналитика про | ML про | Backend про"",""""))),TEXTJOIN("" | "",TRUE,IF(REGEXMATCH(LOWER(AL71&amp;"" | ""&amp;E71),""аналитика ста"&amp;"рт""),""Аналитика старт"",""""),IF(REGEXMATCH(LOWER(AL71&amp;"" | ""&amp;E71),""алгоритмы старт""),""Алгоритмы старт"",""""),IF(REGEXMATCH(LOWER(AL71&amp;"" | ""&amp;E71),""backend старт""),""Backend старт"",""""),IF(REGEXMATCH(LOWER(AL71&amp;"" | ""&amp;E71),""ml старт""),""ML "&amp;"старт"",""""),IF(REGEXMATCH(LOWER(AL71&amp;"" | ""&amp;E71),""ai[ -]?агент""),""AI-агенты про"",""""),IF(REGEXMATCH(LOWER(AL71&amp;"" | ""&amp;E71),""алгоритмы про""),""Алгоритмы про"",""""),IF(REGEXMATCH(LOWER(AL71&amp;"" | ""&amp;E71),""аналитика про""),""Аналитика про"","""")"&amp;",IF(REGEXMATCH(LOWER(AL71&amp;"" | ""&amp;E71),""ml про""),""ML про"",""""),IF(REGEXMATCH(LOWER(AL71&amp;"" | ""&amp;E71),""backend про""),""Backend про"",""""),IF(REGEXMATCH(LOWER(AL71&amp;"" | ""&amp;E71),""(а/в|ав|а в|ab)[ -]?тест""),""А/В-тесты"",""""),IF(REGEXMATCH(LOWER(AL"&amp;"71&amp;"" | ""&amp;E71),""data science""),""Data science"",""""),IF(REGEXMATCH(LOWER(AL71&amp;"" | ""&amp;E71),""data[- ]?инжен""),""Data-инженер"",""""),IF(REGEXMATCH(LOWER(AL71&amp;"" | ""&amp;E71),""frontend""),""Frontend"",""""))))"),"AI-агенты про | Алгоритмы про | Аналитика про | ML про | Backend про | А/В-тесты")</f>
        <v>AI-агенты про | Алгоритмы про | Аналитика про | ML про | Backend про | А/В-тесты</v>
      </c>
    </row>
    <row r="72">
      <c r="A72" s="6" t="str">
        <f>IFERROR(__xludf.DUMMYFUNCTION("""COMPUTED_VALUE"""),"INT-1860")</f>
        <v>INT-1860</v>
      </c>
      <c r="B72" s="6" t="str">
        <f>IFERROR(__xludf.DUMMYFUNCTION("""COMPUTED_VALUE"""),"2026-08-23 11:51:41")</f>
        <v>2026-08-23 11:51:41</v>
      </c>
      <c r="C72" s="6" t="str">
        <f>IFERROR(__xludf.DUMMYFUNCTION("""COMPUTED_VALUE"""),"@postypashki_old")</f>
        <v>@postypashki_old</v>
      </c>
      <c r="D72" s="4" t="str">
        <f>IFERROR(__xludf.DUMMYFUNCTION("""COMPUTED_VALUE"""),"Контент с предложением курсов")</f>
        <v>Контент с предложением курсов</v>
      </c>
      <c r="E72" s="6" t="str">
        <f>IFERROR(__xludf.DUMMYFUNCTION("""COMPUTED_VALUE"""),"AI агенты | Data Engenering | АВ тестам")</f>
        <v>AI агенты | Data Engenering | АВ тестам</v>
      </c>
      <c r="F72" s="6" t="str">
        <f>IFERROR(__xludf.DUMMYFUNCTION("""COMPUTED_VALUE"""),"")</f>
        <v/>
      </c>
      <c r="G72" s="6" t="str">
        <f>IFERROR(__xludf.DUMMYFUNCTION("""COMPUTED_VALUE"""),"postypashki_old/1860")</f>
        <v>postypashki_old/1860</v>
      </c>
      <c r="H72" s="6" t="str">
        <f>IFERROR(__xludf.DUMMYFUNCTION("""COMPUTED_VALUE"""),"Анализ айти рынка 
В чате очень часто просят поделиться экспертизой по стоянию айти рынка на сегодняшнее время. Грубо говоря, к чему готовиться и что делать. В посте обсужу паттерны и тенденции, которые вижу я на опыте наших студентов и выпускников. 
От"&amp;" новичков требуют 2x
Классический дэмпинг грейда: нанимаем миддла по цене стажера. Поясню на примере. Года два назад на вакансию того же мл стажера требовали классический мл и элементы DL. Сейчас же такие вакансии есть, но их прям очень мало. Теперь нужно"&amp;" знать теорию по рекомендательным системам, матчингу, MLOps, ранжированию и так далее. А еще будет плюсом знания архитектуры, вывод модели в прод или знания аналитического стека (АВ тесты, дашборды и тд). И такая тенденция для новичков не только в мл, но "&amp;"и в аналитике, бэкенде. 
Я связываю это с такими моментами:
1. Банально стало меньше денег и как-то нужно оптимизироваться. Можно уволить дорогих спецов с низкими оценками на код ревью и нанять дешевых. 
2. К тому же, сейчас есть нейросети и, скажем, тот"&amp;" же стажер аналитик спокойно сможет собрать витрину данных. Зачем нам под это нанимать дата инженера или какого дата специалиста. 
3. В крупные компании и так хороший поток кандидатов, поэтому не тянешь ты - потянет кто-то другой. Вакансий меньше, а вкату"&amp;"нов больше. Сейчас рынок работодателя. 
4. Эффект протоптанной дорожки. Средний уровень кандидатов вырос. Сейчас заботать какую-то тему намного проще, чем года два назад. Полно материалов, курсов и чат гпт, который поможет быстро во всем сориентироваться."&amp;" 
Стажер и джуниор позиций стало меньше
Эта тенденция не противоречит предыдущей. В целом нанимать стажеров/джунов и растить их до старших грейдов - недешевое удовольствие. Такое сейчас могут позволить только крупные компании. Но при этом вакансий на мид"&amp;"дла на порядок больше. Особенно нанимают с перспективой поднять на сеньора или лида. Так как последние активно перетекают зарубеж. Здесь бы я советовал при крепкой базе знаний подаваться сразу на миддла, особенно если есть хорошее образование: топовая маг"&amp;"а/ШАД. В такой ситуации можно даже не стесняться ""крутить опыт"", но без криминала с подделкой документов. 
Тренд на зарубеж 
Когда добиться повышения внутри компании стало сложнее, много специалистов, особенно старшие грейды смотрят на возможность зара"&amp;"баывать в валюте. И это стало намного проще. Очень много компаний с российскими корнями, которые продолжают нанимать знакомых им специалистов из СНГ. Кроме этого зарубежом появилось куча стартапов (тех же AI стартапов), аутстаффов, для которых валютная уд"&amp;"аленка в крипте вполне нормальное явление. Работа на зарубежную компанию привлекает не только доходом в валюте, но и перспективой роста как специалиста. Рынок труда очевидно за рубежом шире: больше компаний, есть компании разного масштаба, можно попробова"&amp;"ть стек и технологии, которые для локальных российских компаний просто неактуальны и невыгодны. Как же вкатиться в валютный доход, рассказываем на наших курсах ПРО в соответствующем блоке. 
Поливоркинг
Мир в целом сейчас нестабилен, никто не застрахован "&amp;"от сокращения, и все стараются иметь не один источник дохода, а несколько. Да, это непросто, но что поделать. Специалисты старших грейдов с большим опытом могут совмещать по две работы на тех же валютных удаленках. Но начинающим специалистам - это будет п"&amp;"рям очень трудно. Сначала нужно со всем разобраться на одной работе, а потом пробовать тянуть вторую, иначе выгорание гарантировано. Начинающим специалистам я бы советовал инвестировать свое время не в поиски второй работы, а больше в свое образование и и"&amp;"зучения новых стеков, технологий: курсы, дополнительное образование (ШАД, ААА, мага) или просто подработка из смежной сферы, которая вас развивает.
ИИ агенты
Их хотят внедрить все компании: от стартапов до бигтехов. Отсюда хайп на инженеров, умеющих соби"&amp;"рать ИИ-агентов, офферы улетают за пару недель. Но ценность направления не только в общей лихорадке. Агенты реально позволяют сильно оптимизировать работу: автоматизировать рутину, собирать информацию и помогать с кучей других процессов. По итогу высвобож"&amp;"дается больше времени, которое можно употребить на более сложные задачи, дополнительные проекты или вообще вторую работу. Советую не игнорировать тему ИИ агентов и ковать железо, пока горячо. Как их нормально собирать, подключать к инструментам и превраща"&amp;"ть из игрушки в рабочую систему, будем разбирать на нашем новом курсе ""ИИ-агенты ПРО"". Ниже отзыв на преподавателя нашего курса, Макара.
Короче, рынок охлаждается, конкуренция растет, а требования все выше. Но это не время для паники. Это время для, чт"&amp;"обы вкладываться в свои навыки и фундамент, не топтаться на одном месте.
Подписаться: @postypashki_old")</f>
        <v>Анализ айти рынка 
В чате очень часто просят поделиться экспертизой по стоянию айти рынка на сегодняшнее время. Грубо говоря, к чему готовиться и что делать. В посте обсужу паттерны и тенденции, которые вижу я на опыте наших студентов и выпускников. 
От новичков требуют 2x
Классический дэмпинг грейда: нанимаем миддла по цене стажера. Поясню на примере. Года два назад на вакансию того же мл стажера требовали классический мл и элементы DL. Сейчас же такие вакансии есть, но их прям очень мало. Теперь нужно знать теорию по рекомендательным системам, матчингу, MLOps, ранжированию и так далее. А еще будет плюсом знания архитектуры, вывод модели в прод или знания аналитического стека (АВ тесты, дашборды и тд). И такая тенденция для новичков не только в мл, но и в аналитике, бэкенде. 
Я связываю это с такими моментами:
1. Банально стало меньше денег и как-то нужно оптимизироваться. Можно уволить дорогих спецов с низкими оценками на код ревью и нанять дешевых. 
2. К тому же, сейчас есть нейросети и, скажем, тот же стажер аналитик спокойно сможет собрать витрину данных. Зачем нам под это нанимать дата инженера или какого дата специалиста. 
3. В крупные компании и так хороший поток кандидатов, поэтому не тянешь ты - потянет кто-то другой. Вакансий меньше, а вкатунов больше. Сейчас рынок работодателя. 
4. Эффект протоптанной дорожки. Средний уровень кандидатов вырос. Сейчас заботать какую-то тему намного проще, чем года два назад. Полно материалов, курсов и чат гпт, который поможет быстро во всем сориентироваться. 
Стажер и джуниор позиций стало меньше
Эта тенденция не противоречит предыдущей. В целом нанимать стажеров/джунов и растить их до старших грейдов - недешевое удовольствие. Такое сейчас могут позволить только крупные компании. Но при этом вакансий на миддла на порядок больше. Особенно нанимают с перспективой поднять на сеньора или лида. Так как последние активно перетекают зарубеж. Здесь бы я советовал при крепкой базе знаний подаваться сразу на миддла, особенно если есть хорошее образование: топовая мага/ШАД. В такой ситуации можно даже не стесняться "крутить опыт", но без криминала с подделкой документов. 
Тренд на зарубеж 
Когда добиться повышения внутри компании стало сложнее, много специалистов, особенно старшие грейды смотрят на возможность зарабаывать в валюте. И это стало намного проще. Очень много компаний с российскими корнями, которые продолжают нанимать знакомых им специалистов из СНГ. Кроме этого зарубежом появилось куча стартапов (тех же AI стартапов), аутстаффов, для которых валютная удаленка в крипте вполне нормальное явление. Работа на зарубежную компанию привлекает не только доходом в валюте, но и перспективой роста как специалиста. Рынок труда очевидно за рубежом шире: больше компаний, есть компании разного масштаба, можно попробовать стек и технологии, которые для локальных российских компаний просто неактуальны и невыгодны. Как же вкатиться в валютный доход, рассказываем на наших курсах ПРО в соответствующем блоке. 
Поливоркинг
Мир в целом сейчас нестабилен, никто не застрахован от сокращения, и все стараются иметь не один источник дохода, а несколько. Да, это непросто, но что поделать. Специалисты старших грейдов с большим опытом могут совмещать по две работы на тех же валютных удаленках. Но начинающим специалистам - это будет прям очень трудно. Сначала нужно со всем разобраться на одной работе, а потом пробовать тянуть вторую, иначе выгорание гарантировано. Начинающим специалистам я бы советовал инвестировать свое время не в поиски второй работы, а больше в свое образование и изучения новых стеков, технологий: курсы, дополнительное образование (ШАД, ААА, мага) или просто подработка из смежной сферы, которая вас развивает.
ИИ агенты
Их хотят внедрить все компании: от стартапов до бигтехов. Отсюда хайп на инженеров, умеющих собирать ИИ-агентов, офферы улетают за пару недель. Но ценность направления не только в общей лихорадке. Агенты реально позволяют сильно оптимизировать работу: автоматизировать рутину, собирать информацию и помогать с кучей других процессов. По итогу высвобождается больше времени, которое можно употребить на более сложные задачи, дополнительные проекты или вообще вторую работу. Советую не игнорировать тему ИИ агентов и ковать железо, пока горячо. Как их нормально собирать, подключать к инструментам и превращать из игрушки в рабочую систему, будем разбирать на нашем новом курсе "ИИ-агенты ПРО". Ниже отзыв на преподавателя нашего курса, Макара.
Короче, рынок охлаждается, конкуренция растет, а требования все выше. Но это не время для паники. Это время для, чтобы вкладываться в свои навыки и фундамент, не топтаться на одном месте.
Подписаться: @postypashki_old</v>
      </c>
      <c r="I72" s="6" t="str">
        <f>IFERROR(__xludf.DUMMYFUNCTION("""COMPUTED_VALUE"""),"internal")</f>
        <v>internal</v>
      </c>
      <c r="J72" s="10" t="str">
        <f>IFERROR(__xludf.DUMMYFUNCTION("""COMPUTED_VALUE"""),"https://t.me/postypashki_old/1860")</f>
        <v>https://t.me/postypashki_old/1860</v>
      </c>
      <c r="K72" s="6">
        <f>IFERROR(__xludf.DUMMYFUNCTION("""COMPUTED_VALUE"""),20400.0)</f>
        <v>20400</v>
      </c>
      <c r="L72" s="6">
        <f>IFERROR(__xludf.DUMMYFUNCTION("""COMPUTED_VALUE"""),40.0)</f>
        <v>40</v>
      </c>
      <c r="M72" s="6" t="str">
        <f>IFERROR(__xludf.DUMMYFUNCTION("""COMPUTED_VALUE"""),"")</f>
        <v/>
      </c>
      <c r="N72" s="6" t="str">
        <f>IFERROR(__xludf.DUMMYFUNCTION("""COMPUTED_VALUE"""),"Telegram")</f>
        <v>Telegram</v>
      </c>
      <c r="O72" s="6" t="str">
        <f>IFERROR(__xludf.DUMMYFUNCTION("""COMPUTED_VALUE"""),"raw")</f>
        <v>raw</v>
      </c>
      <c r="P72" s="6" t="str">
        <f>IFERROR(__xludf.DUMMYFUNCTION("""COMPUTED_VALUE"""),"Codex")</f>
        <v>Codex</v>
      </c>
      <c r="Q72" s="6" t="str">
        <f>IFERROR(__xludf.DUMMYFUNCTION("""COMPUTED_VALUE"""),"Анализ айти рынка В чате очень часто просят поделиться экспертизой по стоянию айти рынка на сегодняшнее время. Грубо говоря, к чему готовиться и что делать. В посте обсужу паттерны")</f>
        <v>Анализ айти рынка В чате очень часто просят поделиться экспертизой по стоянию айти рынка на сегодняшнее время. Грубо говоря, к чему готовиться и что делать. В посте обсужу паттерны</v>
      </c>
      <c r="R72" s="6" t="str">
        <f>IFERROR(__xludf.DUMMYFUNCTION("""COMPUTED_VALUE"""),"internal")</f>
        <v>internal</v>
      </c>
      <c r="S72" s="6" t="str">
        <f>IFERROR(__xludf.DUMMYFUNCTION("""COMPUTED_VALUE"""),"unknown")</f>
        <v>unknown</v>
      </c>
      <c r="T72" s="6" t="str">
        <f>IFERROR(__xludf.DUMMYFUNCTION("""COMPUTED_VALUE"""),"telegram_internal")</f>
        <v>telegram_internal</v>
      </c>
      <c r="U72" s="6" t="str">
        <f>IFERROR(__xludf.DUMMYFUNCTION("""COMPUTED_VALUE"""),"Контент с предложением курсов")</f>
        <v>Контент с предложением курсов</v>
      </c>
      <c r="V72" s="6" t="str">
        <f>IFERROR(__xludf.DUMMYFUNCTION("""COMPUTED_VALUE"""),"Период продаж")</f>
        <v>Период продаж</v>
      </c>
      <c r="W72" s="6"/>
      <c r="X72" s="6"/>
      <c r="Y72" s="6" t="str">
        <f>IFERROR(__xludf.DUMMYFUNCTION("""COMPUTED_VALUE"""),"")</f>
        <v/>
      </c>
      <c r="Z72" s="6" t="str">
        <f>IFERROR(__xludf.DUMMYFUNCTION("""COMPUTED_VALUE"""),"")</f>
        <v/>
      </c>
      <c r="AA72" s="6" t="b">
        <f>IFERROR(__xludf.DUMMYFUNCTION("""COMPUTED_VALUE"""),TRUE)</f>
        <v>1</v>
      </c>
      <c r="AB72" s="6" t="b">
        <f>IFERROR(__xludf.DUMMYFUNCTION("""COMPUTED_VALUE"""),TRUE)</f>
        <v>1</v>
      </c>
      <c r="AC72" s="6" t="b">
        <f>IFERROR(__xludf.DUMMYFUNCTION("""COMPUTED_VALUE"""),FALSE)</f>
        <v>0</v>
      </c>
      <c r="AD72" s="6" t="b">
        <f>IFERROR(__xludf.DUMMYFUNCTION("""COMPUTED_VALUE"""),FALSE)</f>
        <v>0</v>
      </c>
      <c r="AE72" s="6"/>
      <c r="AF72" s="6" t="b">
        <f>IFERROR(__xludf.DUMMYFUNCTION("""COMPUTED_VALUE"""),FALSE)</f>
        <v>0</v>
      </c>
      <c r="AG72" s="6" t="str">
        <f>IFERROR(__xludf.DUMMYFUNCTION("""COMPUTED_VALUE"""),"2026-08-23T08:51:41+00:00")</f>
        <v>2026-08-23T08:51:41+00:00</v>
      </c>
      <c r="AH72" s="6" t="str">
        <f>IFERROR(__xludf.DUMMYFUNCTION("""COMPUTED_VALUE"""),"")</f>
        <v/>
      </c>
      <c r="AI72" s="6" t="str">
        <f>IFERROR(__xludf.DUMMYFUNCTION("""COMPUTED_VALUE"""),"#N/A")</f>
        <v>#N/A</v>
      </c>
      <c r="AJ72" s="9" t="s">
        <v>224</v>
      </c>
      <c r="AK72" s="9" t="s">
        <v>242</v>
      </c>
      <c r="AL72" s="4" t="s">
        <v>245</v>
      </c>
      <c r="AM72" s="9" t="s">
        <v>219</v>
      </c>
      <c r="AN72" s="4" t="str">
        <f>IFERROR(__xludf.DUMMYFUNCTION("IF(OR(AJ72=""general_brand"",AJ72=""external"",AJ72=""unknown""),"""",IF(AJ72=""product_line"",IF(AK72=""START"",""Аналитика старт | Алгоритмы старт | Backend старт | ML старт"",IF(AK72=""PRO"",""AI-агенты про | Алгоритмы про | Аналитика про | ML про | Ba"&amp;"ckend про"",IF(AK72=""START | PRO"",""Аналитика старт | Алгоритмы старт | Backend старт | ML старт | AI-агенты про | Алгоритмы про | Аналитика про | ML про | Backend про"",""""))),TEXTJOIN("" | "",TRUE,IF(REGEXMATCH(LOWER(AL72&amp;"" | ""&amp;E72),""аналитика ста"&amp;"рт""),""Аналитика старт"",""""),IF(REGEXMATCH(LOWER(AL72&amp;"" | ""&amp;E72),""алгоритмы старт""),""Алгоритмы старт"",""""),IF(REGEXMATCH(LOWER(AL72&amp;"" | ""&amp;E72),""backend старт""),""Backend старт"",""""),IF(REGEXMATCH(LOWER(AL72&amp;"" | ""&amp;E72),""ml старт""),""ML "&amp;"старт"",""""),IF(REGEXMATCH(LOWER(AL72&amp;"" | ""&amp;E72),""ai[ -]?агент""),""AI-агенты про"",""""),IF(REGEXMATCH(LOWER(AL72&amp;"" | ""&amp;E72),""алгоритмы про""),""Алгоритмы про"",""""),IF(REGEXMATCH(LOWER(AL72&amp;"" | ""&amp;E72),""аналитика про""),""Аналитика про"","""")"&amp;",IF(REGEXMATCH(LOWER(AL72&amp;"" | ""&amp;E72),""ml про""),""ML про"",""""),IF(REGEXMATCH(LOWER(AL72&amp;"" | ""&amp;E72),""backend про""),""Backend про"",""""),IF(REGEXMATCH(LOWER(AL72&amp;"" | ""&amp;E72),""(а/в|ав|а в|ab)[ -]?тест""),""А/В-тесты"",""""),IF(REGEXMATCH(LOWER(AL"&amp;"72&amp;"" | ""&amp;E72),""data science""),""Data science"",""""),IF(REGEXMATCH(LOWER(AL72&amp;"" | ""&amp;E72),""data[- ]?инжен""),""Data-инженер"",""""),IF(REGEXMATCH(LOWER(AL72&amp;"" | ""&amp;E72),""frontend""),""Frontend"",""""))))"),"AI-агенты про | А/В-тесты")</f>
        <v>AI-агенты про | А/В-тесты</v>
      </c>
    </row>
    <row r="73">
      <c r="A73" s="6" t="str">
        <f>IFERROR(__xludf.DUMMYFUNCTION("""COMPUTED_VALUE"""),"INT-1861")</f>
        <v>INT-1861</v>
      </c>
      <c r="B73" s="6" t="str">
        <f>IFERROR(__xludf.DUMMYFUNCTION("""COMPUTED_VALUE"""),"2026-08-23 11:51:51")</f>
        <v>2026-08-23 11:51:51</v>
      </c>
      <c r="C73" s="6" t="str">
        <f>IFERROR(__xludf.DUMMYFUNCTION("""COMPUTED_VALUE"""),"@postypashki_old")</f>
        <v>@postypashki_old</v>
      </c>
      <c r="D73" s="4" t="str">
        <f>IFERROR(__xludf.DUMMYFUNCTION("""COMPUTED_VALUE"""),"Прочий контент")</f>
        <v>Прочий контент</v>
      </c>
      <c r="E73" s="6"/>
      <c r="F73" s="6" t="str">
        <f>IFERROR(__xludf.DUMMYFUNCTION("""COMPUTED_VALUE"""),"")</f>
        <v/>
      </c>
      <c r="G73" s="6" t="str">
        <f>IFERROR(__xludf.DUMMYFUNCTION("""COMPUTED_VALUE"""),"postypashki_old/1861")</f>
        <v>postypashki_old/1861</v>
      </c>
      <c r="H73" s="6"/>
      <c r="I73" s="6" t="str">
        <f>IFERROR(__xludf.DUMMYFUNCTION("""COMPUTED_VALUE"""),"internal")</f>
        <v>internal</v>
      </c>
      <c r="J73" s="10" t="str">
        <f>IFERROR(__xludf.DUMMYFUNCTION("""COMPUTED_VALUE"""),"https://t.me/postypashki_old/1861")</f>
        <v>https://t.me/postypashki_old/1861</v>
      </c>
      <c r="K73" s="6">
        <f>IFERROR(__xludf.DUMMYFUNCTION("""COMPUTED_VALUE"""),17000.0)</f>
        <v>17000</v>
      </c>
      <c r="L73" s="6">
        <f>IFERROR(__xludf.DUMMYFUNCTION("""COMPUTED_VALUE"""),201.0)</f>
        <v>201</v>
      </c>
      <c r="M73" s="6" t="str">
        <f>IFERROR(__xludf.DUMMYFUNCTION("""COMPUTED_VALUE"""),"")</f>
        <v/>
      </c>
      <c r="N73" s="6" t="str">
        <f>IFERROR(__xludf.DUMMYFUNCTION("""COMPUTED_VALUE"""),"Telegram")</f>
        <v>Telegram</v>
      </c>
      <c r="O73" s="6" t="str">
        <f>IFERROR(__xludf.DUMMYFUNCTION("""COMPUTED_VALUE"""),"raw")</f>
        <v>raw</v>
      </c>
      <c r="P73" s="6" t="str">
        <f>IFERROR(__xludf.DUMMYFUNCTION("""COMPUTED_VALUE"""),"Codex")</f>
        <v>Codex</v>
      </c>
      <c r="Q73" s="6" t="str">
        <f>IFERROR(__xludf.DUMMYFUNCTION("""COMPUTED_VALUE"""),"[Медиа без текстовой подписи]")</f>
        <v>[Медиа без текстовой подписи]</v>
      </c>
      <c r="R73" s="6" t="str">
        <f>IFERROR(__xludf.DUMMYFUNCTION("""COMPUTED_VALUE"""),"internal")</f>
        <v>internal</v>
      </c>
      <c r="S73" s="6" t="str">
        <f>IFERROR(__xludf.DUMMYFUNCTION("""COMPUTED_VALUE"""),"unknown")</f>
        <v>unknown</v>
      </c>
      <c r="T73" s="6" t="str">
        <f>IFERROR(__xludf.DUMMYFUNCTION("""COMPUTED_VALUE"""),"telegram_internal")</f>
        <v>telegram_internal</v>
      </c>
      <c r="U73" s="6" t="str">
        <f>IFERROR(__xludf.DUMMYFUNCTION("""COMPUTED_VALUE"""),"Прочий контент")</f>
        <v>Прочий контент</v>
      </c>
      <c r="V73" s="6" t="str">
        <f>IFERROR(__xludf.DUMMYFUNCTION("""COMPUTED_VALUE"""),"Период продаж")</f>
        <v>Период продаж</v>
      </c>
      <c r="W73" s="6" t="str">
        <f>IFERROR(__xludf.DUMMYFUNCTION("""COMPUTED_VALUE"""),"Видео")</f>
        <v>Видео</v>
      </c>
      <c r="X73" s="6"/>
      <c r="Y73" s="6" t="str">
        <f>IFERROR(__xludf.DUMMYFUNCTION("""COMPUTED_VALUE"""),"")</f>
        <v/>
      </c>
      <c r="Z73" s="6" t="str">
        <f>IFERROR(__xludf.DUMMYFUNCTION("""COMPUTED_VALUE"""),"")</f>
        <v/>
      </c>
      <c r="AA73" s="6" t="b">
        <f>IFERROR(__xludf.DUMMYFUNCTION("""COMPUTED_VALUE"""),FALSE)</f>
        <v>0</v>
      </c>
      <c r="AB73" s="6" t="b">
        <f>IFERROR(__xludf.DUMMYFUNCTION("""COMPUTED_VALUE"""),FALSE)</f>
        <v>0</v>
      </c>
      <c r="AC73" s="6" t="b">
        <f>IFERROR(__xludf.DUMMYFUNCTION("""COMPUTED_VALUE"""),FALSE)</f>
        <v>0</v>
      </c>
      <c r="AD73" s="6" t="b">
        <f>IFERROR(__xludf.DUMMYFUNCTION("""COMPUTED_VALUE"""),FALSE)</f>
        <v>0</v>
      </c>
      <c r="AE73" s="6"/>
      <c r="AF73" s="6" t="b">
        <f>IFERROR(__xludf.DUMMYFUNCTION("""COMPUTED_VALUE"""),FALSE)</f>
        <v>0</v>
      </c>
      <c r="AG73" s="6" t="str">
        <f>IFERROR(__xludf.DUMMYFUNCTION("""COMPUTED_VALUE"""),"2026-08-23T08:51:51+00:00")</f>
        <v>2026-08-23T08:51:51+00:00</v>
      </c>
      <c r="AH73" s="6" t="str">
        <f>IFERROR(__xludf.DUMMYFUNCTION("""COMPUTED_VALUE"""),"")</f>
        <v/>
      </c>
      <c r="AI73" s="6" t="str">
        <f>IFERROR(__xludf.DUMMYFUNCTION("""COMPUTED_VALUE"""),"#N/A")</f>
        <v>#N/A</v>
      </c>
      <c r="AJ73" s="9" t="s">
        <v>233</v>
      </c>
      <c r="AM73" s="9" t="s">
        <v>229</v>
      </c>
      <c r="AN73" s="6" t="str">
        <f>IFERROR(__xludf.DUMMYFUNCTION("IF(OR(AJ73=""general_brand"",AJ73=""external"",AJ73=""unknown""),"""",IF(AJ73=""product_line"",IF(AK73=""START"",""Аналитика старт | Алгоритмы старт | Backend старт | ML старт"",IF(AK73=""PRO"",""AI-агенты про | Алгоритмы про | Аналитика про | ML про | Ba"&amp;"ckend про"",IF(AK73=""START | PRO"",""Аналитика старт | Алгоритмы старт | Backend старт | ML старт | AI-агенты про | Алгоритмы про | Аналитика про | ML про | Backend про"",""""))),TEXTJOIN("" | "",TRUE,IF(REGEXMATCH(LOWER(AL73&amp;"" | ""&amp;E73),""аналитика ста"&amp;"рт""),""Аналитика старт"",""""),IF(REGEXMATCH(LOWER(AL73&amp;"" | ""&amp;E73),""алгоритмы старт""),""Алгоритмы старт"",""""),IF(REGEXMATCH(LOWER(AL73&amp;"" | ""&amp;E73),""backend старт""),""Backend старт"",""""),IF(REGEXMATCH(LOWER(AL73&amp;"" | ""&amp;E73),""ml старт""),""ML "&amp;"старт"",""""),IF(REGEXMATCH(LOWER(AL73&amp;"" | ""&amp;E73),""ai[ -]?агент""),""AI-агенты про"",""""),IF(REGEXMATCH(LOWER(AL73&amp;"" | ""&amp;E73),""алгоритмы про""),""Алгоритмы про"",""""),IF(REGEXMATCH(LOWER(AL73&amp;"" | ""&amp;E73),""аналитика про""),""Аналитика про"","""")"&amp;",IF(REGEXMATCH(LOWER(AL73&amp;"" | ""&amp;E73),""ml про""),""ML про"",""""),IF(REGEXMATCH(LOWER(AL73&amp;"" | ""&amp;E73),""backend про""),""Backend про"",""""),IF(REGEXMATCH(LOWER(AL73&amp;"" | ""&amp;E73),""(а/в|ав|а в|ab)[ -]?тест""),""А/В-тесты"",""""),IF(REGEXMATCH(LOWER(AL"&amp;"73&amp;"" | ""&amp;E73),""data science""),""Data science"",""""),IF(REGEXMATCH(LOWER(AL73&amp;"" | ""&amp;E73),""data[- ]?инжен""),""Data-инженер"",""""),IF(REGEXMATCH(LOWER(AL73&amp;"" | ""&amp;E73),""frontend""),""Frontend"",""""))))"),"")</f>
        <v/>
      </c>
    </row>
    <row r="74">
      <c r="A74" s="6" t="str">
        <f>IFERROR(__xludf.DUMMYFUNCTION("""COMPUTED_VALUE"""),"INT-1863")</f>
        <v>INT-1863</v>
      </c>
      <c r="B74" s="6" t="str">
        <f>IFERROR(__xludf.DUMMYFUNCTION("""COMPUTED_VALUE"""),"2026-08-23 19:20:03")</f>
        <v>2026-08-23 19:20:03</v>
      </c>
      <c r="C74" s="6" t="str">
        <f>IFERROR(__xludf.DUMMYFUNCTION("""COMPUTED_VALUE"""),"@postypashki_old")</f>
        <v>@postypashki_old</v>
      </c>
      <c r="D74" s="4" t="str">
        <f>IFERROR(__xludf.DUMMYFUNCTION("""COMPUTED_VALUE"""),"Контент с предложением курсов")</f>
        <v>Контент с предложением курсов</v>
      </c>
      <c r="E74" s="6" t="str">
        <f>IFERROR(__xludf.DUMMYFUNCTION("""COMPUTED_VALUE"""),"Backend про")</f>
        <v>Backend про</v>
      </c>
      <c r="F74" s="6" t="str">
        <f>IFERROR(__xludf.DUMMYFUNCTION("""COMPUTED_VALUE"""),"")</f>
        <v/>
      </c>
      <c r="G74" s="6" t="str">
        <f>IFERROR(__xludf.DUMMYFUNCTION("""COMPUTED_VALUE"""),"postypashki_old/1863")</f>
        <v>postypashki_old/1863</v>
      </c>
      <c r="H74" s="6" t="str">
        <f>IFERROR(__xludf.DUMMYFUNCTION("""COMPUTED_VALUE"""),"Полный цикл собесов на Go-разработчика в Авито
В посте разберемся, как на самом деле устроен наём в Авито. Свёл официальный плейбук компании с внутренними методичками для интервьюеров по техническим секциям, которые предоставили наши выпускники. Получила"&amp;"сь такая роудмапа: 4-5 встреч от первого созвона до оффера, и на каждом этапе могут разбить на несколько созвонов.
Этап 1. Звонок с рекрутером
Тут все по классике: обсуждение опыта, ожидания от новой работы, причины смены места. Можно и нужно закидывать "&amp;"встречные вопросы про команду и процессы - лучше перед этим с манифестом ознакомиться, так будешь выглядить подшаренным, что +реп дает.
Этап 2. Скоринговое интервью
30 минут в Zoom по техничке, но без лайвкодинга. Спрашивают несложные вопросы: по алгорит"&amp;"мам и структурам данных, языку программирования, HTTP, SQL, Git, Unix. Легкий фильтр перед тем, как тратить 2-3 часа на полноценную техничку, тут просто нужно готовиться по теории, ничего страшного здесь нет.
Этап 3. Техническое интервью 
2-3 часа, реаль"&amp;"ный лайвкодинг на их платформе. Две обязательные секции плюс одна опциональная.
""Программирование"" - общая для любого стека часть на алгоритмы и сложность, причём библиотечными функциями пользоваться нельзя, только руками. Час времени, easy/medium зада"&amp;"чки, уровень определяют по чёткой сетке: от ""не решил ни одной задачи"" до ""решил всё оптимально, без подсказок, ещё и объясняет вслух"". В целом, если вдруг твой код не компилиться из-за синтаксической ошибки например, но ты объяснил свой код, то на эт"&amp;"о скорее всего закроют глаза просто. Реальные задачи в файле.
""Платформа"" - уже под Go: указатели, горутины, каналы, context, сеть. Классика - горутины в цикле, которые ищут максимальное чётное число. Подробнее в файлике.
""Проектирование"" - опционал"&amp;"ьная, идёт последней и только при успешном прохождении первых двух. Главный дифференциатор для выхода на грейд E5 и выше. Дают кейс вроде ""спроектируй доску объявлений"" или условие под конкретную команду, интервьюер играет заказчика и оценивает не столь"&amp;"ко итоговую схему, сколько ход рассуждений: начинают с простого варианта, а если остаётся время - усложняют требования. Рисуют в Draw.io, Miro, Whimsical или Excalidraw - стоит заранее зарегистрироваться и освоиться с инструментом, а не разбираться в инте"&amp;"рфейсе на самом интервью.
Этап 4. Финальное интервью
Час с нанимающим менеджером и рекрутером. Уже не про код, а про мотивацию, soft skills и culture fit. Расскажут, чем занимается команда и как устроены процессы, а сами посмотрят, комфортно ли вам друг "&amp;"с другом и совпадают ли взгляды с ценностями команды.
Этап 5. Оффер
Письменно или на коротком созвоне. Если не прошли отбор, дают обратную связь, а на техническое интервью можно попробовать зайти повторно через полгода.
Подробней с задачами в прикреплен"&amp;"ном файле, все это закрывается на наших курсах. Отзывы о прошлом наборе на курс Бэкенд ПРО здесь и ниже (ставьте бананы). 
➡️ Записаться
Подписаться: @postypashki_old")</f>
        <v>Полный цикл собесов на Go-разработчика в Авито
В посте разберемся, как на самом деле устроен наём в Авито. Свёл официальный плейбук компании с внутренними методичками для интервьюеров по техническим секциям, которые предоставили наши выпускники. Получилась такая роудмапа: 4-5 встреч от первого созвона до оффера, и на каждом этапе могут разбить на несколько созвонов.
Этап 1. Звонок с рекрутером
Тут все по классике: обсуждение опыта, ожидания от новой работы, причины смены места. Можно и нужно закидывать встречные вопросы про команду и процессы - лучше перед этим с манифестом ознакомиться, так будешь выглядить подшаренным, что +реп дает.
Этап 2. Скоринговое интервью
30 минут в Zoom по техничке, но без лайвкодинга. Спрашивают несложные вопросы: по алгоритмам и структурам данных, языку программирования, HTTP, SQL, Git, Unix. Легкий фильтр перед тем, как тратить 2-3 часа на полноценную техничку, тут просто нужно готовиться по теории, ничего страшного здесь нет.
Этап 3. Техническое интервью 
2-3 часа, реальный лайвкодинг на их платформе. Две обязательные секции плюс одна опциональная.
"Программирование" - общая для любого стека часть на алгоритмы и сложность, причём библиотечными функциями пользоваться нельзя, только руками. Час времени, easy/medium задачки, уровень определяют по чёткой сетке: от "не решил ни одной задачи" до "решил всё оптимально, без подсказок, ещё и объясняет вслух". В целом, если вдруг твой код не компилиться из-за синтаксической ошибки например, но ты объяснил свой код, то на это скорее всего закроют глаза просто. Реальные задачи в файле.
"Платформа" - уже под Go: указатели, горутины, каналы, context, сеть. Классика - горутины в цикле, которые ищут максимальное чётное число. Подробнее в файлике.
"Проектирование" - опциональная, идёт последней и только при успешном прохождении первых двух. Главный дифференциатор для выхода на грейд E5 и выше. Дают кейс вроде "спроектируй доску объявлений" или условие под конкретную команду, интервьюер играет заказчика и оценивает не столько итоговую схему, сколько ход рассуждений: начинают с простого варианта, а если остаётся время - усложняют требования. Рисуют в Draw.io, Miro, Whimsical или Excalidraw - стоит заранее зарегистрироваться и освоиться с инструментом, а не разбираться в интерфейсе на самом интервью.
Этап 4. Финальное интервью
Час с нанимающим менеджером и рекрутером. Уже не про код, а про мотивацию, soft skills и culture fit. Расскажут, чем занимается команда и как устроены процессы, а сами посмотрят, комфортно ли вам друг с другом и совпадают ли взгляды с ценностями команды.
Этап 5. Оффер
Письменно или на коротком созвоне. Если не прошли отбор, дают обратную связь, а на техническое интервью можно попробовать зайти повторно через полгода.
Подробней с задачами в прикрепленном файле, все это закрывается на наших курсах. Отзывы о прошлом наборе на курс Бэкенд ПРО здесь и ниже (ставьте бананы). 
➡️ Записаться
Подписаться: @postypashki_old</v>
      </c>
      <c r="I74" s="6" t="str">
        <f>IFERROR(__xludf.DUMMYFUNCTION("""COMPUTED_VALUE"""),"internal")</f>
        <v>internal</v>
      </c>
      <c r="J74" s="10" t="str">
        <f>IFERROR(__xludf.DUMMYFUNCTION("""COMPUTED_VALUE"""),"https://t.me/postypashki_old/1863")</f>
        <v>https://t.me/postypashki_old/1863</v>
      </c>
      <c r="K74" s="6">
        <f>IFERROR(__xludf.DUMMYFUNCTION("""COMPUTED_VALUE"""),21300.0)</f>
        <v>21300</v>
      </c>
      <c r="L74" s="6">
        <f>IFERROR(__xludf.DUMMYFUNCTION("""COMPUTED_VALUE"""),17.0)</f>
        <v>17</v>
      </c>
      <c r="M74" s="6" t="str">
        <f>IFERROR(__xludf.DUMMYFUNCTION("""COMPUTED_VALUE"""),"")</f>
        <v/>
      </c>
      <c r="N74" s="6" t="str">
        <f>IFERROR(__xludf.DUMMYFUNCTION("""COMPUTED_VALUE"""),"Telegram")</f>
        <v>Telegram</v>
      </c>
      <c r="O74" s="6" t="str">
        <f>IFERROR(__xludf.DUMMYFUNCTION("""COMPUTED_VALUE"""),"raw")</f>
        <v>raw</v>
      </c>
      <c r="P74" s="6" t="str">
        <f>IFERROR(__xludf.DUMMYFUNCTION("""COMPUTED_VALUE"""),"Codex")</f>
        <v>Codex</v>
      </c>
      <c r="Q74" s="6" t="str">
        <f>IFERROR(__xludf.DUMMYFUNCTION("""COMPUTED_VALUE"""),"Полный цикл собесов на Go-разработчика в Авито В посте разберемся, как на самом деле устроен наём в Авито. Свёл официальный плейбук компании с внутренними методичками для интервьюе")</f>
        <v>Полный цикл собесов на Go-разработчика в Авито В посте разберемся, как на самом деле устроен наём в Авито. Свёл официальный плейбук компании с внутренними методичками для интервьюе</v>
      </c>
      <c r="R74" s="6" t="str">
        <f>IFERROR(__xludf.DUMMYFUNCTION("""COMPUTED_VALUE"""),"internal")</f>
        <v>internal</v>
      </c>
      <c r="S74" s="6" t="str">
        <f>IFERROR(__xludf.DUMMYFUNCTION("""COMPUTED_VALUE"""),"unknown")</f>
        <v>unknown</v>
      </c>
      <c r="T74" s="6" t="str">
        <f>IFERROR(__xludf.DUMMYFUNCTION("""COMPUTED_VALUE"""),"telegram_internal")</f>
        <v>telegram_internal</v>
      </c>
      <c r="U74" s="6" t="str">
        <f>IFERROR(__xludf.DUMMYFUNCTION("""COMPUTED_VALUE"""),"Контент с предложением курсов")</f>
        <v>Контент с предложением курсов</v>
      </c>
      <c r="V74" s="6" t="str">
        <f>IFERROR(__xludf.DUMMYFUNCTION("""COMPUTED_VALUE"""),"Период продаж")</f>
        <v>Период продаж</v>
      </c>
      <c r="W74" s="6" t="str">
        <f>IFERROR(__xludf.DUMMYFUNCTION("""COMPUTED_VALUE"""),"Файл")</f>
        <v>Файл</v>
      </c>
      <c r="X74" s="6"/>
      <c r="Y74" s="6" t="str">
        <f>IFERROR(__xludf.DUMMYFUNCTION("""COMPUTED_VALUE"""),"")</f>
        <v/>
      </c>
      <c r="Z74" s="6" t="str">
        <f>IFERROR(__xludf.DUMMYFUNCTION("""COMPUTED_VALUE"""),"")</f>
        <v/>
      </c>
      <c r="AA74" s="6" t="b">
        <f>IFERROR(__xludf.DUMMYFUNCTION("""COMPUTED_VALUE"""),TRUE)</f>
        <v>1</v>
      </c>
      <c r="AB74" s="6" t="b">
        <f>IFERROR(__xludf.DUMMYFUNCTION("""COMPUTED_VALUE"""),FALSE)</f>
        <v>0</v>
      </c>
      <c r="AC74" s="6" t="b">
        <f>IFERROR(__xludf.DUMMYFUNCTION("""COMPUTED_VALUE"""),FALSE)</f>
        <v>0</v>
      </c>
      <c r="AD74" s="6" t="b">
        <f>IFERROR(__xludf.DUMMYFUNCTION("""COMPUTED_VALUE"""),FALSE)</f>
        <v>0</v>
      </c>
      <c r="AE74" s="6"/>
      <c r="AF74" s="6" t="b">
        <f>IFERROR(__xludf.DUMMYFUNCTION("""COMPUTED_VALUE"""),FALSE)</f>
        <v>0</v>
      </c>
      <c r="AG74" s="6" t="str">
        <f>IFERROR(__xludf.DUMMYFUNCTION("""COMPUTED_VALUE"""),"2026-08-23T16:20:03+00:00")</f>
        <v>2026-08-23T16:20:03+00:00</v>
      </c>
      <c r="AH74" s="6" t="str">
        <f>IFERROR(__xludf.DUMMYFUNCTION("""COMPUTED_VALUE"""),"")</f>
        <v/>
      </c>
      <c r="AI74" s="6" t="str">
        <f>IFERROR(__xludf.DUMMYFUNCTION("""COMPUTED_VALUE"""),"#N/A")</f>
        <v>#N/A</v>
      </c>
      <c r="AJ74" s="9" t="s">
        <v>224</v>
      </c>
      <c r="AK74" s="9" t="s">
        <v>242</v>
      </c>
      <c r="AL74" s="4" t="s">
        <v>246</v>
      </c>
      <c r="AM74" s="9" t="s">
        <v>231</v>
      </c>
      <c r="AN74" s="4" t="str">
        <f>IFERROR(__xludf.DUMMYFUNCTION("IF(OR(AJ74=""general_brand"",AJ74=""external"",AJ74=""unknown""),"""",IF(AJ74=""product_line"",IF(AK74=""START"",""Аналитика старт | Алгоритмы старт | Backend старт | ML старт"",IF(AK74=""PRO"",""AI-агенты про | Алгоритмы про | Аналитика про | ML про | Ba"&amp;"ckend про"",IF(AK74=""START | PRO"",""Аналитика старт | Алгоритмы старт | Backend старт | ML старт | AI-агенты про | Алгоритмы про | Аналитика про | ML про | Backend про"",""""))),TEXTJOIN("" | "",TRUE,IF(REGEXMATCH(LOWER(AL74&amp;"" | ""&amp;E74),""аналитика ста"&amp;"рт""),""Аналитика старт"",""""),IF(REGEXMATCH(LOWER(AL74&amp;"" | ""&amp;E74),""алгоритмы старт""),""Алгоритмы старт"",""""),IF(REGEXMATCH(LOWER(AL74&amp;"" | ""&amp;E74),""backend старт""),""Backend старт"",""""),IF(REGEXMATCH(LOWER(AL74&amp;"" | ""&amp;E74),""ml старт""),""ML "&amp;"старт"",""""),IF(REGEXMATCH(LOWER(AL74&amp;"" | ""&amp;E74),""ai[ -]?агент""),""AI-агенты про"",""""),IF(REGEXMATCH(LOWER(AL74&amp;"" | ""&amp;E74),""алгоритмы про""),""Алгоритмы про"",""""),IF(REGEXMATCH(LOWER(AL74&amp;"" | ""&amp;E74),""аналитика про""),""Аналитика про"","""")"&amp;",IF(REGEXMATCH(LOWER(AL74&amp;"" | ""&amp;E74),""ml про""),""ML про"",""""),IF(REGEXMATCH(LOWER(AL74&amp;"" | ""&amp;E74),""backend про""),""Backend про"",""""),IF(REGEXMATCH(LOWER(AL74&amp;"" | ""&amp;E74),""(а/в|ав|а в|ab)[ -]?тест""),""А/В-тесты"",""""),IF(REGEXMATCH(LOWER(AL"&amp;"74&amp;"" | ""&amp;E74),""data science""),""Data science"",""""),IF(REGEXMATCH(LOWER(AL74&amp;"" | ""&amp;E74),""data[- ]?инжен""),""Data-инженер"",""""),IF(REGEXMATCH(LOWER(AL74&amp;"" | ""&amp;E74),""frontend""),""Frontend"",""""))))"),"Backend про")</f>
        <v>Backend про</v>
      </c>
    </row>
    <row r="75">
      <c r="A75" s="6" t="str">
        <f>IFERROR(__xludf.DUMMYFUNCTION("""COMPUTED_VALUE"""),"INT-1864")</f>
        <v>INT-1864</v>
      </c>
      <c r="B75" s="6" t="str">
        <f>IFERROR(__xludf.DUMMYFUNCTION("""COMPUTED_VALUE"""),"2026-08-23 19:20:12")</f>
        <v>2026-08-23 19:20:12</v>
      </c>
      <c r="C75" s="6" t="str">
        <f>IFERROR(__xludf.DUMMYFUNCTION("""COMPUTED_VALUE"""),"@postypashki_old")</f>
        <v>@postypashki_old</v>
      </c>
      <c r="D75" s="4" t="str">
        <f>IFERROR(__xludf.DUMMYFUNCTION("""COMPUTED_VALUE"""),"Прочий контент")</f>
        <v>Прочий контент</v>
      </c>
      <c r="E75" s="6"/>
      <c r="F75" s="6" t="str">
        <f>IFERROR(__xludf.DUMMYFUNCTION("""COMPUTED_VALUE"""),"")</f>
        <v/>
      </c>
      <c r="G75" s="6" t="str">
        <f>IFERROR(__xludf.DUMMYFUNCTION("""COMPUTED_VALUE"""),"postypashki_old/1864")</f>
        <v>postypashki_old/1864</v>
      </c>
      <c r="H75" s="6"/>
      <c r="I75" s="6" t="str">
        <f>IFERROR(__xludf.DUMMYFUNCTION("""COMPUTED_VALUE"""),"internal")</f>
        <v>internal</v>
      </c>
      <c r="J75" s="10" t="str">
        <f>IFERROR(__xludf.DUMMYFUNCTION("""COMPUTED_VALUE"""),"https://t.me/postypashki_old/1864")</f>
        <v>https://t.me/postypashki_old/1864</v>
      </c>
      <c r="K75" s="6">
        <f>IFERROR(__xludf.DUMMYFUNCTION("""COMPUTED_VALUE"""),19800.0)</f>
        <v>19800</v>
      </c>
      <c r="L75" s="6">
        <f>IFERROR(__xludf.DUMMYFUNCTION("""COMPUTED_VALUE"""),309.0)</f>
        <v>309</v>
      </c>
      <c r="M75" s="6" t="str">
        <f>IFERROR(__xludf.DUMMYFUNCTION("""COMPUTED_VALUE"""),"")</f>
        <v/>
      </c>
      <c r="N75" s="6" t="str">
        <f>IFERROR(__xludf.DUMMYFUNCTION("""COMPUTED_VALUE"""),"Telegram")</f>
        <v>Telegram</v>
      </c>
      <c r="O75" s="6" t="str">
        <f>IFERROR(__xludf.DUMMYFUNCTION("""COMPUTED_VALUE"""),"raw")</f>
        <v>raw</v>
      </c>
      <c r="P75" s="6" t="str">
        <f>IFERROR(__xludf.DUMMYFUNCTION("""COMPUTED_VALUE"""),"Codex")</f>
        <v>Codex</v>
      </c>
      <c r="Q75" s="6" t="str">
        <f>IFERROR(__xludf.DUMMYFUNCTION("""COMPUTED_VALUE"""),"[Медиа без текстовой подписи]")</f>
        <v>[Медиа без текстовой подписи]</v>
      </c>
      <c r="R75" s="6" t="str">
        <f>IFERROR(__xludf.DUMMYFUNCTION("""COMPUTED_VALUE"""),"internal")</f>
        <v>internal</v>
      </c>
      <c r="S75" s="6" t="str">
        <f>IFERROR(__xludf.DUMMYFUNCTION("""COMPUTED_VALUE"""),"unknown")</f>
        <v>unknown</v>
      </c>
      <c r="T75" s="6" t="str">
        <f>IFERROR(__xludf.DUMMYFUNCTION("""COMPUTED_VALUE"""),"telegram_internal")</f>
        <v>telegram_internal</v>
      </c>
      <c r="U75" s="6" t="str">
        <f>IFERROR(__xludf.DUMMYFUNCTION("""COMPUTED_VALUE"""),"Прочий контент")</f>
        <v>Прочий контент</v>
      </c>
      <c r="V75" s="6" t="str">
        <f>IFERROR(__xludf.DUMMYFUNCTION("""COMPUTED_VALUE"""),"Период продаж")</f>
        <v>Период продаж</v>
      </c>
      <c r="W75" s="6" t="str">
        <f>IFERROR(__xludf.DUMMYFUNCTION("""COMPUTED_VALUE"""),"Видео")</f>
        <v>Видео</v>
      </c>
      <c r="X75" s="6"/>
      <c r="Y75" s="6" t="str">
        <f>IFERROR(__xludf.DUMMYFUNCTION("""COMPUTED_VALUE"""),"")</f>
        <v/>
      </c>
      <c r="Z75" s="6" t="str">
        <f>IFERROR(__xludf.DUMMYFUNCTION("""COMPUTED_VALUE"""),"")</f>
        <v/>
      </c>
      <c r="AA75" s="6" t="b">
        <f>IFERROR(__xludf.DUMMYFUNCTION("""COMPUTED_VALUE"""),FALSE)</f>
        <v>0</v>
      </c>
      <c r="AB75" s="6" t="b">
        <f>IFERROR(__xludf.DUMMYFUNCTION("""COMPUTED_VALUE"""),FALSE)</f>
        <v>0</v>
      </c>
      <c r="AC75" s="6" t="b">
        <f>IFERROR(__xludf.DUMMYFUNCTION("""COMPUTED_VALUE"""),FALSE)</f>
        <v>0</v>
      </c>
      <c r="AD75" s="6" t="b">
        <f>IFERROR(__xludf.DUMMYFUNCTION("""COMPUTED_VALUE"""),FALSE)</f>
        <v>0</v>
      </c>
      <c r="AE75" s="6"/>
      <c r="AF75" s="6" t="b">
        <f>IFERROR(__xludf.DUMMYFUNCTION("""COMPUTED_VALUE"""),FALSE)</f>
        <v>0</v>
      </c>
      <c r="AG75" s="6" t="str">
        <f>IFERROR(__xludf.DUMMYFUNCTION("""COMPUTED_VALUE"""),"2026-08-23T16:20:12+00:00")</f>
        <v>2026-08-23T16:20:12+00:00</v>
      </c>
      <c r="AH75" s="6" t="str">
        <f>IFERROR(__xludf.DUMMYFUNCTION("""COMPUTED_VALUE"""),"")</f>
        <v/>
      </c>
      <c r="AI75" s="6" t="str">
        <f>IFERROR(__xludf.DUMMYFUNCTION("""COMPUTED_VALUE"""),"#N/A")</f>
        <v>#N/A</v>
      </c>
      <c r="AJ75" s="9" t="s">
        <v>208</v>
      </c>
      <c r="AM75" s="9" t="s">
        <v>229</v>
      </c>
      <c r="AN75" s="6" t="str">
        <f>IFERROR(__xludf.DUMMYFUNCTION("IF(OR(AJ75=""general_brand"",AJ75=""external"",AJ75=""unknown""),"""",IF(AJ75=""product_line"",IF(AK75=""START"",""Аналитика старт | Алгоритмы старт | Backend старт | ML старт"",IF(AK75=""PRO"",""AI-агенты про | Алгоритмы про | Аналитика про | ML про | Ba"&amp;"ckend про"",IF(AK75=""START | PRO"",""Аналитика старт | Алгоритмы старт | Backend старт | ML старт | AI-агенты про | Алгоритмы про | Аналитика про | ML про | Backend про"",""""))),TEXTJOIN("" | "",TRUE,IF(REGEXMATCH(LOWER(AL75&amp;"" | ""&amp;E75),""аналитика ста"&amp;"рт""),""Аналитика старт"",""""),IF(REGEXMATCH(LOWER(AL75&amp;"" | ""&amp;E75),""алгоритмы старт""),""Алгоритмы старт"",""""),IF(REGEXMATCH(LOWER(AL75&amp;"" | ""&amp;E75),""backend старт""),""Backend старт"",""""),IF(REGEXMATCH(LOWER(AL75&amp;"" | ""&amp;E75),""ml старт""),""ML "&amp;"старт"",""""),IF(REGEXMATCH(LOWER(AL75&amp;"" | ""&amp;E75),""ai[ -]?агент""),""AI-агенты про"",""""),IF(REGEXMATCH(LOWER(AL75&amp;"" | ""&amp;E75),""алгоритмы про""),""Алгоритмы про"",""""),IF(REGEXMATCH(LOWER(AL75&amp;"" | ""&amp;E75),""аналитика про""),""Аналитика про"","""")"&amp;",IF(REGEXMATCH(LOWER(AL75&amp;"" | ""&amp;E75),""ml про""),""ML про"",""""),IF(REGEXMATCH(LOWER(AL75&amp;"" | ""&amp;E75),""backend про""),""Backend про"",""""),IF(REGEXMATCH(LOWER(AL75&amp;"" | ""&amp;E75),""(а/в|ав|а в|ab)[ -]?тест""),""А/В-тесты"",""""),IF(REGEXMATCH(LOWER(AL"&amp;"75&amp;"" | ""&amp;E75),""data science""),""Data science"",""""),IF(REGEXMATCH(LOWER(AL75&amp;"" | ""&amp;E75),""data[- ]?инжен""),""Data-инженер"",""""),IF(REGEXMATCH(LOWER(AL75&amp;"" | ""&amp;E75),""frontend""),""Frontend"",""""))))"),"")</f>
        <v/>
      </c>
    </row>
    <row r="76">
      <c r="A76" s="6" t="str">
        <f>IFERROR(__xludf.DUMMYFUNCTION("""COMPUTED_VALUE"""),"INT-1865")</f>
        <v>INT-1865</v>
      </c>
      <c r="B76" s="6" t="str">
        <f>IFERROR(__xludf.DUMMYFUNCTION("""COMPUTED_VALUE"""),"2026-08-24 18:10:23")</f>
        <v>2026-08-24 18:10:23</v>
      </c>
      <c r="C76" s="6" t="str">
        <f>IFERROR(__xludf.DUMMYFUNCTION("""COMPUTED_VALUE"""),"@postypashki_old")</f>
        <v>@postypashki_old</v>
      </c>
      <c r="D76" s="4" t="str">
        <f>IFERROR(__xludf.DUMMYFUNCTION("""COMPUTED_VALUE"""),"Прочий контент")</f>
        <v>Прочий контент</v>
      </c>
      <c r="E76" s="6"/>
      <c r="F76" s="6" t="str">
        <f>IFERROR(__xludf.DUMMYFUNCTION("""COMPUTED_VALUE"""),"")</f>
        <v/>
      </c>
      <c r="G76" s="6" t="str">
        <f>IFERROR(__xludf.DUMMYFUNCTION("""COMPUTED_VALUE"""),"postypashki_old/1865")</f>
        <v>postypashki_old/1865</v>
      </c>
      <c r="H76" s="6" t="str">
        <f>IFERROR(__xludf.DUMMYFUNCTION("""COMPUTED_VALUE"""),"Какие пет проекты гарантирует тебе оффер на аналитика? Обсудим в новом ролике. Смотрим! Смотрим!
https://www.youtube.com/watch?v=6dk8k1ZzM40")</f>
        <v>Какие пет проекты гарантирует тебе оффер на аналитика? Обсудим в новом ролике. Смотрим! Смотрим!
https://www.youtube.com/watch?v=6dk8k1ZzM40</v>
      </c>
      <c r="I76" s="6" t="str">
        <f>IFERROR(__xludf.DUMMYFUNCTION("""COMPUTED_VALUE"""),"internal")</f>
        <v>internal</v>
      </c>
      <c r="J76" s="10" t="str">
        <f>IFERROR(__xludf.DUMMYFUNCTION("""COMPUTED_VALUE"""),"https://t.me/postypashki_old/1865")</f>
        <v>https://t.me/postypashki_old/1865</v>
      </c>
      <c r="K76" s="6">
        <f>IFERROR(__xludf.DUMMYFUNCTION("""COMPUTED_VALUE"""),19300.0)</f>
        <v>19300</v>
      </c>
      <c r="L76" s="6">
        <f>IFERROR(__xludf.DUMMYFUNCTION("""COMPUTED_VALUE"""),28.0)</f>
        <v>28</v>
      </c>
      <c r="M76" s="6" t="str">
        <f>IFERROR(__xludf.DUMMYFUNCTION("""COMPUTED_VALUE"""),"")</f>
        <v/>
      </c>
      <c r="N76" s="6" t="str">
        <f>IFERROR(__xludf.DUMMYFUNCTION("""COMPUTED_VALUE"""),"Telegram")</f>
        <v>Telegram</v>
      </c>
      <c r="O76" s="6" t="str">
        <f>IFERROR(__xludf.DUMMYFUNCTION("""COMPUTED_VALUE"""),"raw")</f>
        <v>raw</v>
      </c>
      <c r="P76" s="6" t="str">
        <f>IFERROR(__xludf.DUMMYFUNCTION("""COMPUTED_VALUE"""),"Codex")</f>
        <v>Codex</v>
      </c>
      <c r="Q76" s="6" t="str">
        <f>IFERROR(__xludf.DUMMYFUNCTION("""COMPUTED_VALUE"""),"Какие пет проекты гарантирует тебе оффер на аналитика? Обсудим в новом ролике. Смотрим! Смотрим! https://www.youtube.com/watch?v=6dk8k1ZzM40")</f>
        <v>Какие пет проекты гарантирует тебе оффер на аналитика? Обсудим в новом ролике. Смотрим! Смотрим! https://www.youtube.com/watch?v=6dk8k1ZzM40</v>
      </c>
      <c r="R76" s="6" t="str">
        <f>IFERROR(__xludf.DUMMYFUNCTION("""COMPUTED_VALUE"""),"internal")</f>
        <v>internal</v>
      </c>
      <c r="S76" s="6" t="str">
        <f>IFERROR(__xludf.DUMMYFUNCTION("""COMPUTED_VALUE"""),"unknown")</f>
        <v>unknown</v>
      </c>
      <c r="T76" s="6" t="str">
        <f>IFERROR(__xludf.DUMMYFUNCTION("""COMPUTED_VALUE"""),"telegram_internal")</f>
        <v>telegram_internal</v>
      </c>
      <c r="U76" s="6" t="str">
        <f>IFERROR(__xludf.DUMMYFUNCTION("""COMPUTED_VALUE"""),"Прочий контент")</f>
        <v>Прочий контент</v>
      </c>
      <c r="V76" s="6" t="str">
        <f>IFERROR(__xludf.DUMMYFUNCTION("""COMPUTED_VALUE"""),"Период продаж")</f>
        <v>Период продаж</v>
      </c>
      <c r="W76" s="6"/>
      <c r="X76" s="6"/>
      <c r="Y76" s="6" t="str">
        <f>IFERROR(__xludf.DUMMYFUNCTION("""COMPUTED_VALUE"""),"")</f>
        <v/>
      </c>
      <c r="Z76" s="6" t="str">
        <f>IFERROR(__xludf.DUMMYFUNCTION("""COMPUTED_VALUE"""),"")</f>
        <v/>
      </c>
      <c r="AA76" s="6" t="b">
        <f>IFERROR(__xludf.DUMMYFUNCTION("""COMPUTED_VALUE"""),FALSE)</f>
        <v>0</v>
      </c>
      <c r="AB76" s="6" t="b">
        <f>IFERROR(__xludf.DUMMYFUNCTION("""COMPUTED_VALUE"""),FALSE)</f>
        <v>0</v>
      </c>
      <c r="AC76" s="6" t="b">
        <f>IFERROR(__xludf.DUMMYFUNCTION("""COMPUTED_VALUE"""),FALSE)</f>
        <v>0</v>
      </c>
      <c r="AD76" s="6" t="b">
        <f>IFERROR(__xludf.DUMMYFUNCTION("""COMPUTED_VALUE"""),FALSE)</f>
        <v>0</v>
      </c>
      <c r="AE76" s="6"/>
      <c r="AF76" s="6" t="b">
        <f>IFERROR(__xludf.DUMMYFUNCTION("""COMPUTED_VALUE"""),FALSE)</f>
        <v>0</v>
      </c>
      <c r="AG76" s="6" t="str">
        <f>IFERROR(__xludf.DUMMYFUNCTION("""COMPUTED_VALUE"""),"2026-08-24T15:10:23+00:00")</f>
        <v>2026-08-24T15:10:23+00:00</v>
      </c>
      <c r="AH76" s="6" t="str">
        <f>IFERROR(__xludf.DUMMYFUNCTION("""COMPUTED_VALUE"""),"")</f>
        <v/>
      </c>
      <c r="AI76" s="6" t="str">
        <f>IFERROR(__xludf.DUMMYFUNCTION("""COMPUTED_VALUE"""),"#N/A")</f>
        <v>#N/A</v>
      </c>
      <c r="AJ76" s="9" t="s">
        <v>208</v>
      </c>
      <c r="AM76" s="9" t="s">
        <v>228</v>
      </c>
      <c r="AN76" s="6" t="str">
        <f>IFERROR(__xludf.DUMMYFUNCTION("IF(OR(AJ76=""general_brand"",AJ76=""external"",AJ76=""unknown""),"""",IF(AJ76=""product_line"",IF(AK76=""START"",""Аналитика старт | Алгоритмы старт | Backend старт | ML старт"",IF(AK76=""PRO"",""AI-агенты про | Алгоритмы про | Аналитика про | ML про | Ba"&amp;"ckend про"",IF(AK76=""START | PRO"",""Аналитика старт | Алгоритмы старт | Backend старт | ML старт | AI-агенты про | Алгоритмы про | Аналитика про | ML про | Backend про"",""""))),TEXTJOIN("" | "",TRUE,IF(REGEXMATCH(LOWER(AL76&amp;"" | ""&amp;E76),""аналитика ста"&amp;"рт""),""Аналитика старт"",""""),IF(REGEXMATCH(LOWER(AL76&amp;"" | ""&amp;E76),""алгоритмы старт""),""Алгоритмы старт"",""""),IF(REGEXMATCH(LOWER(AL76&amp;"" | ""&amp;E76),""backend старт""),""Backend старт"",""""),IF(REGEXMATCH(LOWER(AL76&amp;"" | ""&amp;E76),""ml старт""),""ML "&amp;"старт"",""""),IF(REGEXMATCH(LOWER(AL76&amp;"" | ""&amp;E76),""ai[ -]?агент""),""AI-агенты про"",""""),IF(REGEXMATCH(LOWER(AL76&amp;"" | ""&amp;E76),""алгоритмы про""),""Алгоритмы про"",""""),IF(REGEXMATCH(LOWER(AL76&amp;"" | ""&amp;E76),""аналитика про""),""Аналитика про"","""")"&amp;",IF(REGEXMATCH(LOWER(AL76&amp;"" | ""&amp;E76),""ml про""),""ML про"",""""),IF(REGEXMATCH(LOWER(AL76&amp;"" | ""&amp;E76),""backend про""),""Backend про"",""""),IF(REGEXMATCH(LOWER(AL76&amp;"" | ""&amp;E76),""(а/в|ав|а в|ab)[ -]?тест""),""А/В-тесты"",""""),IF(REGEXMATCH(LOWER(AL"&amp;"76&amp;"" | ""&amp;E76),""data science""),""Data science"",""""),IF(REGEXMATCH(LOWER(AL76&amp;"" | ""&amp;E76),""data[- ]?инжен""),""Data-инженер"",""""),IF(REGEXMATCH(LOWER(AL76&amp;"" | ""&amp;E76),""frontend""),""Frontend"",""""))))"),"")</f>
        <v/>
      </c>
    </row>
    <row r="77">
      <c r="A77" s="6" t="str">
        <f>IFERROR(__xludf.DUMMYFUNCTION("""COMPUTED_VALUE"""),"INT-1866")</f>
        <v>INT-1866</v>
      </c>
      <c r="B77" s="6" t="str">
        <f>IFERROR(__xludf.DUMMYFUNCTION("""COMPUTED_VALUE"""),"2026-08-25 16:51:47")</f>
        <v>2026-08-25 16:51:47</v>
      </c>
      <c r="C77" s="6" t="str">
        <f>IFERROR(__xludf.DUMMYFUNCTION("""COMPUTED_VALUE"""),"@postypashki_old")</f>
        <v>@postypashki_old</v>
      </c>
      <c r="D77" s="4" t="str">
        <f>IFERROR(__xludf.DUMMYFUNCTION("""COMPUTED_VALUE"""),"Прочий контент")</f>
        <v>Прочий контент</v>
      </c>
      <c r="E77" s="6"/>
      <c r="F77" s="6" t="str">
        <f>IFERROR(__xludf.DUMMYFUNCTION("""COMPUTED_VALUE"""),"")</f>
        <v/>
      </c>
      <c r="G77" s="6" t="str">
        <f>IFERROR(__xludf.DUMMYFUNCTION("""COMPUTED_VALUE"""),"postypashki_old/1866")</f>
        <v>postypashki_old/1866</v>
      </c>
      <c r="H77" s="6" t="str">
        <f>IFERROR(__xludf.DUMMYFUNCTION("""COMPUTED_VALUE"""),"Продолжаем знакомиться с талантливыми учениками ""Поступашек"". Сегодня в гостях - Никита, наш ученик, который поступил в ШАД. Несмотря на не самую сильную базу: 
• обычная школа в Крыму, где ребята испытывали трудности с базовым ЕГЭ по математике
• не с"&amp;"амый сильный ВУЗ МИЭТ, где большинство ребят просто находятся на передержке 
Смотрим интервью по ссылке https://www.youtube.com/watch?v=ziaZC6jZBr0
Пример Никиты показывает, что благодаря трудолюбию, несмотря на временные неудачи, можно достигнуть поста"&amp;"вленной цели. Получился разговор не только про образование и карьеру, но и про сомнения, анализ неудач, выбор и поиск своего пути.")</f>
        <v>Продолжаем знакомиться с талантливыми учениками "Поступашек". Сегодня в гостях - Никита, наш ученик, который поступил в ШАД. Несмотря на не самую сильную базу: 
• обычная школа в Крыму, где ребята испытывали трудности с базовым ЕГЭ по математике
• не самый сильный ВУЗ МИЭТ, где большинство ребят просто находятся на передержке 
Смотрим интервью по ссылке https://www.youtube.com/watch?v=ziaZC6jZBr0
Пример Никиты показывает, что благодаря трудолюбию, несмотря на временные неудачи, можно достигнуть поставленной цели. Получился разговор не только про образование и карьеру, но и про сомнения, анализ неудач, выбор и поиск своего пути.</v>
      </c>
      <c r="I77" s="6" t="str">
        <f>IFERROR(__xludf.DUMMYFUNCTION("""COMPUTED_VALUE"""),"internal")</f>
        <v>internal</v>
      </c>
      <c r="J77" s="10" t="str">
        <f>IFERROR(__xludf.DUMMYFUNCTION("""COMPUTED_VALUE"""),"https://t.me/postypashki_old/1866")</f>
        <v>https://t.me/postypashki_old/1866</v>
      </c>
      <c r="K77" s="6">
        <f>IFERROR(__xludf.DUMMYFUNCTION("""COMPUTED_VALUE"""),19800.0)</f>
        <v>19800</v>
      </c>
      <c r="L77" s="6">
        <f>IFERROR(__xludf.DUMMYFUNCTION("""COMPUTED_VALUE"""),70.0)</f>
        <v>70</v>
      </c>
      <c r="M77" s="6" t="str">
        <f>IFERROR(__xludf.DUMMYFUNCTION("""COMPUTED_VALUE"""),"")</f>
        <v/>
      </c>
      <c r="N77" s="6" t="str">
        <f>IFERROR(__xludf.DUMMYFUNCTION("""COMPUTED_VALUE"""),"Telegram")</f>
        <v>Telegram</v>
      </c>
      <c r="O77" s="6" t="str">
        <f>IFERROR(__xludf.DUMMYFUNCTION("""COMPUTED_VALUE"""),"raw")</f>
        <v>raw</v>
      </c>
      <c r="P77" s="6" t="str">
        <f>IFERROR(__xludf.DUMMYFUNCTION("""COMPUTED_VALUE"""),"Codex")</f>
        <v>Codex</v>
      </c>
      <c r="Q77" s="6" t="str">
        <f>IFERROR(__xludf.DUMMYFUNCTION("""COMPUTED_VALUE"""),"Продолжаем знакомиться с талантливыми учениками ""Поступашек"". Сегодня в гостях - Никита, наш ученик, который поступил в ШАД. Несмотря на не самую сильную базу: • обычная школа в Кр")</f>
        <v>Продолжаем знакомиться с талантливыми учениками "Поступашек". Сегодня в гостях - Никита, наш ученик, который поступил в ШАД. Несмотря на не самую сильную базу: • обычная школа в Кр</v>
      </c>
      <c r="R77" s="6" t="str">
        <f>IFERROR(__xludf.DUMMYFUNCTION("""COMPUTED_VALUE"""),"internal")</f>
        <v>internal</v>
      </c>
      <c r="S77" s="6" t="str">
        <f>IFERROR(__xludf.DUMMYFUNCTION("""COMPUTED_VALUE"""),"unknown")</f>
        <v>unknown</v>
      </c>
      <c r="T77" s="6" t="str">
        <f>IFERROR(__xludf.DUMMYFUNCTION("""COMPUTED_VALUE"""),"telegram_internal")</f>
        <v>telegram_internal</v>
      </c>
      <c r="U77" s="6" t="str">
        <f>IFERROR(__xludf.DUMMYFUNCTION("""COMPUTED_VALUE"""),"Прочий контент")</f>
        <v>Прочий контент</v>
      </c>
      <c r="V77" s="6" t="str">
        <f>IFERROR(__xludf.DUMMYFUNCTION("""COMPUTED_VALUE"""),"Период продаж")</f>
        <v>Период продаж</v>
      </c>
      <c r="W77" s="6" t="str">
        <f>IFERROR(__xludf.DUMMYFUNCTION("""COMPUTED_VALUE"""),"Фото")</f>
        <v>Фото</v>
      </c>
      <c r="X77" s="6"/>
      <c r="Y77" s="6" t="str">
        <f>IFERROR(__xludf.DUMMYFUNCTION("""COMPUTED_VALUE"""),"")</f>
        <v/>
      </c>
      <c r="Z77" s="6" t="str">
        <f>IFERROR(__xludf.DUMMYFUNCTION("""COMPUTED_VALUE"""),"")</f>
        <v/>
      </c>
      <c r="AA77" s="6" t="b">
        <f>IFERROR(__xludf.DUMMYFUNCTION("""COMPUTED_VALUE"""),FALSE)</f>
        <v>0</v>
      </c>
      <c r="AB77" s="6" t="b">
        <f>IFERROR(__xludf.DUMMYFUNCTION("""COMPUTED_VALUE"""),FALSE)</f>
        <v>0</v>
      </c>
      <c r="AC77" s="6" t="b">
        <f>IFERROR(__xludf.DUMMYFUNCTION("""COMPUTED_VALUE"""),FALSE)</f>
        <v>0</v>
      </c>
      <c r="AD77" s="6" t="b">
        <f>IFERROR(__xludf.DUMMYFUNCTION("""COMPUTED_VALUE"""),FALSE)</f>
        <v>0</v>
      </c>
      <c r="AE77" s="6"/>
      <c r="AF77" s="6" t="b">
        <f>IFERROR(__xludf.DUMMYFUNCTION("""COMPUTED_VALUE"""),FALSE)</f>
        <v>0</v>
      </c>
      <c r="AG77" s="6" t="str">
        <f>IFERROR(__xludf.DUMMYFUNCTION("""COMPUTED_VALUE"""),"2026-08-25T13:51:47+00:00")</f>
        <v>2026-08-25T13:51:47+00:00</v>
      </c>
      <c r="AH77" s="6" t="str">
        <f>IFERROR(__xludf.DUMMYFUNCTION("""COMPUTED_VALUE"""),"")</f>
        <v/>
      </c>
      <c r="AI77" s="6" t="str">
        <f>IFERROR(__xludf.DUMMYFUNCTION("""COMPUTED_VALUE"""),"#N/A")</f>
        <v>#N/A</v>
      </c>
      <c r="AJ77" s="9" t="s">
        <v>233</v>
      </c>
      <c r="AM77" s="9" t="s">
        <v>237</v>
      </c>
      <c r="AN77" s="6" t="str">
        <f>IFERROR(__xludf.DUMMYFUNCTION("IF(OR(AJ77=""general_brand"",AJ77=""external"",AJ77=""unknown""),"""",IF(AJ77=""product_line"",IF(AK77=""START"",""Аналитика старт | Алгоритмы старт | Backend старт | ML старт"",IF(AK77=""PRO"",""AI-агенты про | Алгоритмы про | Аналитика про | ML про | Ba"&amp;"ckend про"",IF(AK77=""START | PRO"",""Аналитика старт | Алгоритмы старт | Backend старт | ML старт | AI-агенты про | Алгоритмы про | Аналитика про | ML про | Backend про"",""""))),TEXTJOIN("" | "",TRUE,IF(REGEXMATCH(LOWER(AL77&amp;"" | ""&amp;E77),""аналитика ста"&amp;"рт""),""Аналитика старт"",""""),IF(REGEXMATCH(LOWER(AL77&amp;"" | ""&amp;E77),""алгоритмы старт""),""Алгоритмы старт"",""""),IF(REGEXMATCH(LOWER(AL77&amp;"" | ""&amp;E77),""backend старт""),""Backend старт"",""""),IF(REGEXMATCH(LOWER(AL77&amp;"" | ""&amp;E77),""ml старт""),""ML "&amp;"старт"",""""),IF(REGEXMATCH(LOWER(AL77&amp;"" | ""&amp;E77),""ai[ -]?агент""),""AI-агенты про"",""""),IF(REGEXMATCH(LOWER(AL77&amp;"" | ""&amp;E77),""алгоритмы про""),""Алгоритмы про"",""""),IF(REGEXMATCH(LOWER(AL77&amp;"" | ""&amp;E77),""аналитика про""),""Аналитика про"","""")"&amp;",IF(REGEXMATCH(LOWER(AL77&amp;"" | ""&amp;E77),""ml про""),""ML про"",""""),IF(REGEXMATCH(LOWER(AL77&amp;"" | ""&amp;E77),""backend про""),""Backend про"",""""),IF(REGEXMATCH(LOWER(AL77&amp;"" | ""&amp;E77),""(а/в|ав|а в|ab)[ -]?тест""),""А/В-тесты"",""""),IF(REGEXMATCH(LOWER(AL"&amp;"77&amp;"" | ""&amp;E77),""data science""),""Data science"",""""),IF(REGEXMATCH(LOWER(AL77&amp;"" | ""&amp;E77),""data[- ]?инжен""),""Data-инженер"",""""),IF(REGEXMATCH(LOWER(AL77&amp;"" | ""&amp;E77),""frontend""),""Frontend"",""""))))"),"")</f>
        <v/>
      </c>
    </row>
    <row r="78">
      <c r="A78" s="6" t="str">
        <f>IFERROR(__xludf.DUMMYFUNCTION("""COMPUTED_VALUE"""),"INT-1867")</f>
        <v>INT-1867</v>
      </c>
      <c r="B78" s="6" t="str">
        <f>IFERROR(__xludf.DUMMYFUNCTION("""COMPUTED_VALUE"""),"2026-08-25 16:51:48")</f>
        <v>2026-08-25 16:51:48</v>
      </c>
      <c r="C78" s="6" t="str">
        <f>IFERROR(__xludf.DUMMYFUNCTION("""COMPUTED_VALUE"""),"@postypashki_old")</f>
        <v>@postypashki_old</v>
      </c>
      <c r="D78" s="4" t="str">
        <f>IFERROR(__xludf.DUMMYFUNCTION("""COMPUTED_VALUE"""),"Прочий контент")</f>
        <v>Прочий контент</v>
      </c>
      <c r="E78" s="6"/>
      <c r="F78" s="6" t="str">
        <f>IFERROR(__xludf.DUMMYFUNCTION("""COMPUTED_VALUE"""),"")</f>
        <v/>
      </c>
      <c r="G78" s="6" t="str">
        <f>IFERROR(__xludf.DUMMYFUNCTION("""COMPUTED_VALUE"""),"postypashki_old/1867")</f>
        <v>postypashki_old/1867</v>
      </c>
      <c r="H78" s="6"/>
      <c r="I78" s="6" t="str">
        <f>IFERROR(__xludf.DUMMYFUNCTION("""COMPUTED_VALUE"""),"internal")</f>
        <v>internal</v>
      </c>
      <c r="J78" s="10" t="str">
        <f>IFERROR(__xludf.DUMMYFUNCTION("""COMPUTED_VALUE"""),"https://t.me/postypashki_old/1867")</f>
        <v>https://t.me/postypashki_old/1867</v>
      </c>
      <c r="K78" s="6">
        <f>IFERROR(__xludf.DUMMYFUNCTION("""COMPUTED_VALUE"""),17800.0)</f>
        <v>17800</v>
      </c>
      <c r="L78" s="6">
        <f>IFERROR(__xludf.DUMMYFUNCTION("""COMPUTED_VALUE"""),135.0)</f>
        <v>135</v>
      </c>
      <c r="M78" s="6" t="str">
        <f>IFERROR(__xludf.DUMMYFUNCTION("""COMPUTED_VALUE"""),"")</f>
        <v/>
      </c>
      <c r="N78" s="6" t="str">
        <f>IFERROR(__xludf.DUMMYFUNCTION("""COMPUTED_VALUE"""),"Telegram")</f>
        <v>Telegram</v>
      </c>
      <c r="O78" s="6" t="str">
        <f>IFERROR(__xludf.DUMMYFUNCTION("""COMPUTED_VALUE"""),"raw")</f>
        <v>raw</v>
      </c>
      <c r="P78" s="6" t="str">
        <f>IFERROR(__xludf.DUMMYFUNCTION("""COMPUTED_VALUE"""),"Codex")</f>
        <v>Codex</v>
      </c>
      <c r="Q78" s="6" t="str">
        <f>IFERROR(__xludf.DUMMYFUNCTION("""COMPUTED_VALUE"""),"[Медиа без текстовой подписи]")</f>
        <v>[Медиа без текстовой подписи]</v>
      </c>
      <c r="R78" s="6" t="str">
        <f>IFERROR(__xludf.DUMMYFUNCTION("""COMPUTED_VALUE"""),"internal")</f>
        <v>internal</v>
      </c>
      <c r="S78" s="6" t="str">
        <f>IFERROR(__xludf.DUMMYFUNCTION("""COMPUTED_VALUE"""),"unknown")</f>
        <v>unknown</v>
      </c>
      <c r="T78" s="6" t="str">
        <f>IFERROR(__xludf.DUMMYFUNCTION("""COMPUTED_VALUE"""),"telegram_internal")</f>
        <v>telegram_internal</v>
      </c>
      <c r="U78" s="6" t="str">
        <f>IFERROR(__xludf.DUMMYFUNCTION("""COMPUTED_VALUE"""),"Прочий контент")</f>
        <v>Прочий контент</v>
      </c>
      <c r="V78" s="6" t="str">
        <f>IFERROR(__xludf.DUMMYFUNCTION("""COMPUTED_VALUE"""),"Период продаж")</f>
        <v>Период продаж</v>
      </c>
      <c r="W78" s="6" t="str">
        <f>IFERROR(__xludf.DUMMYFUNCTION("""COMPUTED_VALUE"""),"Видео")</f>
        <v>Видео</v>
      </c>
      <c r="X78" s="6"/>
      <c r="Y78" s="6" t="str">
        <f>IFERROR(__xludf.DUMMYFUNCTION("""COMPUTED_VALUE"""),"")</f>
        <v/>
      </c>
      <c r="Z78" s="6" t="str">
        <f>IFERROR(__xludf.DUMMYFUNCTION("""COMPUTED_VALUE"""),"")</f>
        <v/>
      </c>
      <c r="AA78" s="6" t="b">
        <f>IFERROR(__xludf.DUMMYFUNCTION("""COMPUTED_VALUE"""),FALSE)</f>
        <v>0</v>
      </c>
      <c r="AB78" s="6" t="b">
        <f>IFERROR(__xludf.DUMMYFUNCTION("""COMPUTED_VALUE"""),FALSE)</f>
        <v>0</v>
      </c>
      <c r="AC78" s="6" t="b">
        <f>IFERROR(__xludf.DUMMYFUNCTION("""COMPUTED_VALUE"""),FALSE)</f>
        <v>0</v>
      </c>
      <c r="AD78" s="6" t="b">
        <f>IFERROR(__xludf.DUMMYFUNCTION("""COMPUTED_VALUE"""),FALSE)</f>
        <v>0</v>
      </c>
      <c r="AE78" s="6"/>
      <c r="AF78" s="6" t="b">
        <f>IFERROR(__xludf.DUMMYFUNCTION("""COMPUTED_VALUE"""),FALSE)</f>
        <v>0</v>
      </c>
      <c r="AG78" s="6" t="str">
        <f>IFERROR(__xludf.DUMMYFUNCTION("""COMPUTED_VALUE"""),"2026-08-25T13:51:48+00:00")</f>
        <v>2026-08-25T13:51:48+00:00</v>
      </c>
      <c r="AH78" s="6" t="str">
        <f>IFERROR(__xludf.DUMMYFUNCTION("""COMPUTED_VALUE"""),"")</f>
        <v/>
      </c>
      <c r="AI78" s="6" t="str">
        <f>IFERROR(__xludf.DUMMYFUNCTION("""COMPUTED_VALUE"""),"#N/A")</f>
        <v>#N/A</v>
      </c>
      <c r="AJ78" s="9" t="s">
        <v>208</v>
      </c>
      <c r="AM78" s="9" t="s">
        <v>229</v>
      </c>
      <c r="AN78" s="6" t="str">
        <f>IFERROR(__xludf.DUMMYFUNCTION("IF(OR(AJ78=""general_brand"",AJ78=""external"",AJ78=""unknown""),"""",IF(AJ78=""product_line"",IF(AK78=""START"",""Аналитика старт | Алгоритмы старт | Backend старт | ML старт"",IF(AK78=""PRO"",""AI-агенты про | Алгоритмы про | Аналитика про | ML про | Ba"&amp;"ckend про"",IF(AK78=""START | PRO"",""Аналитика старт | Алгоритмы старт | Backend старт | ML старт | AI-агенты про | Алгоритмы про | Аналитика про | ML про | Backend про"",""""))),TEXTJOIN("" | "",TRUE,IF(REGEXMATCH(LOWER(AL78&amp;"" | ""&amp;E78),""аналитика ста"&amp;"рт""),""Аналитика старт"",""""),IF(REGEXMATCH(LOWER(AL78&amp;"" | ""&amp;E78),""алгоритмы старт""),""Алгоритмы старт"",""""),IF(REGEXMATCH(LOWER(AL78&amp;"" | ""&amp;E78),""backend старт""),""Backend старт"",""""),IF(REGEXMATCH(LOWER(AL78&amp;"" | ""&amp;E78),""ml старт""),""ML "&amp;"старт"",""""),IF(REGEXMATCH(LOWER(AL78&amp;"" | ""&amp;E78),""ai[ -]?агент""),""AI-агенты про"",""""),IF(REGEXMATCH(LOWER(AL78&amp;"" | ""&amp;E78),""алгоритмы про""),""Алгоритмы про"",""""),IF(REGEXMATCH(LOWER(AL78&amp;"" | ""&amp;E78),""аналитика про""),""Аналитика про"","""")"&amp;",IF(REGEXMATCH(LOWER(AL78&amp;"" | ""&amp;E78),""ml про""),""ML про"",""""),IF(REGEXMATCH(LOWER(AL78&amp;"" | ""&amp;E78),""backend про""),""Backend про"",""""),IF(REGEXMATCH(LOWER(AL78&amp;"" | ""&amp;E78),""(а/в|ав|а в|ab)[ -]?тест""),""А/В-тесты"",""""),IF(REGEXMATCH(LOWER(AL"&amp;"78&amp;"" | ""&amp;E78),""data science""),""Data science"",""""),IF(REGEXMATCH(LOWER(AL78&amp;"" | ""&amp;E78),""data[- ]?инжен""),""Data-инженер"",""""),IF(REGEXMATCH(LOWER(AL78&amp;"" | ""&amp;E78),""frontend""),""Frontend"",""""))))"),"")</f>
        <v/>
      </c>
    </row>
    <row r="79">
      <c r="A79" s="6" t="str">
        <f>IFERROR(__xludf.DUMMYFUNCTION("""COMPUTED_VALUE"""),"INT-1868")</f>
        <v>INT-1868</v>
      </c>
      <c r="B79" s="6" t="str">
        <f>IFERROR(__xludf.DUMMYFUNCTION("""COMPUTED_VALUE"""),"2026-08-26 17:53:48")</f>
        <v>2026-08-26 17:53:48</v>
      </c>
      <c r="C79" s="6" t="str">
        <f>IFERROR(__xludf.DUMMYFUNCTION("""COMPUTED_VALUE"""),"@postypashki_old")</f>
        <v>@postypashki_old</v>
      </c>
      <c r="D79" s="4" t="str">
        <f>IFERROR(__xludf.DUMMYFUNCTION("""COMPUTED_VALUE"""),"Промо со скидкой")</f>
        <v>Промо со скидкой</v>
      </c>
      <c r="E79" s="6"/>
      <c r="F79" s="6" t="str">
        <f>IFERROR(__xludf.DUMMYFUNCTION("""COMPUTED_VALUE"""),"")</f>
        <v/>
      </c>
      <c r="G79" s="6" t="str">
        <f>IFERROR(__xludf.DUMMYFUNCTION("""COMPUTED_VALUE"""),"postypashki_old/1868")</f>
        <v>postypashki_old/1868</v>
      </c>
      <c r="H79" s="6" t="str">
        <f>IFERROR(__xludf.DUMMYFUNCTION("""COMPUTED_VALUE"""),"Снова на учебу с ggsel 💐
На сайте собрали подборку инструментов, которые могут пригодиться в учебе и работе 👨‍💻
В подборке снизили цены до 13 сентября на нейронки, Adobe, Office и другой софт🫰")</f>
        <v>Снова на учебу с ggsel 💐
На сайте собрали подборку инструментов, которые могут пригодиться в учебе и работе 👨‍💻
В подборке снизили цены до 13 сентября на нейронки, Adobe, Office и другой софт🫰</v>
      </c>
      <c r="I79" s="6" t="str">
        <f>IFERROR(__xludf.DUMMYFUNCTION("""COMPUTED_VALUE"""),"internal")</f>
        <v>internal</v>
      </c>
      <c r="J79" s="10" t="str">
        <f>IFERROR(__xludf.DUMMYFUNCTION("""COMPUTED_VALUE"""),"https://t.me/postypashki_old/1868")</f>
        <v>https://t.me/postypashki_old/1868</v>
      </c>
      <c r="K79" s="6">
        <f>IFERROR(__xludf.DUMMYFUNCTION("""COMPUTED_VALUE"""),16100.0)</f>
        <v>16100</v>
      </c>
      <c r="L79" s="6">
        <f>IFERROR(__xludf.DUMMYFUNCTION("""COMPUTED_VALUE"""),75.0)</f>
        <v>75</v>
      </c>
      <c r="M79" s="6" t="str">
        <f>IFERROR(__xludf.DUMMYFUNCTION("""COMPUTED_VALUE"""),"")</f>
        <v/>
      </c>
      <c r="N79" s="6" t="str">
        <f>IFERROR(__xludf.DUMMYFUNCTION("""COMPUTED_VALUE"""),"Telegram")</f>
        <v>Telegram</v>
      </c>
      <c r="O79" s="6" t="str">
        <f>IFERROR(__xludf.DUMMYFUNCTION("""COMPUTED_VALUE"""),"raw")</f>
        <v>raw</v>
      </c>
      <c r="P79" s="6" t="str">
        <f>IFERROR(__xludf.DUMMYFUNCTION("""COMPUTED_VALUE"""),"Codex")</f>
        <v>Codex</v>
      </c>
      <c r="Q79" s="6" t="str">
        <f>IFERROR(__xludf.DUMMYFUNCTION("""COMPUTED_VALUE"""),"Снова на учебу с ggsel 💐 На сайте собрали подборку инструментов, которые могут пригодиться в учебе и работе 👨‍💻 В подборке снизили цены до 13 сентября на нейронки, Adobe, Office и ")</f>
        <v>Снова на учебу с ggsel 💐 На сайте собрали подборку инструментов, которые могут пригодиться в учебе и работе 👨‍💻 В подборке снизили цены до 13 сентября на нейронки, Adobe, Office и </v>
      </c>
      <c r="R79" s="6" t="str">
        <f>IFERROR(__xludf.DUMMYFUNCTION("""COMPUTED_VALUE"""),"internal")</f>
        <v>internal</v>
      </c>
      <c r="S79" s="6" t="str">
        <f>IFERROR(__xludf.DUMMYFUNCTION("""COMPUTED_VALUE"""),"unknown")</f>
        <v>unknown</v>
      </c>
      <c r="T79" s="6" t="str">
        <f>IFERROR(__xludf.DUMMYFUNCTION("""COMPUTED_VALUE"""),"telegram_internal")</f>
        <v>telegram_internal</v>
      </c>
      <c r="U79" s="6" t="str">
        <f>IFERROR(__xludf.DUMMYFUNCTION("""COMPUTED_VALUE"""),"Промо со скидкой")</f>
        <v>Промо со скидкой</v>
      </c>
      <c r="V79" s="6" t="str">
        <f>IFERROR(__xludf.DUMMYFUNCTION("""COMPUTED_VALUE"""),"Период продаж")</f>
        <v>Период продаж</v>
      </c>
      <c r="W79" s="6" t="str">
        <f>IFERROR(__xludf.DUMMYFUNCTION("""COMPUTED_VALUE"""),"Фото")</f>
        <v>Фото</v>
      </c>
      <c r="X79" s="6"/>
      <c r="Y79" s="6" t="str">
        <f>IFERROR(__xludf.DUMMYFUNCTION("""COMPUTED_VALUE"""),"")</f>
        <v/>
      </c>
      <c r="Z79" s="6" t="str">
        <f>IFERROR(__xludf.DUMMYFUNCTION("""COMPUTED_VALUE"""),"")</f>
        <v/>
      </c>
      <c r="AA79" s="6" t="b">
        <f>IFERROR(__xludf.DUMMYFUNCTION("""COMPUTED_VALUE"""),FALSE)</f>
        <v>0</v>
      </c>
      <c r="AB79" s="6" t="b">
        <f>IFERROR(__xludf.DUMMYFUNCTION("""COMPUTED_VALUE"""),TRUE)</f>
        <v>1</v>
      </c>
      <c r="AC79" s="6" t="b">
        <f>IFERROR(__xludf.DUMMYFUNCTION("""COMPUTED_VALUE"""),FALSE)</f>
        <v>0</v>
      </c>
      <c r="AD79" s="6" t="b">
        <f>IFERROR(__xludf.DUMMYFUNCTION("""COMPUTED_VALUE"""),FALSE)</f>
        <v>0</v>
      </c>
      <c r="AE79" s="6"/>
      <c r="AF79" s="6" t="b">
        <f>IFERROR(__xludf.DUMMYFUNCTION("""COMPUTED_VALUE"""),FALSE)</f>
        <v>0</v>
      </c>
      <c r="AG79" s="6" t="str">
        <f>IFERROR(__xludf.DUMMYFUNCTION("""COMPUTED_VALUE"""),"2026-08-26T14:53:48+00:00")</f>
        <v>2026-08-26T14:53:48+00:00</v>
      </c>
      <c r="AH79" s="6" t="str">
        <f>IFERROR(__xludf.DUMMYFUNCTION("""COMPUTED_VALUE"""),"")</f>
        <v/>
      </c>
      <c r="AI79" s="6" t="str">
        <f>IFERROR(__xludf.DUMMYFUNCTION("""COMPUTED_VALUE"""),"#N/A")</f>
        <v>#N/A</v>
      </c>
      <c r="AJ79" s="9" t="s">
        <v>176</v>
      </c>
      <c r="AM79" s="9" t="s">
        <v>229</v>
      </c>
      <c r="AN79" s="6" t="str">
        <f>IFERROR(__xludf.DUMMYFUNCTION("IF(OR(AJ79=""general_brand"",AJ79=""external"",AJ79=""unknown""),"""",IF(AJ79=""product_line"",IF(AK79=""START"",""Аналитика старт | Алгоритмы старт | Backend старт | ML старт"",IF(AK79=""PRO"",""AI-агенты про | Алгоритмы про | Аналитика про | ML про | Ba"&amp;"ckend про"",IF(AK79=""START | PRO"",""Аналитика старт | Алгоритмы старт | Backend старт | ML старт | AI-агенты про | Алгоритмы про | Аналитика про | ML про | Backend про"",""""))),TEXTJOIN("" | "",TRUE,IF(REGEXMATCH(LOWER(AL79&amp;"" | ""&amp;E79),""аналитика ста"&amp;"рт""),""Аналитика старт"",""""),IF(REGEXMATCH(LOWER(AL79&amp;"" | ""&amp;E79),""алгоритмы старт""),""Алгоритмы старт"",""""),IF(REGEXMATCH(LOWER(AL79&amp;"" | ""&amp;E79),""backend старт""),""Backend старт"",""""),IF(REGEXMATCH(LOWER(AL79&amp;"" | ""&amp;E79),""ml старт""),""ML "&amp;"старт"",""""),IF(REGEXMATCH(LOWER(AL79&amp;"" | ""&amp;E79),""ai[ -]?агент""),""AI-агенты про"",""""),IF(REGEXMATCH(LOWER(AL79&amp;"" | ""&amp;E79),""алгоритмы про""),""Алгоритмы про"",""""),IF(REGEXMATCH(LOWER(AL79&amp;"" | ""&amp;E79),""аналитика про""),""Аналитика про"","""")"&amp;",IF(REGEXMATCH(LOWER(AL79&amp;"" | ""&amp;E79),""ml про""),""ML про"",""""),IF(REGEXMATCH(LOWER(AL79&amp;"" | ""&amp;E79),""backend про""),""Backend про"",""""),IF(REGEXMATCH(LOWER(AL79&amp;"" | ""&amp;E79),""(а/в|ав|а в|ab)[ -]?тест""),""А/В-тесты"",""""),IF(REGEXMATCH(LOWER(AL"&amp;"79&amp;"" | ""&amp;E79),""data science""),""Data science"",""""),IF(REGEXMATCH(LOWER(AL79&amp;"" | ""&amp;E79),""data[- ]?инжен""),""Data-инженер"",""""),IF(REGEXMATCH(LOWER(AL79&amp;"" | ""&amp;E79),""frontend""),""Frontend"",""""))))"),"")</f>
        <v/>
      </c>
    </row>
    <row r="80">
      <c r="A80" s="6" t="str">
        <f>IFERROR(__xludf.DUMMYFUNCTION("""COMPUTED_VALUE"""),"INT-1869")</f>
        <v>INT-1869</v>
      </c>
      <c r="B80" s="6" t="str">
        <f>IFERROR(__xludf.DUMMYFUNCTION("""COMPUTED_VALUE"""),"2026-08-26 21:05:58")</f>
        <v>2026-08-26 21:05:58</v>
      </c>
      <c r="C80" s="6" t="str">
        <f>IFERROR(__xludf.DUMMYFUNCTION("""COMPUTED_VALUE"""),"@postypashki_old")</f>
        <v>@postypashki_old</v>
      </c>
      <c r="D80" s="4" t="str">
        <f>IFERROR(__xludf.DUMMYFUNCTION("""COMPUTED_VALUE"""),"Прочий контент")</f>
        <v>Прочий контент</v>
      </c>
      <c r="E80" s="6"/>
      <c r="F80" s="6" t="str">
        <f>IFERROR(__xludf.DUMMYFUNCTION("""COMPUTED_VALUE"""),"")</f>
        <v/>
      </c>
      <c r="G80" s="6" t="str">
        <f>IFERROR(__xludf.DUMMYFUNCTION("""COMPUTED_VALUE"""),"postypashki_old/1869")</f>
        <v>postypashki_old/1869</v>
      </c>
      <c r="H80" s="6" t="str">
        <f>IFERROR(__xludf.DUMMYFUNCTION("""COMPUTED_VALUE"""),"Полный гайд по ML-собесам в Яндексе
Система отбора в Яндексе - одна из самых стандартизированных на рынке. На какую бы позицию вы ни шли (стажёр, джун, мидл, сеньор, лид) собесы будут одинаковыми, отличаться будет только ожидаемый уровень ответов. Всё ре"&amp;"шают грейды (14–18). Наши выпускники не только регулярно проходят собесы в Яндекс, но и сами их проводят, поэтому мы знаем процедуру изнутри. 
HR-скрининг (10-15 мин)
Самый безопасный этап. В 99% случаев - просто рассказ о себе. Рекрутеры очень доброжела"&amp;"тельны и очень редко реджектят на этом этапе, ибо и так воронка большая. 
За редким исключением могут спросить технику. Например алгоритмы сортировки и их асимптотику, переобучение (определение). 
Алгособес (до часа, 2 задачи) 
Самый знаменитый этап. Ест"&amp;"ь мнение, что именно он служит для того, чтобы сбить грейд. 
Как проходит:
- платформа Яндекс. Код (как блокнот, компилятора нет),
- две задачи случайно из общего пула,
- первая Easy/Medium, вторая может быть Hard,
- для грейда 15 обычно достаточно решит"&amp;"ь одну,
- для 16–17 нужно решать обе.
Что важно на собесе:
- не начинайте с кода, сначала обсуждайте подход,
- проговаривайте каждую строчку вслух, чтобы интервьюер ""правильно оценил ваш грейд"". 
- рассуждайте о плюсах/минусах структур данных,
- исполь"&amp;"зуйте тайпинги (Python),
- не молчите, даже если тупите, интервьюер может помочь наводящими вопросами.
Главный лайфхак: не решайте всё подряд на LeetCode (их 3600+) - пул задач Яндекса ограничен и практически полностью совпадает с нашим списком. 
Секция"&amp;" ML + Algo (1 час)
Здесь сначала даётся одна задача по алгоритмам (обычно Easy). Её нужно решить максимально быстро, чтобы осталось время на ML-часть. Если не решите задачу, к ML не перейдёте, и это почти гарантированный отказ (особенно для Middle+).
Ког"&amp;"да задача решена, начинается блок по ML, типичные вопросы:
- что такое переобучение и как с ним бороться,
- метрики классификации и регрессии,
- кросс-энтропия и её связь с MLE.
А дальше, вам предложат выбрать одну из трёх тем для углублённого обсуждения"&amp;":
1. Логистическая регрессия  
2. Деревья решений / бустинги  
3. Нейросети
Советую выбирать нейросети, даже если обычно работаете с классикой.  
Почему?
- по логистической регрессии могут завалить матчастью (максимальное правдоподобие, вывод формул),
- "&amp;"по бустингам могут ждать каверзные вопросы про CatBoost vs XGBoost и внутреннее устройство,
- а по нейросетям всё базовое: Dropout, BatchNorm, линейные слои, подсчёт параметров, градиентный спуск - это легко и предсказуемо.
Также помните, что интервьюер "&amp;"может быть из другой области (например, NLP-шник собеседует CV-специалиста). Если он задаёт вопросы не по вашей специализации, спокойно говорите: ""Я работаю в Computer Vision, давайте перейдём к моей области, чтобы я мог показать свой реальный уровень"" "&amp;" - это нормально и даже плюс. Иначе есть риск занизить грейд. 
ML Special (по специализации)
Финальная техническая секция по вашей области (NLP, CV, классический ML, аудио и т.д.). Как правило, это системный дизайн или разбор кейса. Секция несложная: нуж"&amp;"но показать широту, а не глубину. То есть знать базовые компоненты и уметь объяснить, как они работают вместе.
Финалы (выбор команды и оффер)
После всех техсекций рекрутер предложит вам команды, где есть открытые позиции.  Вы выбираете 2–3, с каждым лидо"&amp;"м будет созвон. 
На финалах:  
- техвопросов почти нет
- лид рассказывает о команде, пытается ""продать"" вам вакансию, ибо до финалов доходит не так много людей,
- ваша задача показать себя позитивным, проактивным, не токсичным,  
- хорошие софт-скиллы "&amp;"могут поднять грейд на финальном решении
- если прям переживаете, то можно посталкерить, что команда пишет на харб, в LinkedIn.
Кстати, не обращайте внимание на материалы для подготовки, которые предлагают рекрутеры, они не имеют к реальности никакого от"&amp;"ношения! Все обсудить/спросить совета можно в нашем чате единомышленников. 
Подписаться: @postypashki_old")</f>
        <v>Полный гайд по ML-собесам в Яндексе
Система отбора в Яндексе - одна из самых стандартизированных на рынке. На какую бы позицию вы ни шли (стажёр, джун, мидл, сеньор, лид) собесы будут одинаковыми, отличаться будет только ожидаемый уровень ответов. Всё решают грейды (14–18). Наши выпускники не только регулярно проходят собесы в Яндекс, но и сами их проводят, поэтому мы знаем процедуру изнутри. 
HR-скрининг (10-15 мин)
Самый безопасный этап. В 99% случаев - просто рассказ о себе. Рекрутеры очень доброжелательны и очень редко реджектят на этом этапе, ибо и так воронка большая. 
За редким исключением могут спросить технику. Например алгоритмы сортировки и их асимптотику, переобучение (определение). 
Алгособес (до часа, 2 задачи) 
Самый знаменитый этап. Есть мнение, что именно он служит для того, чтобы сбить грейд. 
Как проходит:
- платформа Яндекс. Код (как блокнот, компилятора нет),
- две задачи случайно из общего пула,
- первая Easy/Medium, вторая может быть Hard,
- для грейда 15 обычно достаточно решить одну,
- для 16–17 нужно решать обе.
Что важно на собесе:
- не начинайте с кода, сначала обсуждайте подход,
- проговаривайте каждую строчку вслух, чтобы интервьюер "правильно оценил ваш грейд". 
- рассуждайте о плюсах/минусах структур данных,
- используйте тайпинги (Python),
- не молчите, даже если тупите, интервьюер может помочь наводящими вопросами.
Главный лайфхак: не решайте всё подряд на LeetCode (их 3600+) - пул задач Яндекса ограничен и практически полностью совпадает с нашим списком. 
Секция ML + Algo (1 час)
Здесь сначала даётся одна задача по алгоритмам (обычно Easy). Её нужно решить максимально быстро, чтобы осталось время на ML-часть. Если не решите задачу, к ML не перейдёте, и это почти гарантированный отказ (особенно для Middle+).
Когда задача решена, начинается блок по ML, типичные вопросы:
- что такое переобучение и как с ним бороться,
- метрики классификации и регрессии,
- кросс-энтропия и её связь с MLE.
А дальше, вам предложат выбрать одну из трёх тем для углублённого обсуждения:
1. Логистическая регрессия  
2. Деревья решений / бустинги  
3. Нейросети
Советую выбирать нейросети, даже если обычно работаете с классикой.  
Почему?
- по логистической регрессии могут завалить матчастью (максимальное правдоподобие, вывод формул),
- по бустингам могут ждать каверзные вопросы про CatBoost vs XGBoost и внутреннее устройство,
- а по нейросетям всё базовое: Dropout, BatchNorm, линейные слои, подсчёт параметров, градиентный спуск - это легко и предсказуемо.
Также помните, что интервьюер может быть из другой области (например, NLP-шник собеседует CV-специалиста). Если он задаёт вопросы не по вашей специализации, спокойно говорите: "Я работаю в Computer Vision, давайте перейдём к моей области, чтобы я мог показать свой реальный уровень"  - это нормально и даже плюс. Иначе есть риск занизить грейд. 
ML Special (по специализации)
Финальная техническая секция по вашей области (NLP, CV, классический ML, аудио и т.д.). Как правило, это системный дизайн или разбор кейса. Секция несложная: нужно показать широту, а не глубину. То есть знать базовые компоненты и уметь объяснить, как они работают вместе.
Финалы (выбор команды и оффер)
После всех техсекций рекрутер предложит вам команды, где есть открытые позиции.  Вы выбираете 2–3, с каждым лидом будет созвон. 
На финалах:  
- техвопросов почти нет
- лид рассказывает о команде, пытается "продать" вам вакансию, ибо до финалов доходит не так много людей,
- ваша задача показать себя позитивным, проактивным, не токсичным,  
- хорошие софт-скиллы могут поднять грейд на финальном решении
- если прям переживаете, то можно посталкерить, что команда пишет на харб, в LinkedIn.
Кстати, не обращайте внимание на материалы для подготовки, которые предлагают рекрутеры, они не имеют к реальности никакого отношения! Все обсудить/спросить совета можно в нашем чате единомышленников. 
Подписаться: @postypashki_old</v>
      </c>
      <c r="I80" s="6" t="str">
        <f>IFERROR(__xludf.DUMMYFUNCTION("""COMPUTED_VALUE"""),"internal")</f>
        <v>internal</v>
      </c>
      <c r="J80" s="10" t="str">
        <f>IFERROR(__xludf.DUMMYFUNCTION("""COMPUTED_VALUE"""),"https://t.me/postypashki_old/1869")</f>
        <v>https://t.me/postypashki_old/1869</v>
      </c>
      <c r="K80" s="6">
        <f>IFERROR(__xludf.DUMMYFUNCTION("""COMPUTED_VALUE"""),19000.0)</f>
        <v>19000</v>
      </c>
      <c r="L80" s="6">
        <f>IFERROR(__xludf.DUMMYFUNCTION("""COMPUTED_VALUE"""),71.0)</f>
        <v>71</v>
      </c>
      <c r="M80" s="6" t="str">
        <f>IFERROR(__xludf.DUMMYFUNCTION("""COMPUTED_VALUE"""),"")</f>
        <v/>
      </c>
      <c r="N80" s="6" t="str">
        <f>IFERROR(__xludf.DUMMYFUNCTION("""COMPUTED_VALUE"""),"Telegram")</f>
        <v>Telegram</v>
      </c>
      <c r="O80" s="6" t="str">
        <f>IFERROR(__xludf.DUMMYFUNCTION("""COMPUTED_VALUE"""),"raw")</f>
        <v>raw</v>
      </c>
      <c r="P80" s="6" t="str">
        <f>IFERROR(__xludf.DUMMYFUNCTION("""COMPUTED_VALUE"""),"Codex")</f>
        <v>Codex</v>
      </c>
      <c r="Q80" s="6" t="str">
        <f>IFERROR(__xludf.DUMMYFUNCTION("""COMPUTED_VALUE"""),"Полный гайд по ML-собесам в Яндексе Система отбора в Яндексе - одна из самых стандартизированных на рынке. На какую бы позицию вы ни шли (стажёр, джун, мидл, сеньор, лид) собесы бу")</f>
        <v>Полный гайд по ML-собесам в Яндексе Система отбора в Яндексе - одна из самых стандартизированных на рынке. На какую бы позицию вы ни шли (стажёр, джун, мидл, сеньор, лид) собесы бу</v>
      </c>
      <c r="R80" s="6" t="str">
        <f>IFERROR(__xludf.DUMMYFUNCTION("""COMPUTED_VALUE"""),"internal")</f>
        <v>internal</v>
      </c>
      <c r="S80" s="6" t="str">
        <f>IFERROR(__xludf.DUMMYFUNCTION("""COMPUTED_VALUE"""),"unknown")</f>
        <v>unknown</v>
      </c>
      <c r="T80" s="6" t="str">
        <f>IFERROR(__xludf.DUMMYFUNCTION("""COMPUTED_VALUE"""),"telegram_internal")</f>
        <v>telegram_internal</v>
      </c>
      <c r="U80" s="6" t="str">
        <f>IFERROR(__xludf.DUMMYFUNCTION("""COMPUTED_VALUE"""),"Прочий контент")</f>
        <v>Прочий контент</v>
      </c>
      <c r="V80" s="6" t="str">
        <f>IFERROR(__xludf.DUMMYFUNCTION("""COMPUTED_VALUE"""),"Период продаж")</f>
        <v>Период продаж</v>
      </c>
      <c r="W80" s="6"/>
      <c r="X80" s="6"/>
      <c r="Y80" s="6" t="str">
        <f>IFERROR(__xludf.DUMMYFUNCTION("""COMPUTED_VALUE"""),"")</f>
        <v/>
      </c>
      <c r="Z80" s="6" t="str">
        <f>IFERROR(__xludf.DUMMYFUNCTION("""COMPUTED_VALUE"""),"")</f>
        <v/>
      </c>
      <c r="AA80" s="6" t="b">
        <f>IFERROR(__xludf.DUMMYFUNCTION("""COMPUTED_VALUE"""),TRUE)</f>
        <v>1</v>
      </c>
      <c r="AB80" s="6" t="b">
        <f>IFERROR(__xludf.DUMMYFUNCTION("""COMPUTED_VALUE"""),FALSE)</f>
        <v>0</v>
      </c>
      <c r="AC80" s="6" t="b">
        <f>IFERROR(__xludf.DUMMYFUNCTION("""COMPUTED_VALUE"""),FALSE)</f>
        <v>0</v>
      </c>
      <c r="AD80" s="6" t="b">
        <f>IFERROR(__xludf.DUMMYFUNCTION("""COMPUTED_VALUE"""),FALSE)</f>
        <v>0</v>
      </c>
      <c r="AE80" s="6"/>
      <c r="AF80" s="6" t="b">
        <f>IFERROR(__xludf.DUMMYFUNCTION("""COMPUTED_VALUE"""),FALSE)</f>
        <v>0</v>
      </c>
      <c r="AG80" s="6" t="str">
        <f>IFERROR(__xludf.DUMMYFUNCTION("""COMPUTED_VALUE"""),"2026-08-26T18:05:58+00:00")</f>
        <v>2026-08-26T18:05:58+00:00</v>
      </c>
      <c r="AH80" s="6" t="str">
        <f>IFERROR(__xludf.DUMMYFUNCTION("""COMPUTED_VALUE"""),"")</f>
        <v/>
      </c>
      <c r="AI80" s="6" t="str">
        <f>IFERROR(__xludf.DUMMYFUNCTION("""COMPUTED_VALUE"""),"#N/A")</f>
        <v>#N/A</v>
      </c>
      <c r="AJ80" s="9" t="s">
        <v>233</v>
      </c>
      <c r="AM80" s="9" t="s">
        <v>226</v>
      </c>
      <c r="AN80" s="6" t="str">
        <f>IFERROR(__xludf.DUMMYFUNCTION("IF(OR(AJ80=""general_brand"",AJ80=""external"",AJ80=""unknown""),"""",IF(AJ80=""product_line"",IF(AK80=""START"",""Аналитика старт | Алгоритмы старт | Backend старт | ML старт"",IF(AK80=""PRO"",""AI-агенты про | Алгоритмы про | Аналитика про | ML про | Ba"&amp;"ckend про"",IF(AK80=""START | PRO"",""Аналитика старт | Алгоритмы старт | Backend старт | ML старт | AI-агенты про | Алгоритмы про | Аналитика про | ML про | Backend про"",""""))),TEXTJOIN("" | "",TRUE,IF(REGEXMATCH(LOWER(AL80&amp;"" | ""&amp;E80),""аналитика ста"&amp;"рт""),""Аналитика старт"",""""),IF(REGEXMATCH(LOWER(AL80&amp;"" | ""&amp;E80),""алгоритмы старт""),""Алгоритмы старт"",""""),IF(REGEXMATCH(LOWER(AL80&amp;"" | ""&amp;E80),""backend старт""),""Backend старт"",""""),IF(REGEXMATCH(LOWER(AL80&amp;"" | ""&amp;E80),""ml старт""),""ML "&amp;"старт"",""""),IF(REGEXMATCH(LOWER(AL80&amp;"" | ""&amp;E80),""ai[ -]?агент""),""AI-агенты про"",""""),IF(REGEXMATCH(LOWER(AL80&amp;"" | ""&amp;E80),""алгоритмы про""),""Алгоритмы про"",""""),IF(REGEXMATCH(LOWER(AL80&amp;"" | ""&amp;E80),""аналитика про""),""Аналитика про"","""")"&amp;",IF(REGEXMATCH(LOWER(AL80&amp;"" | ""&amp;E80),""ml про""),""ML про"",""""),IF(REGEXMATCH(LOWER(AL80&amp;"" | ""&amp;E80),""backend про""),""Backend про"",""""),IF(REGEXMATCH(LOWER(AL80&amp;"" | ""&amp;E80),""(а/в|ав|а в|ab)[ -]?тест""),""А/В-тесты"",""""),IF(REGEXMATCH(LOWER(AL"&amp;"80&amp;"" | ""&amp;E80),""data science""),""Data science"",""""),IF(REGEXMATCH(LOWER(AL80&amp;"" | ""&amp;E80),""data[- ]?инжен""),""Data-инженер"",""""),IF(REGEXMATCH(LOWER(AL80&amp;"" | ""&amp;E80),""frontend""),""Frontend"",""""))))"),"")</f>
        <v/>
      </c>
    </row>
    <row r="81">
      <c r="A81" s="6" t="str">
        <f>IFERROR(__xludf.DUMMYFUNCTION("""COMPUTED_VALUE"""),"INT-1870")</f>
        <v>INT-1870</v>
      </c>
      <c r="B81" s="6" t="str">
        <f>IFERROR(__xludf.DUMMYFUNCTION("""COMPUTED_VALUE"""),"2026-08-28 19:05:59")</f>
        <v>2026-08-28 19:05:59</v>
      </c>
      <c r="C81" s="6" t="str">
        <f>IFERROR(__xludf.DUMMYFUNCTION("""COMPUTED_VALUE"""),"@postypashki_old")</f>
        <v>@postypashki_old</v>
      </c>
      <c r="D81" s="4" t="str">
        <f>IFERROR(__xludf.DUMMYFUNCTION("""COMPUTED_VALUE"""),"Контент с предложением курсов")</f>
        <v>Контент с предложением курсов</v>
      </c>
      <c r="E81" s="6" t="str">
        <f>IFERROR(__xludf.DUMMYFUNCTION("""COMPUTED_VALUE"""),"Backend про")</f>
        <v>Backend про</v>
      </c>
      <c r="F81" s="6" t="str">
        <f>IFERROR(__xludf.DUMMYFUNCTION("""COMPUTED_VALUE"""),"")</f>
        <v/>
      </c>
      <c r="G81" s="6" t="str">
        <f>IFERROR(__xludf.DUMMYFUNCTION("""COMPUTED_VALUE"""),"postypashki_old/1870")</f>
        <v>postypashki_old/1870</v>
      </c>
      <c r="H81" s="6" t="str">
        <f>IFERROR(__xludf.DUMMYFUNCTION("""COMPUTED_VALUE"""),"Самые интересные события в ближайшее время.
Все подобное вы можете обсудить в комментариях под этим постом или в нашем чате.
1. Стажировка Т-банк
Для участия нужно заполнить анкету и решить экзамены до 6 сентября на ограниченное время. Разборы экзаменов "&amp;"и рекомендации по прохождению, подачи будут на соответствующих курсах. 
➡️ Записаться
Как гарантировано пройти на стажировку обязательно смотрим здесь.
2. Стажировка Яндекс
Уже обновился контест на главную стажировку сезона. Для участия нужно решить всту"&amp;"пительных контест, обычно достаточно 2/3. Разборы экзаменов и рекомендации по прохождению, подачи будут на соответствующих курсах. 
➡️ Записаться
Как гарантировано пройти на стажировку обязательно смотрим здесь.
3. Стажировка Авито
На разработку. Для уча"&amp;"стия нужно подать заявку до 30 августа, выполнить тест, видеоинтервью, разбор теста на го будет на нашем курсе бэкенд про. 
➡️ Записаться. 
Просьба от админа к организаторам: сделайте пожалуйста централизованные отборы на все направления по примеру Т-бан"&amp;"ка. 
4. Сбер
Для участия нужно заполнить анкету, через какое-то время придет тестовое (пример тут) или свяжется HR и задаст стандартные вопросы по мотивации и технической части: в духе, сколько в гигабайте килобайт. Как пройти на стажировку обязательно с"&amp;"мотрим здесь.
5. VK 
В самом начале выбираете вакансию: не только направление, но и команду. Можно выбрать до двух вакансий. Далее ждет тестовое задание, на каждую вакансию оно разное. Отметим, что много вакансий с гибким графиком. Отзыв о ВК здесь.
6. "&amp;"Райффайзенбанк
Вакансий обычно немного, поэтому не печальтесь, если сразу придет реджект. Попытаться стоит, но как всегда заполняем анкету с умом: пишем старшие курсы, город Москва и тд.
Также не забываем мониторить вакансии по компаниям, которые указаны"&amp;" тут. 
Еще помним про сезонные школы, за которыми удобно следить тоже на нашем сайте.
Подписаться: @postypashki_old")</f>
        <v>Самые интересные события в ближайшее время.
Все подобное вы можете обсудить в комментариях под этим постом или в нашем чате.
1. Стажировка Т-банк
Для участия нужно заполнить анкету и решить экзамены до 6 сентября на ограниченное время. Разборы экзаменов и рекомендации по прохождению, подачи будут на соответствующих курсах. 
➡️ Записаться
Как гарантировано пройти на стажировку обязательно смотрим здесь.
2. Стажировка Яндекс
Уже обновился контест на главную стажировку сезона. Для участия нужно решить вступительных контест, обычно достаточно 2/3. Разборы экзаменов и рекомендации по прохождению, подачи будут на соответствующих курсах. 
➡️ Записаться
Как гарантировано пройти на стажировку обязательно смотрим здесь.
3. Стажировка Авито
На разработку. Для участия нужно подать заявку до 30 августа, выполнить тест, видеоинтервью, разбор теста на го будет на нашем курсе бэкенд про. 
➡️ Записаться. 
Просьба от админа к организаторам: сделайте пожалуйста централизованные отборы на все направления по примеру Т-банка. 
4. Сбер
Для участия нужно заполнить анкету, через какое-то время придет тестовое (пример тут) или свяжется HR и задаст стандартные вопросы по мотивации и технической части: в духе, сколько в гигабайте килобайт. Как пройти на стажировку обязательно смотрим здесь.
5. VK 
В самом начале выбираете вакансию: не только направление, но и команду. Можно выбрать до двух вакансий. Далее ждет тестовое задание, на каждую вакансию оно разное. Отметим, что много вакансий с гибким графиком. Отзыв о ВК здесь.
6. Райффайзенбанк
Вакансий обычно немного, поэтому не печальтесь, если сразу придет реджект. Попытаться стоит, но как всегда заполняем анкету с умом: пишем старшие курсы, город Москва и тд.
Также не забываем мониторить вакансии по компаниям, которые указаны тут. 
Еще помним про сезонные школы, за которыми удобно следить тоже на нашем сайте.
Подписаться: @postypashki_old</v>
      </c>
      <c r="I81" s="6" t="str">
        <f>IFERROR(__xludf.DUMMYFUNCTION("""COMPUTED_VALUE"""),"internal")</f>
        <v>internal</v>
      </c>
      <c r="J81" s="10" t="str">
        <f>IFERROR(__xludf.DUMMYFUNCTION("""COMPUTED_VALUE"""),"https://t.me/postypashki_old/1870")</f>
        <v>https://t.me/postypashki_old/1870</v>
      </c>
      <c r="K81" s="6">
        <f>IFERROR(__xludf.DUMMYFUNCTION("""COMPUTED_VALUE"""),19500.0)</f>
        <v>19500</v>
      </c>
      <c r="L81" s="6">
        <f>IFERROR(__xludf.DUMMYFUNCTION("""COMPUTED_VALUE"""),36.0)</f>
        <v>36</v>
      </c>
      <c r="M81" s="6" t="str">
        <f>IFERROR(__xludf.DUMMYFUNCTION("""COMPUTED_VALUE"""),"")</f>
        <v/>
      </c>
      <c r="N81" s="6" t="str">
        <f>IFERROR(__xludf.DUMMYFUNCTION("""COMPUTED_VALUE"""),"Telegram")</f>
        <v>Telegram</v>
      </c>
      <c r="O81" s="6" t="str">
        <f>IFERROR(__xludf.DUMMYFUNCTION("""COMPUTED_VALUE"""),"raw")</f>
        <v>raw</v>
      </c>
      <c r="P81" s="6" t="str">
        <f>IFERROR(__xludf.DUMMYFUNCTION("""COMPUTED_VALUE"""),"Codex")</f>
        <v>Codex</v>
      </c>
      <c r="Q81" s="6" t="str">
        <f>IFERROR(__xludf.DUMMYFUNCTION("""COMPUTED_VALUE"""),"Самые интересные события в ближайшее время. Все подобное вы можете обсудить в комментариях под этим постом или в нашем чате. 1. Стажировка Т-банк Для участия нужно заполнить анкету")</f>
        <v>Самые интересные события в ближайшее время. Все подобное вы можете обсудить в комментариях под этим постом или в нашем чате. 1. Стажировка Т-банк Для участия нужно заполнить анкету</v>
      </c>
      <c r="R81" s="6" t="str">
        <f>IFERROR(__xludf.DUMMYFUNCTION("""COMPUTED_VALUE"""),"internal")</f>
        <v>internal</v>
      </c>
      <c r="S81" s="6" t="str">
        <f>IFERROR(__xludf.DUMMYFUNCTION("""COMPUTED_VALUE"""),"unknown")</f>
        <v>unknown</v>
      </c>
      <c r="T81" s="6" t="str">
        <f>IFERROR(__xludf.DUMMYFUNCTION("""COMPUTED_VALUE"""),"telegram_internal")</f>
        <v>telegram_internal</v>
      </c>
      <c r="U81" s="6" t="str">
        <f>IFERROR(__xludf.DUMMYFUNCTION("""COMPUTED_VALUE"""),"Контент с предложением курсов")</f>
        <v>Контент с предложением курсов</v>
      </c>
      <c r="V81" s="6" t="str">
        <f>IFERROR(__xludf.DUMMYFUNCTION("""COMPUTED_VALUE"""),"Период продаж")</f>
        <v>Период продаж</v>
      </c>
      <c r="W81" s="6"/>
      <c r="X81" s="6"/>
      <c r="Y81" s="6" t="str">
        <f>IFERROR(__xludf.DUMMYFUNCTION("""COMPUTED_VALUE"""),"")</f>
        <v/>
      </c>
      <c r="Z81" s="6" t="str">
        <f>IFERROR(__xludf.DUMMYFUNCTION("""COMPUTED_VALUE"""),"")</f>
        <v/>
      </c>
      <c r="AA81" s="6" t="b">
        <f>IFERROR(__xludf.DUMMYFUNCTION("""COMPUTED_VALUE"""),TRUE)</f>
        <v>1</v>
      </c>
      <c r="AB81" s="6" t="b">
        <f>IFERROR(__xludf.DUMMYFUNCTION("""COMPUTED_VALUE"""),FALSE)</f>
        <v>0</v>
      </c>
      <c r="AC81" s="6" t="b">
        <f>IFERROR(__xludf.DUMMYFUNCTION("""COMPUTED_VALUE"""),FALSE)</f>
        <v>0</v>
      </c>
      <c r="AD81" s="6" t="b">
        <f>IFERROR(__xludf.DUMMYFUNCTION("""COMPUTED_VALUE"""),FALSE)</f>
        <v>0</v>
      </c>
      <c r="AE81" s="6"/>
      <c r="AF81" s="6" t="b">
        <f>IFERROR(__xludf.DUMMYFUNCTION("""COMPUTED_VALUE"""),FALSE)</f>
        <v>0</v>
      </c>
      <c r="AG81" s="6" t="str">
        <f>IFERROR(__xludf.DUMMYFUNCTION("""COMPUTED_VALUE"""),"2026-08-28T16:05:59+00:00")</f>
        <v>2026-08-28T16:05:59+00:00</v>
      </c>
      <c r="AH81" s="6" t="str">
        <f>IFERROR(__xludf.DUMMYFUNCTION("""COMPUTED_VALUE"""),"")</f>
        <v/>
      </c>
      <c r="AI81" s="6" t="str">
        <f>IFERROR(__xludf.DUMMYFUNCTION("""COMPUTED_VALUE"""),"#N/A")</f>
        <v>#N/A</v>
      </c>
      <c r="AJ81" s="9" t="s">
        <v>224</v>
      </c>
      <c r="AK81" s="9" t="s">
        <v>213</v>
      </c>
      <c r="AL81" s="4" t="s">
        <v>246</v>
      </c>
      <c r="AM81" s="9" t="s">
        <v>219</v>
      </c>
      <c r="AN81" s="4" t="str">
        <f>IFERROR(__xludf.DUMMYFUNCTION("IF(OR(AJ81=""general_brand"",AJ81=""external"",AJ81=""unknown""),"""",IF(AJ81=""product_line"",IF(AK81=""START"",""Аналитика старт | Алгоритмы старт | Backend старт | ML старт"",IF(AK81=""PRO"",""AI-агенты про | Алгоритмы про | Аналитика про | ML про | Ba"&amp;"ckend про"",IF(AK81=""START | PRO"",""Аналитика старт | Алгоритмы старт | Backend старт | ML старт | AI-агенты про | Алгоритмы про | Аналитика про | ML про | Backend про"",""""))),TEXTJOIN("" | "",TRUE,IF(REGEXMATCH(LOWER(AL81&amp;"" | ""&amp;E81),""аналитика ста"&amp;"рт""),""Аналитика старт"",""""),IF(REGEXMATCH(LOWER(AL81&amp;"" | ""&amp;E81),""алгоритмы старт""),""Алгоритмы старт"",""""),IF(REGEXMATCH(LOWER(AL81&amp;"" | ""&amp;E81),""backend старт""),""Backend старт"",""""),IF(REGEXMATCH(LOWER(AL81&amp;"" | ""&amp;E81),""ml старт""),""ML "&amp;"старт"",""""),IF(REGEXMATCH(LOWER(AL81&amp;"" | ""&amp;E81),""ai[ -]?агент""),""AI-агенты про"",""""),IF(REGEXMATCH(LOWER(AL81&amp;"" | ""&amp;E81),""алгоритмы про""),""Алгоритмы про"",""""),IF(REGEXMATCH(LOWER(AL81&amp;"" | ""&amp;E81),""аналитика про""),""Аналитика про"","""")"&amp;",IF(REGEXMATCH(LOWER(AL81&amp;"" | ""&amp;E81),""ml про""),""ML про"",""""),IF(REGEXMATCH(LOWER(AL81&amp;"" | ""&amp;E81),""backend про""),""Backend про"",""""),IF(REGEXMATCH(LOWER(AL81&amp;"" | ""&amp;E81),""(а/в|ав|а в|ab)[ -]?тест""),""А/В-тесты"",""""),IF(REGEXMATCH(LOWER(AL"&amp;"81&amp;"" | ""&amp;E81),""data science""),""Data science"",""""),IF(REGEXMATCH(LOWER(AL81&amp;"" | ""&amp;E81),""data[- ]?инжен""),""Data-инженер"",""""),IF(REGEXMATCH(LOWER(AL81&amp;"" | ""&amp;E81),""frontend""),""Frontend"",""""))))"),"Backend про")</f>
        <v>Backend про</v>
      </c>
    </row>
    <row r="82">
      <c r="A82" s="6" t="str">
        <f>IFERROR(__xludf.DUMMYFUNCTION("""COMPUTED_VALUE"""),"INT-1872")</f>
        <v>INT-1872</v>
      </c>
      <c r="B82" s="6" t="str">
        <f>IFERROR(__xludf.DUMMYFUNCTION("""COMPUTED_VALUE"""),"2026-08-29 21:58:58")</f>
        <v>2026-08-29 21:58:58</v>
      </c>
      <c r="C82" s="6" t="str">
        <f>IFERROR(__xludf.DUMMYFUNCTION("""COMPUTED_VALUE"""),"@postypashki_old")</f>
        <v>@postypashki_old</v>
      </c>
      <c r="D82" s="4" t="str">
        <f>IFERROR(__xludf.DUMMYFUNCTION("""COMPUTED_VALUE"""),"Контент с предложением курсов")</f>
        <v>Контент с предложением курсов</v>
      </c>
      <c r="E82" s="6" t="str">
        <f>IFERROR(__xludf.DUMMYFUNCTION("""COMPUTED_VALUE"""),"ML про | Backend про | Алгоритмы про | Аналитика про | AI агенты")</f>
        <v>ML про | Backend про | Алгоритмы про | Аналитика про | AI агенты</v>
      </c>
      <c r="F82" s="6" t="str">
        <f>IFERROR(__xludf.DUMMYFUNCTION("""COMPUTED_VALUE"""),"")</f>
        <v/>
      </c>
      <c r="G82" s="6" t="str">
        <f>IFERROR(__xludf.DUMMYFUNCTION("""COMPUTED_VALUE"""),"postypashki_old/1872")</f>
        <v>postypashki_old/1872</v>
      </c>
      <c r="H82" s="6" t="str">
        <f>IFERROR(__xludf.DUMMYFUNCTION("""COMPUTED_VALUE"""),"❗️ Яндекс обновил контест на стажировку, задания тут, а их разбор уже выложен на наших курсах:
➡️ алгоритмы про
➡️ бэкенд разработка про
➡️ аналитика про
➡️ машинное обучение про
➡️ ИИ-агенты ПРО — новое направление 🔥
Помимо разборов, которые проходят "&amp;"все скрытые тесты на наличие ИИ в решениях, на наших курсах вы получаете:
🔽 Курс по выходу на доход в валюте
🔽 Разбор текущей стажировки Т-банк 
🔽 Гарантия оффера
🔽 Рефералка в бигтех после защиты пет-проекта
🔽 mock-собеседования с обратной связью
У"&amp;"спей написать администратору и не откладывай: задания могут скоро поменять!")</f>
        <v>❗️ Яндекс обновил контест на стажировку, задания тут, а их разбор уже выложен на наших курсах:
➡️ алгоритмы про
➡️ бэкенд разработка про
➡️ аналитика про
➡️ машинное обучение про
➡️ ИИ-агенты ПРО — новое направление 🔥
Помимо разборов, которые проходят все скрытые тесты на наличие ИИ в решениях, на наших курсах вы получаете:
🔽 Курс по выходу на доход в валюте
🔽 Разбор текущей стажировки Т-банк 
🔽 Гарантия оффера
🔽 Рефералка в бигтех после защиты пет-проекта
🔽 mock-собеседования с обратной связью
Успей написать администратору и не откладывай: задания могут скоро поменять!</v>
      </c>
      <c r="I82" s="6" t="str">
        <f>IFERROR(__xludf.DUMMYFUNCTION("""COMPUTED_VALUE"""),"internal")</f>
        <v>internal</v>
      </c>
      <c r="J82" s="10" t="str">
        <f>IFERROR(__xludf.DUMMYFUNCTION("""COMPUTED_VALUE"""),"https://t.me/postypashki_old/1872")</f>
        <v>https://t.me/postypashki_old/1872</v>
      </c>
      <c r="K82" s="6">
        <f>IFERROR(__xludf.DUMMYFUNCTION("""COMPUTED_VALUE"""),20100.0)</f>
        <v>20100</v>
      </c>
      <c r="L82" s="6">
        <f>IFERROR(__xludf.DUMMYFUNCTION("""COMPUTED_VALUE"""),24.0)</f>
        <v>24</v>
      </c>
      <c r="M82" s="6" t="str">
        <f>IFERROR(__xludf.DUMMYFUNCTION("""COMPUTED_VALUE"""),"")</f>
        <v/>
      </c>
      <c r="N82" s="6" t="str">
        <f>IFERROR(__xludf.DUMMYFUNCTION("""COMPUTED_VALUE"""),"Telegram")</f>
        <v>Telegram</v>
      </c>
      <c r="O82" s="6" t="str">
        <f>IFERROR(__xludf.DUMMYFUNCTION("""COMPUTED_VALUE"""),"raw")</f>
        <v>raw</v>
      </c>
      <c r="P82" s="6" t="str">
        <f>IFERROR(__xludf.DUMMYFUNCTION("""COMPUTED_VALUE"""),"Codex")</f>
        <v>Codex</v>
      </c>
      <c r="Q82" s="6" t="str">
        <f>IFERROR(__xludf.DUMMYFUNCTION("""COMPUTED_VALUE"""),"❗️ Яндекс обновил контест на стажировку, задания тут, а их разбор уже выложен на наших курсах: ➡️ алгоритмы про ➡️ бэкенд разработка про ➡️ аналитика про ➡️ машинное обучение про ➡")</f>
        <v>❗️ Яндекс обновил контест на стажировку, задания тут, а их разбор уже выложен на наших курсах: ➡️ алгоритмы про ➡️ бэкенд разработка про ➡️ аналитика про ➡️ машинное обучение про ➡</v>
      </c>
      <c r="R82" s="6" t="str">
        <f>IFERROR(__xludf.DUMMYFUNCTION("""COMPUTED_VALUE"""),"internal")</f>
        <v>internal</v>
      </c>
      <c r="S82" s="6" t="str">
        <f>IFERROR(__xludf.DUMMYFUNCTION("""COMPUTED_VALUE"""),"unknown")</f>
        <v>unknown</v>
      </c>
      <c r="T82" s="6" t="str">
        <f>IFERROR(__xludf.DUMMYFUNCTION("""COMPUTED_VALUE"""),"telegram_internal")</f>
        <v>telegram_internal</v>
      </c>
      <c r="U82" s="6" t="str">
        <f>IFERROR(__xludf.DUMMYFUNCTION("""COMPUTED_VALUE"""),"Контент с предложением курсов")</f>
        <v>Контент с предложением курсов</v>
      </c>
      <c r="V82" s="6" t="str">
        <f>IFERROR(__xludf.DUMMYFUNCTION("""COMPUTED_VALUE"""),"Период продаж")</f>
        <v>Период продаж</v>
      </c>
      <c r="W82" s="6" t="str">
        <f>IFERROR(__xludf.DUMMYFUNCTION("""COMPUTED_VALUE"""),"Фото")</f>
        <v>Фото</v>
      </c>
      <c r="X82" s="6"/>
      <c r="Y82" s="6" t="str">
        <f>IFERROR(__xludf.DUMMYFUNCTION("""COMPUTED_VALUE"""),"")</f>
        <v/>
      </c>
      <c r="Z82" s="6" t="str">
        <f>IFERROR(__xludf.DUMMYFUNCTION("""COMPUTED_VALUE"""),"")</f>
        <v/>
      </c>
      <c r="AA82" s="6" t="b">
        <f>IFERROR(__xludf.DUMMYFUNCTION("""COMPUTED_VALUE"""),TRUE)</f>
        <v>1</v>
      </c>
      <c r="AB82" s="6" t="b">
        <f>IFERROR(__xludf.DUMMYFUNCTION("""COMPUTED_VALUE"""),FALSE)</f>
        <v>0</v>
      </c>
      <c r="AC82" s="6" t="b">
        <f>IFERROR(__xludf.DUMMYFUNCTION("""COMPUTED_VALUE"""),TRUE)</f>
        <v>1</v>
      </c>
      <c r="AD82" s="6" t="b">
        <f>IFERROR(__xludf.DUMMYFUNCTION("""COMPUTED_VALUE"""),FALSE)</f>
        <v>0</v>
      </c>
      <c r="AE82" s="6"/>
      <c r="AF82" s="6" t="b">
        <f>IFERROR(__xludf.DUMMYFUNCTION("""COMPUTED_VALUE"""),FALSE)</f>
        <v>0</v>
      </c>
      <c r="AG82" s="6" t="str">
        <f>IFERROR(__xludf.DUMMYFUNCTION("""COMPUTED_VALUE"""),"2026-08-29T18:58:58+00:00")</f>
        <v>2026-08-29T18:58:58+00:00</v>
      </c>
      <c r="AH82" s="6" t="str">
        <f>IFERROR(__xludf.DUMMYFUNCTION("""COMPUTED_VALUE"""),"")</f>
        <v/>
      </c>
      <c r="AI82" s="6" t="str">
        <f>IFERROR(__xludf.DUMMYFUNCTION("""COMPUTED_VALUE"""),"#N/A")</f>
        <v>#N/A</v>
      </c>
      <c r="AJ82" s="9" t="s">
        <v>223</v>
      </c>
      <c r="AK82" s="9" t="s">
        <v>242</v>
      </c>
      <c r="AL82" s="4" t="s">
        <v>247</v>
      </c>
      <c r="AM82" s="9" t="s">
        <v>237</v>
      </c>
      <c r="AN82" s="4" t="str">
        <f>IFERROR(__xludf.DUMMYFUNCTION("IF(OR(AJ82=""general_brand"",AJ82=""external"",AJ82=""unknown""),"""",IF(AJ82=""product_line"",IF(AK82=""START"",""Аналитика старт | Алгоритмы старт | Backend старт | ML старт"",IF(AK82=""PRO"",""AI-агенты про | Алгоритмы про | Аналитика про | ML про | Ba"&amp;"ckend про"",IF(AK82=""START | PRO"",""Аналитика старт | Алгоритмы старт | Backend старт | ML старт | AI-агенты про | Алгоритмы про | Аналитика про | ML про | Backend про"",""""))),TEXTJOIN("" | "",TRUE,IF(REGEXMATCH(LOWER(AL82&amp;"" | ""&amp;E82),""аналитика ста"&amp;"рт""),""Аналитика старт"",""""),IF(REGEXMATCH(LOWER(AL82&amp;"" | ""&amp;E82),""алгоритмы старт""),""Алгоритмы старт"",""""),IF(REGEXMATCH(LOWER(AL82&amp;"" | ""&amp;E82),""backend старт""),""Backend старт"",""""),IF(REGEXMATCH(LOWER(AL82&amp;"" | ""&amp;E82),""ml старт""),""ML "&amp;"старт"",""""),IF(REGEXMATCH(LOWER(AL82&amp;"" | ""&amp;E82),""ai[ -]?агент""),""AI-агенты про"",""""),IF(REGEXMATCH(LOWER(AL82&amp;"" | ""&amp;E82),""алгоритмы про""),""Алгоритмы про"",""""),IF(REGEXMATCH(LOWER(AL82&amp;"" | ""&amp;E82),""аналитика про""),""Аналитика про"","""")"&amp;",IF(REGEXMATCH(LOWER(AL82&amp;"" | ""&amp;E82),""ml про""),""ML про"",""""),IF(REGEXMATCH(LOWER(AL82&amp;"" | ""&amp;E82),""backend про""),""Backend про"",""""),IF(REGEXMATCH(LOWER(AL82&amp;"" | ""&amp;E82),""(а/в|ав|а в|ab)[ -]?тест""),""А/В-тесты"",""""),IF(REGEXMATCH(LOWER(AL"&amp;"82&amp;"" | ""&amp;E82),""data science""),""Data science"",""""),IF(REGEXMATCH(LOWER(AL82&amp;"" | ""&amp;E82),""data[- ]?инжен""),""Data-инженер"",""""),IF(REGEXMATCH(LOWER(AL82&amp;"" | ""&amp;E82),""frontend""),""Frontend"",""""))))"),"AI-агенты про | Алгоритмы про | Аналитика про | ML про | Backend про")</f>
        <v>AI-агенты про | Алгоритмы про | Аналитика про | ML про | Backend про</v>
      </c>
    </row>
    <row r="83">
      <c r="A83" s="6" t="str">
        <f>IFERROR(__xludf.DUMMYFUNCTION("""COMPUTED_VALUE"""),"INT-1874")</f>
        <v>INT-1874</v>
      </c>
      <c r="B83" s="6" t="str">
        <f>IFERROR(__xludf.DUMMYFUNCTION("""COMPUTED_VALUE"""),"2026-08-30 16:26:37")</f>
        <v>2026-08-30 16:26:37</v>
      </c>
      <c r="C83" s="6" t="str">
        <f>IFERROR(__xludf.DUMMYFUNCTION("""COMPUTED_VALUE"""),"@postypashki_old")</f>
        <v>@postypashki_old</v>
      </c>
      <c r="D83" s="4" t="str">
        <f>IFERROR(__xludf.DUMMYFUNCTION("""COMPUTED_VALUE"""),"Промо со скидкой")</f>
        <v>Промо со скидкой</v>
      </c>
      <c r="E83" s="6"/>
      <c r="F83" s="6" t="str">
        <f>IFERROR(__xludf.DUMMYFUNCTION("""COMPUTED_VALUE"""),"")</f>
        <v/>
      </c>
      <c r="G83" s="6" t="str">
        <f>IFERROR(__xludf.DUMMYFUNCTION("""COMPUTED_VALUE"""),"postypashki_old/1874")</f>
        <v>postypashki_old/1874</v>
      </c>
      <c r="H83" s="6" t="str">
        <f>IFERROR(__xludf.DUMMYFUNCTION("""COMPUTED_VALUE"""),"ИИ-инженеры зарабатывают 300к/наносек! 
В вебинаре разобрали, что сегодня ждут от начинающего АI-специалиста: какие темы проверяют на технических интервью, как выглядят реальные кейсы и почему сейчас это самый простой способ вката в МЛ. Смотрим! Смотрим!"&amp;" 
https://www.youtube.com/watch?v=0TiWWZwt43Y
И да: в конце записи спрятан промокод на мощную скидку.")</f>
        <v>ИИ-инженеры зарабатывают 300к/наносек! 
В вебинаре разобрали, что сегодня ждут от начинающего АI-специалиста: какие темы проверяют на технических интервью, как выглядят реальные кейсы и почему сейчас это самый простой способ вката в МЛ. Смотрим! Смотрим! 
https://www.youtube.com/watch?v=0TiWWZwt43Y
И да: в конце записи спрятан промокод на мощную скидку.</v>
      </c>
      <c r="I83" s="6" t="str">
        <f>IFERROR(__xludf.DUMMYFUNCTION("""COMPUTED_VALUE"""),"internal")</f>
        <v>internal</v>
      </c>
      <c r="J83" s="10" t="str">
        <f>IFERROR(__xludf.DUMMYFUNCTION("""COMPUTED_VALUE"""),"https://t.me/postypashki_old/1874")</f>
        <v>https://t.me/postypashki_old/1874</v>
      </c>
      <c r="K83" s="6">
        <f>IFERROR(__xludf.DUMMYFUNCTION("""COMPUTED_VALUE"""),19200.0)</f>
        <v>19200</v>
      </c>
      <c r="L83" s="6">
        <f>IFERROR(__xludf.DUMMYFUNCTION("""COMPUTED_VALUE"""),48.0)</f>
        <v>48</v>
      </c>
      <c r="M83" s="6" t="str">
        <f>IFERROR(__xludf.DUMMYFUNCTION("""COMPUTED_VALUE"""),"")</f>
        <v/>
      </c>
      <c r="N83" s="6" t="str">
        <f>IFERROR(__xludf.DUMMYFUNCTION("""COMPUTED_VALUE"""),"Telegram")</f>
        <v>Telegram</v>
      </c>
      <c r="O83" s="6" t="str">
        <f>IFERROR(__xludf.DUMMYFUNCTION("""COMPUTED_VALUE"""),"raw")</f>
        <v>raw</v>
      </c>
      <c r="P83" s="6" t="str">
        <f>IFERROR(__xludf.DUMMYFUNCTION("""COMPUTED_VALUE"""),"Codex")</f>
        <v>Codex</v>
      </c>
      <c r="Q83" s="6" t="str">
        <f>IFERROR(__xludf.DUMMYFUNCTION("""COMPUTED_VALUE"""),"ИИ-инженеры зарабатывают 300к/наносек! В вебинаре разобрали, что сегодня ждут от начинающего АI-специалиста: какие темы проверяют на технических интервью, как выглядят реальные кей")</f>
        <v>ИИ-инженеры зарабатывают 300к/наносек! В вебинаре разобрали, что сегодня ждут от начинающего АI-специалиста: какие темы проверяют на технических интервью, как выглядят реальные кей</v>
      </c>
      <c r="R83" s="6" t="str">
        <f>IFERROR(__xludf.DUMMYFUNCTION("""COMPUTED_VALUE"""),"internal")</f>
        <v>internal</v>
      </c>
      <c r="S83" s="6" t="str">
        <f>IFERROR(__xludf.DUMMYFUNCTION("""COMPUTED_VALUE"""),"unknown")</f>
        <v>unknown</v>
      </c>
      <c r="T83" s="6" t="str">
        <f>IFERROR(__xludf.DUMMYFUNCTION("""COMPUTED_VALUE"""),"telegram_internal")</f>
        <v>telegram_internal</v>
      </c>
      <c r="U83" s="6" t="str">
        <f>IFERROR(__xludf.DUMMYFUNCTION("""COMPUTED_VALUE"""),"Промо со скидкой")</f>
        <v>Промо со скидкой</v>
      </c>
      <c r="V83" s="6" t="str">
        <f>IFERROR(__xludf.DUMMYFUNCTION("""COMPUTED_VALUE"""),"Период продаж")</f>
        <v>Период продаж</v>
      </c>
      <c r="W83" s="6"/>
      <c r="X83" s="6"/>
      <c r="Y83" s="6" t="str">
        <f>IFERROR(__xludf.DUMMYFUNCTION("""COMPUTED_VALUE"""),"")</f>
        <v/>
      </c>
      <c r="Z83" s="6" t="str">
        <f>IFERROR(__xludf.DUMMYFUNCTION("""COMPUTED_VALUE"""),"")</f>
        <v/>
      </c>
      <c r="AA83" s="6" t="b">
        <f>IFERROR(__xludf.DUMMYFUNCTION("""COMPUTED_VALUE"""),FALSE)</f>
        <v>0</v>
      </c>
      <c r="AB83" s="6" t="b">
        <f>IFERROR(__xludf.DUMMYFUNCTION("""COMPUTED_VALUE"""),TRUE)</f>
        <v>1</v>
      </c>
      <c r="AC83" s="6" t="b">
        <f>IFERROR(__xludf.DUMMYFUNCTION("""COMPUTED_VALUE"""),FALSE)</f>
        <v>0</v>
      </c>
      <c r="AD83" s="6" t="b">
        <f>IFERROR(__xludf.DUMMYFUNCTION("""COMPUTED_VALUE"""),FALSE)</f>
        <v>0</v>
      </c>
      <c r="AE83" s="6"/>
      <c r="AF83" s="6" t="b">
        <f>IFERROR(__xludf.DUMMYFUNCTION("""COMPUTED_VALUE"""),FALSE)</f>
        <v>0</v>
      </c>
      <c r="AG83" s="6" t="str">
        <f>IFERROR(__xludf.DUMMYFUNCTION("""COMPUTED_VALUE"""),"2026-08-30T13:26:37+00:00")</f>
        <v>2026-08-30T13:26:37+00:00</v>
      </c>
      <c r="AH83" s="6" t="str">
        <f>IFERROR(__xludf.DUMMYFUNCTION("""COMPUTED_VALUE"""),"")</f>
        <v/>
      </c>
      <c r="AI83" s="6" t="str">
        <f>IFERROR(__xludf.DUMMYFUNCTION("""COMPUTED_VALUE"""),"#N/A")</f>
        <v>#N/A</v>
      </c>
      <c r="AJ83" s="9" t="s">
        <v>233</v>
      </c>
      <c r="AM83" s="9" t="s">
        <v>226</v>
      </c>
      <c r="AN83" s="6" t="str">
        <f>IFERROR(__xludf.DUMMYFUNCTION("IF(OR(AJ83=""general_brand"",AJ83=""external"",AJ83=""unknown""),"""",IF(AJ83=""product_line"",IF(AK83=""START"",""Аналитика старт | Алгоритмы старт | Backend старт | ML старт"",IF(AK83=""PRO"",""AI-агенты про | Алгоритмы про | Аналитика про | ML про | Ba"&amp;"ckend про"",IF(AK83=""START | PRO"",""Аналитика старт | Алгоритмы старт | Backend старт | ML старт | AI-агенты про | Алгоритмы про | Аналитика про | ML про | Backend про"",""""))),TEXTJOIN("" | "",TRUE,IF(REGEXMATCH(LOWER(AL83&amp;"" | ""&amp;E83),""аналитика ста"&amp;"рт""),""Аналитика старт"",""""),IF(REGEXMATCH(LOWER(AL83&amp;"" | ""&amp;E83),""алгоритмы старт""),""Алгоритмы старт"",""""),IF(REGEXMATCH(LOWER(AL83&amp;"" | ""&amp;E83),""backend старт""),""Backend старт"",""""),IF(REGEXMATCH(LOWER(AL83&amp;"" | ""&amp;E83),""ml старт""),""ML "&amp;"старт"",""""),IF(REGEXMATCH(LOWER(AL83&amp;"" | ""&amp;E83),""ai[ -]?агент""),""AI-агенты про"",""""),IF(REGEXMATCH(LOWER(AL83&amp;"" | ""&amp;E83),""алгоритмы про""),""Алгоритмы про"",""""),IF(REGEXMATCH(LOWER(AL83&amp;"" | ""&amp;E83),""аналитика про""),""Аналитика про"","""")"&amp;",IF(REGEXMATCH(LOWER(AL83&amp;"" | ""&amp;E83),""ml про""),""ML про"",""""),IF(REGEXMATCH(LOWER(AL83&amp;"" | ""&amp;E83),""backend про""),""Backend про"",""""),IF(REGEXMATCH(LOWER(AL83&amp;"" | ""&amp;E83),""(а/в|ав|а в|ab)[ -]?тест""),""А/В-тесты"",""""),IF(REGEXMATCH(LOWER(AL"&amp;"83&amp;"" | ""&amp;E83),""data science""),""Data science"",""""),IF(REGEXMATCH(LOWER(AL83&amp;"" | ""&amp;E83),""data[- ]?инжен""),""Data-инженер"",""""),IF(REGEXMATCH(LOWER(AL83&amp;"" | ""&amp;E83),""frontend""),""Frontend"",""""))))"),"")</f>
        <v/>
      </c>
    </row>
    <row r="84">
      <c r="A84" s="6" t="str">
        <f>IFERROR(__xludf.DUMMYFUNCTION("""COMPUTED_VALUE"""),"INT-1875")</f>
        <v>INT-1875</v>
      </c>
      <c r="B84" s="6" t="str">
        <f>IFERROR(__xludf.DUMMYFUNCTION("""COMPUTED_VALUE"""),"2026-08-31 17:11:02")</f>
        <v>2026-08-31 17:11:02</v>
      </c>
      <c r="C84" s="6" t="str">
        <f>IFERROR(__xludf.DUMMYFUNCTION("""COMPUTED_VALUE"""),"@postypashki_old")</f>
        <v>@postypashki_old</v>
      </c>
      <c r="D84" s="4" t="str">
        <f>IFERROR(__xludf.DUMMYFUNCTION("""COMPUTED_VALUE"""),"Контент с предложением курсов")</f>
        <v>Контент с предложением курсов</v>
      </c>
      <c r="E84" s="6"/>
      <c r="F84" s="6" t="str">
        <f>IFERROR(__xludf.DUMMYFUNCTION("""COMPUTED_VALUE"""),"")</f>
        <v/>
      </c>
      <c r="G84" s="6" t="str">
        <f>IFERROR(__xludf.DUMMYFUNCTION("""COMPUTED_VALUE"""),"postypashki_old/1875")</f>
        <v>postypashki_old/1875</v>
      </c>
      <c r="H84" s="6" t="str">
        <f>IFERROR(__xludf.DUMMYFUNCTION("""COMPUTED_VALUE"""),"Открылся отбор на стажировку в Т-Банк 
Задачи уже выложены в нашем чате (тут). 
Специально для участников курсов про уже мы уже выложили разбор соответствующих экзаменов. В разборе мы покажем подход к решению задач и как оформить ответ, чтобы получить в"&amp;"ысокий балл.  
Также на курсах будет доступно:
🔽 Курс по выходу на доход в валюте
🔽 Разбор текущей стажировки Яндекса
🔽 Гарантия оффера
🔽 Огромный банк технических вопросов
🔽 Рефералка в бигтех после защиты пет-проекта
🔽 mock-собеседования с обратн"&amp;"ой связью
📌 Вопросы и запись — менеджеру")</f>
        <v>Открылся отбор на стажировку в Т-Банк 
Задачи уже выложены в нашем чате (тут). 
Специально для участников курсов про уже мы уже выложили разбор соответствующих экзаменов. В разборе мы покажем подход к решению задач и как оформить ответ, чтобы получить высокий балл.  
Также на курсах будет доступно:
🔽 Курс по выходу на доход в валюте
🔽 Разбор текущей стажировки Яндекса
🔽 Гарантия оффера
🔽 Огромный банк технических вопросов
🔽 Рефералка в бигтех после защиты пет-проекта
🔽 mock-собеседования с обратной связью
📌 Вопросы и запись — менеджеру</v>
      </c>
      <c r="I84" s="6" t="str">
        <f>IFERROR(__xludf.DUMMYFUNCTION("""COMPUTED_VALUE"""),"internal")</f>
        <v>internal</v>
      </c>
      <c r="J84" s="10" t="str">
        <f>IFERROR(__xludf.DUMMYFUNCTION("""COMPUTED_VALUE"""),"https://t.me/postypashki_old/1875")</f>
        <v>https://t.me/postypashki_old/1875</v>
      </c>
      <c r="K84" s="6">
        <f>IFERROR(__xludf.DUMMYFUNCTION("""COMPUTED_VALUE"""),20300.0)</f>
        <v>20300</v>
      </c>
      <c r="L84" s="6">
        <f>IFERROR(__xludf.DUMMYFUNCTION("""COMPUTED_VALUE"""),25.0)</f>
        <v>25</v>
      </c>
      <c r="M84" s="6" t="str">
        <f>IFERROR(__xludf.DUMMYFUNCTION("""COMPUTED_VALUE"""),"")</f>
        <v/>
      </c>
      <c r="N84" s="6" t="str">
        <f>IFERROR(__xludf.DUMMYFUNCTION("""COMPUTED_VALUE"""),"Telegram")</f>
        <v>Telegram</v>
      </c>
      <c r="O84" s="6" t="str">
        <f>IFERROR(__xludf.DUMMYFUNCTION("""COMPUTED_VALUE"""),"raw")</f>
        <v>raw</v>
      </c>
      <c r="P84" s="6" t="str">
        <f>IFERROR(__xludf.DUMMYFUNCTION("""COMPUTED_VALUE"""),"Codex")</f>
        <v>Codex</v>
      </c>
      <c r="Q84" s="6" t="str">
        <f>IFERROR(__xludf.DUMMYFUNCTION("""COMPUTED_VALUE"""),"Открылся отбор на стажировку в Т-Банк Задачи уже выложены в нашем чате (тут). Специально для участников курсов про уже мы уже выложили разбор соответствующих экзаменов. В разборе м")</f>
        <v>Открылся отбор на стажировку в Т-Банк Задачи уже выложены в нашем чате (тут). Специально для участников курсов про уже мы уже выложили разбор соответствующих экзаменов. В разборе м</v>
      </c>
      <c r="R84" s="6" t="str">
        <f>IFERROR(__xludf.DUMMYFUNCTION("""COMPUTED_VALUE"""),"internal")</f>
        <v>internal</v>
      </c>
      <c r="S84" s="6" t="str">
        <f>IFERROR(__xludf.DUMMYFUNCTION("""COMPUTED_VALUE"""),"unknown")</f>
        <v>unknown</v>
      </c>
      <c r="T84" s="6" t="str">
        <f>IFERROR(__xludf.DUMMYFUNCTION("""COMPUTED_VALUE"""),"telegram_internal")</f>
        <v>telegram_internal</v>
      </c>
      <c r="U84" s="6" t="str">
        <f>IFERROR(__xludf.DUMMYFUNCTION("""COMPUTED_VALUE"""),"Контент с предложением курсов")</f>
        <v>Контент с предложением курсов</v>
      </c>
      <c r="V84" s="6" t="str">
        <f>IFERROR(__xludf.DUMMYFUNCTION("""COMPUTED_VALUE"""),"Период продаж")</f>
        <v>Период продаж</v>
      </c>
      <c r="W84" s="6" t="str">
        <f>IFERROR(__xludf.DUMMYFUNCTION("""COMPUTED_VALUE"""),"Видео")</f>
        <v>Видео</v>
      </c>
      <c r="X84" s="6"/>
      <c r="Y84" s="6" t="str">
        <f>IFERROR(__xludf.DUMMYFUNCTION("""COMPUTED_VALUE"""),"")</f>
        <v/>
      </c>
      <c r="Z84" s="6" t="str">
        <f>IFERROR(__xludf.DUMMYFUNCTION("""COMPUTED_VALUE"""),"")</f>
        <v/>
      </c>
      <c r="AA84" s="6" t="b">
        <f>IFERROR(__xludf.DUMMYFUNCTION("""COMPUTED_VALUE"""),TRUE)</f>
        <v>1</v>
      </c>
      <c r="AB84" s="6" t="b">
        <f>IFERROR(__xludf.DUMMYFUNCTION("""COMPUTED_VALUE"""),FALSE)</f>
        <v>0</v>
      </c>
      <c r="AC84" s="6" t="b">
        <f>IFERROR(__xludf.DUMMYFUNCTION("""COMPUTED_VALUE"""),FALSE)</f>
        <v>0</v>
      </c>
      <c r="AD84" s="6" t="b">
        <f>IFERROR(__xludf.DUMMYFUNCTION("""COMPUTED_VALUE"""),FALSE)</f>
        <v>0</v>
      </c>
      <c r="AE84" s="6"/>
      <c r="AF84" s="6" t="b">
        <f>IFERROR(__xludf.DUMMYFUNCTION("""COMPUTED_VALUE"""),FALSE)</f>
        <v>0</v>
      </c>
      <c r="AG84" s="6" t="str">
        <f>IFERROR(__xludf.DUMMYFUNCTION("""COMPUTED_VALUE"""),"2026-08-31T14:11:02+00:00")</f>
        <v>2026-08-31T14:11:02+00:00</v>
      </c>
      <c r="AH84" s="6" t="str">
        <f>IFERROR(__xludf.DUMMYFUNCTION("""COMPUTED_VALUE"""),"")</f>
        <v/>
      </c>
      <c r="AI84" s="6" t="str">
        <f>IFERROR(__xludf.DUMMYFUNCTION("""COMPUTED_VALUE"""),"#N/A")</f>
        <v>#N/A</v>
      </c>
      <c r="AJ84" s="9" t="s">
        <v>167</v>
      </c>
      <c r="AK84" s="9" t="s">
        <v>242</v>
      </c>
      <c r="AM84" s="9" t="s">
        <v>219</v>
      </c>
      <c r="AN84" s="4" t="str">
        <f>IFERROR(__xludf.DUMMYFUNCTION("IF(OR(AJ84=""general_brand"",AJ84=""external"",AJ84=""unknown""),"""",IF(AJ84=""product_line"",IF(AK84=""START"",""Аналитика старт | Алгоритмы старт | Backend старт | ML старт"",IF(AK84=""PRO"",""AI-агенты про | Алгоритмы про | Аналитика про | ML про | Ba"&amp;"ckend про"",IF(AK84=""START | PRO"",""Аналитика старт | Алгоритмы старт | Backend старт | ML старт | AI-агенты про | Алгоритмы про | Аналитика про | ML про | Backend про"",""""))),TEXTJOIN("" | "",TRUE,IF(REGEXMATCH(LOWER(AL84&amp;"" | ""&amp;E84),""аналитика ста"&amp;"рт""),""Аналитика старт"",""""),IF(REGEXMATCH(LOWER(AL84&amp;"" | ""&amp;E84),""алгоритмы старт""),""Алгоритмы старт"",""""),IF(REGEXMATCH(LOWER(AL84&amp;"" | ""&amp;E84),""backend старт""),""Backend старт"",""""),IF(REGEXMATCH(LOWER(AL84&amp;"" | ""&amp;E84),""ml старт""),""ML "&amp;"старт"",""""),IF(REGEXMATCH(LOWER(AL84&amp;"" | ""&amp;E84),""ai[ -]?агент""),""AI-агенты про"",""""),IF(REGEXMATCH(LOWER(AL84&amp;"" | ""&amp;E84),""алгоритмы про""),""Алгоритмы про"",""""),IF(REGEXMATCH(LOWER(AL84&amp;"" | ""&amp;E84),""аналитика про""),""Аналитика про"","""")"&amp;",IF(REGEXMATCH(LOWER(AL84&amp;"" | ""&amp;E84),""ml про""),""ML про"",""""),IF(REGEXMATCH(LOWER(AL84&amp;"" | ""&amp;E84),""backend про""),""Backend про"",""""),IF(REGEXMATCH(LOWER(AL84&amp;"" | ""&amp;E84),""(а/в|ав|а в|ab)[ -]?тест""),""А/В-тесты"",""""),IF(REGEXMATCH(LOWER(AL"&amp;"84&amp;"" | ""&amp;E84),""data science""),""Data science"",""""),IF(REGEXMATCH(LOWER(AL84&amp;"" | ""&amp;E84),""data[- ]?инжен""),""Data-инженер"",""""),IF(REGEXMATCH(LOWER(AL84&amp;"" | ""&amp;E84),""frontend""),""Frontend"",""""))))"),"AI-агенты про | Алгоритмы про | Аналитика про | ML про | Backend про")</f>
        <v>AI-агенты про | Алгоритмы про | Аналитика про | ML про | Backend про</v>
      </c>
    </row>
    <row r="85">
      <c r="A85" s="6" t="str">
        <f>IFERROR(__xludf.DUMMYFUNCTION("""COMPUTED_VALUE"""),"INT-1876")</f>
        <v>INT-1876</v>
      </c>
      <c r="B85" s="6" t="str">
        <f>IFERROR(__xludf.DUMMYFUNCTION("""COMPUTED_VALUE"""),"2026-09-01 20:40:56")</f>
        <v>2026-09-01 20:40:56</v>
      </c>
      <c r="C85" s="6" t="str">
        <f>IFERROR(__xludf.DUMMYFUNCTION("""COMPUTED_VALUE"""),"@postypashki_old")</f>
        <v>@postypashki_old</v>
      </c>
      <c r="D85" s="4" t="str">
        <f>IFERROR(__xludf.DUMMYFUNCTION("""COMPUTED_VALUE"""),"Контент с предложением курсов")</f>
        <v>Контент с предложением курсов</v>
      </c>
      <c r="E85" s="6"/>
      <c r="F85" s="6" t="str">
        <f>IFERROR(__xludf.DUMMYFUNCTION("""COMPUTED_VALUE"""),"")</f>
        <v/>
      </c>
      <c r="G85" s="6" t="str">
        <f>IFERROR(__xludf.DUMMYFUNCTION("""COMPUTED_VALUE"""),"postypashki_old/1876")</f>
        <v>postypashki_old/1876</v>
      </c>
      <c r="H85" s="6" t="str">
        <f>IFERROR(__xludf.DUMMYFUNCTION("""COMPUTED_VALUE"""),"Как НЕ продолбать год
В новом учебном году нас ждет море стажировок и образовательных программ— самое время наметить цели и планы, чтобы год не прошел впустую! 
Стажировки
Т-банк в самом разгаре, разбор уже выложен на наших курсах про. Яндекс уже обнови"&amp;"л контест и ждет новых заявок. ВК, Сбер, Озон, Касперский и другие либо уже открыли прием заявок, либо откроют в ближайшее время. За открытием стажировок удобно следить на нашем сайте. 
В общем не тупим и начинаем готовиться на наших курсах, экзамены нач"&amp;"нутся вот-вот. 
➡️ Записаться. 
Сезонные школы
Яндекс, Т-банк, ВК, МТС, Сбер и другие постоянно проводят какие-то курсы, школы, иногда даже в стенах вашего ВУЗа. Понятно, что ничего невероятного не стоит ждать от бесплатных курсов, кроме невероятного кол"&amp;"ичества кринжа, но зато выпускникам дают льготы для стажировки или позиции в штат. Так, например, рекрутеры в Т-банк, когда открывается стажерская вакансия, первым делом ищут кандидатов со своих академий и финтехов. Или например Яндекс участникам своих шк"&amp;"ол спокойно дает пересдавать секции по несколько раз. За всеми такими программами удобно следить на нашем сайте. 
Олимпиады 
Особенно стоит присмотреться выпускникам, планирующим поступать в магистратуру. Первые отборы начинаются не раньше октября. Обяза"&amp;"тельно пробуем свои силы в Я-профессионал, высшей лиге от ВШЭ, мега олимпиаде от ИТМО и тд. Вообще у каждого факультета есть своя олимпиада, которая по факту дает БВИ. Кроме перечисленных, еще есть универсиада от МГУ, олимпиада РЭШ, олимпиада Сколтеха и т"&amp;"д. Просто заходим на сайт интересующего факультета и смотрим льготы. Задания обычно не сложнее вступительных в магу, а если олимпиада от факультета, то к ней относятся просто как к досрочному экзамену. Участвовать лучше во всех олимпиадах, хотя бы чтоб оц"&amp;"енить свои силы и подготовку. Список самых топовых магистратур с инсайдами здесь.
Отдельная история олимпиады по алгоритмам и ML. Таких ребят нередко сами рекрутеры зовут на стажировки. О них напишем в будущих постах, если этот соберет 500 огоньков 🔥
Ш"&amp;"АД, Академия Авито
Отборы начинаются не раньше мая и хоть большая часть заданий доступна любому второкурснику— все это предстоит вспомнить. Многое даже предстоит изучить заново, ибо из-за большой нагрузки студенты в лучшем случае успеют научиться решать з"&amp;"адачи по алгоритму без понимания и успеют вызубрить теорию к экзамену. О каждой программе и подготовке к ней на нашем канале написан не один пост, ищем по ключевым словам или смотрим ролик.
Обязательно ставьте огонек🔥 и делитесь с друзьями, если пост ок"&amp;"азался для вас полезен.
Подписаться: @postypashki_old")</f>
        <v>Как НЕ продолбать год
В новом учебном году нас ждет море стажировок и образовательных программ— самое время наметить цели и планы, чтобы год не прошел впустую! 
Стажировки
Т-банк в самом разгаре, разбор уже выложен на наших курсах про. Яндекс уже обновил контест и ждет новых заявок. ВК, Сбер, Озон, Касперский и другие либо уже открыли прием заявок, либо откроют в ближайшее время. За открытием стажировок удобно следить на нашем сайте. 
В общем не тупим и начинаем готовиться на наших курсах, экзамены начнутся вот-вот. 
➡️ Записаться. 
Сезонные школы
Яндекс, Т-банк, ВК, МТС, Сбер и другие постоянно проводят какие-то курсы, школы, иногда даже в стенах вашего ВУЗа. Понятно, что ничего невероятного не стоит ждать от бесплатных курсов, кроме невероятного количества кринжа, но зато выпускникам дают льготы для стажировки или позиции в штат. Так, например, рекрутеры в Т-банк, когда открывается стажерская вакансия, первым делом ищут кандидатов со своих академий и финтехов. Или например Яндекс участникам своих школ спокойно дает пересдавать секции по несколько раз. За всеми такими программами удобно следить на нашем сайте. 
Олимпиады 
Особенно стоит присмотреться выпускникам, планирующим поступать в магистратуру. Первые отборы начинаются не раньше октября. Обязательно пробуем свои силы в Я-профессионал, высшей лиге от ВШЭ, мега олимпиаде от ИТМО и тд. Вообще у каждого факультета есть своя олимпиада, которая по факту дает БВИ. Кроме перечисленных, еще есть универсиада от МГУ, олимпиада РЭШ, олимпиада Сколтеха и тд. Просто заходим на сайт интересующего факультета и смотрим льготы. Задания обычно не сложнее вступительных в магу, а если олимпиада от факультета, то к ней относятся просто как к досрочному экзамену. Участвовать лучше во всех олимпиадах, хотя бы чтоб оценить свои силы и подготовку. Список самых топовых магистратур с инсайдами здесь.
Отдельная история олимпиады по алгоритмам и ML. Таких ребят нередко сами рекрутеры зовут на стажировки. О них напишем в будущих постах, если этот соберет 500 огоньков 🔥
ШАД, Академия Авито
Отборы начинаются не раньше мая и хоть большая часть заданий доступна любому второкурснику— все это предстоит вспомнить. Многое даже предстоит изучить заново, ибо из-за большой нагрузки студенты в лучшем случае успеют научиться решать задачи по алгоритму без понимания и успеют вызубрить теорию к экзамену. О каждой программе и подготовке к ней на нашем канале написан не один пост, ищем по ключевым словам или смотрим ролик.
Обязательно ставьте огонек🔥 и делитесь с друзьями, если пост оказался для вас полезен.
Подписаться: @postypashki_old</v>
      </c>
      <c r="I85" s="6" t="str">
        <f>IFERROR(__xludf.DUMMYFUNCTION("""COMPUTED_VALUE"""),"internal")</f>
        <v>internal</v>
      </c>
      <c r="J85" s="10" t="str">
        <f>IFERROR(__xludf.DUMMYFUNCTION("""COMPUTED_VALUE"""),"https://t.me/postypashki_old/1876")</f>
        <v>https://t.me/postypashki_old/1876</v>
      </c>
      <c r="K85" s="6">
        <f>IFERROR(__xludf.DUMMYFUNCTION("""COMPUTED_VALUE"""),17100.0)</f>
        <v>17100</v>
      </c>
      <c r="L85" s="6">
        <f>IFERROR(__xludf.DUMMYFUNCTION("""COMPUTED_VALUE"""),223.0)</f>
        <v>223</v>
      </c>
      <c r="M85" s="6" t="str">
        <f>IFERROR(__xludf.DUMMYFUNCTION("""COMPUTED_VALUE"""),"")</f>
        <v/>
      </c>
      <c r="N85" s="6" t="str">
        <f>IFERROR(__xludf.DUMMYFUNCTION("""COMPUTED_VALUE"""),"Telegram")</f>
        <v>Telegram</v>
      </c>
      <c r="O85" s="6" t="str">
        <f>IFERROR(__xludf.DUMMYFUNCTION("""COMPUTED_VALUE"""),"raw")</f>
        <v>raw</v>
      </c>
      <c r="P85" s="6" t="str">
        <f>IFERROR(__xludf.DUMMYFUNCTION("""COMPUTED_VALUE"""),"Codex")</f>
        <v>Codex</v>
      </c>
      <c r="Q85" s="6" t="str">
        <f>IFERROR(__xludf.DUMMYFUNCTION("""COMPUTED_VALUE"""),"Как НЕ продолбать год В новом учебном году нас ждет море стажировок и образовательных программ— самое время наметить цели и планы, чтобы год не прошел впустую! Стажировки Т-банк в ")</f>
        <v>Как НЕ продолбать год В новом учебном году нас ждет море стажировок и образовательных программ— самое время наметить цели и планы, чтобы год не прошел впустую! Стажировки Т-банк в </v>
      </c>
      <c r="R85" s="6" t="str">
        <f>IFERROR(__xludf.DUMMYFUNCTION("""COMPUTED_VALUE"""),"internal")</f>
        <v>internal</v>
      </c>
      <c r="S85" s="6" t="str">
        <f>IFERROR(__xludf.DUMMYFUNCTION("""COMPUTED_VALUE"""),"unknown")</f>
        <v>unknown</v>
      </c>
      <c r="T85" s="6" t="str">
        <f>IFERROR(__xludf.DUMMYFUNCTION("""COMPUTED_VALUE"""),"telegram_internal")</f>
        <v>telegram_internal</v>
      </c>
      <c r="U85" s="6" t="str">
        <f>IFERROR(__xludf.DUMMYFUNCTION("""COMPUTED_VALUE"""),"Контент с предложением курсов")</f>
        <v>Контент с предложением курсов</v>
      </c>
      <c r="V85" s="6" t="str">
        <f>IFERROR(__xludf.DUMMYFUNCTION("""COMPUTED_VALUE"""),"Период продаж")</f>
        <v>Период продаж</v>
      </c>
      <c r="W85" s="6" t="str">
        <f>IFERROR(__xludf.DUMMYFUNCTION("""COMPUTED_VALUE"""),"Видео")</f>
        <v>Видео</v>
      </c>
      <c r="X85" s="6"/>
      <c r="Y85" s="6" t="str">
        <f>IFERROR(__xludf.DUMMYFUNCTION("""COMPUTED_VALUE"""),"")</f>
        <v/>
      </c>
      <c r="Z85" s="6" t="str">
        <f>IFERROR(__xludf.DUMMYFUNCTION("""COMPUTED_VALUE"""),"")</f>
        <v/>
      </c>
      <c r="AA85" s="6" t="b">
        <f>IFERROR(__xludf.DUMMYFUNCTION("""COMPUTED_VALUE"""),TRUE)</f>
        <v>1</v>
      </c>
      <c r="AB85" s="6" t="b">
        <f>IFERROR(__xludf.DUMMYFUNCTION("""COMPUTED_VALUE"""),FALSE)</f>
        <v>0</v>
      </c>
      <c r="AC85" s="6" t="b">
        <f>IFERROR(__xludf.DUMMYFUNCTION("""COMPUTED_VALUE"""),FALSE)</f>
        <v>0</v>
      </c>
      <c r="AD85" s="6" t="b">
        <f>IFERROR(__xludf.DUMMYFUNCTION("""COMPUTED_VALUE"""),TRUE)</f>
        <v>1</v>
      </c>
      <c r="AE85" s="6"/>
      <c r="AF85" s="6" t="b">
        <f>IFERROR(__xludf.DUMMYFUNCTION("""COMPUTED_VALUE"""),FALSE)</f>
        <v>0</v>
      </c>
      <c r="AG85" s="6" t="str">
        <f>IFERROR(__xludf.DUMMYFUNCTION("""COMPUTED_VALUE"""),"2026-09-01T17:40:56+00:00")</f>
        <v>2026-09-01T17:40:56+00:00</v>
      </c>
      <c r="AH85" s="6" t="str">
        <f>IFERROR(__xludf.DUMMYFUNCTION("""COMPUTED_VALUE"""),"")</f>
        <v/>
      </c>
      <c r="AI85" s="6" t="str">
        <f>IFERROR(__xludf.DUMMYFUNCTION("""COMPUTED_VALUE"""),"#N/A")</f>
        <v>#N/A</v>
      </c>
      <c r="AJ85" s="9" t="s">
        <v>167</v>
      </c>
      <c r="AK85" s="9" t="s">
        <v>242</v>
      </c>
      <c r="AM85" s="9" t="s">
        <v>219</v>
      </c>
      <c r="AN85" s="4" t="str">
        <f>IFERROR(__xludf.DUMMYFUNCTION("IF(OR(AJ85=""general_brand"",AJ85=""external"",AJ85=""unknown""),"""",IF(AJ85=""product_line"",IF(AK85=""START"",""Аналитика старт | Алгоритмы старт | Backend старт | ML старт"",IF(AK85=""PRO"",""AI-агенты про | Алгоритмы про | Аналитика про | ML про | Ba"&amp;"ckend про"",IF(AK85=""START | PRO"",""Аналитика старт | Алгоритмы старт | Backend старт | ML старт | AI-агенты про | Алгоритмы про | Аналитика про | ML про | Backend про"",""""))),TEXTJOIN("" | "",TRUE,IF(REGEXMATCH(LOWER(AL85&amp;"" | ""&amp;E85),""аналитика ста"&amp;"рт""),""Аналитика старт"",""""),IF(REGEXMATCH(LOWER(AL85&amp;"" | ""&amp;E85),""алгоритмы старт""),""Алгоритмы старт"",""""),IF(REGEXMATCH(LOWER(AL85&amp;"" | ""&amp;E85),""backend старт""),""Backend старт"",""""),IF(REGEXMATCH(LOWER(AL85&amp;"" | ""&amp;E85),""ml старт""),""ML "&amp;"старт"",""""),IF(REGEXMATCH(LOWER(AL85&amp;"" | ""&amp;E85),""ai[ -]?агент""),""AI-агенты про"",""""),IF(REGEXMATCH(LOWER(AL85&amp;"" | ""&amp;E85),""алгоритмы про""),""Алгоритмы про"",""""),IF(REGEXMATCH(LOWER(AL85&amp;"" | ""&amp;E85),""аналитика про""),""Аналитика про"","""")"&amp;",IF(REGEXMATCH(LOWER(AL85&amp;"" | ""&amp;E85),""ml про""),""ML про"",""""),IF(REGEXMATCH(LOWER(AL85&amp;"" | ""&amp;E85),""backend про""),""Backend про"",""""),IF(REGEXMATCH(LOWER(AL85&amp;"" | ""&amp;E85),""(а/в|ав|а в|ab)[ -]?тест""),""А/В-тесты"",""""),IF(REGEXMATCH(LOWER(AL"&amp;"85&amp;"" | ""&amp;E85),""data science""),""Data science"",""""),IF(REGEXMATCH(LOWER(AL85&amp;"" | ""&amp;E85),""data[- ]?инжен""),""Data-инженер"",""""),IF(REGEXMATCH(LOWER(AL85&amp;"" | ""&amp;E85),""frontend""),""Frontend"",""""))))"),"AI-агенты про | Алгоритмы про | Аналитика про | ML про | Backend про")</f>
        <v>AI-агенты про | Алгоритмы про | Аналитика про | ML про | Backend про</v>
      </c>
    </row>
    <row r="86">
      <c r="A86" s="6" t="str">
        <f>IFERROR(__xludf.DUMMYFUNCTION("""COMPUTED_VALUE"""),"INT-1877")</f>
        <v>INT-1877</v>
      </c>
      <c r="B86" s="6" t="str">
        <f>IFERROR(__xludf.DUMMYFUNCTION("""COMPUTED_VALUE"""),"2026-09-02 19:06:05")</f>
        <v>2026-09-02 19:06:05</v>
      </c>
      <c r="C86" s="6" t="str">
        <f>IFERROR(__xludf.DUMMYFUNCTION("""COMPUTED_VALUE"""),"@postypashki_old")</f>
        <v>@postypashki_old</v>
      </c>
      <c r="D86" s="4" t="str">
        <f>IFERROR(__xludf.DUMMYFUNCTION("""COMPUTED_VALUE"""),"Контент с предложением курсов")</f>
        <v>Контент с предложением курсов</v>
      </c>
      <c r="E86" s="6"/>
      <c r="F86" s="6" t="str">
        <f>IFERROR(__xludf.DUMMYFUNCTION("""COMPUTED_VALUE"""),"")</f>
        <v/>
      </c>
      <c r="G86" s="6" t="str">
        <f>IFERROR(__xludf.DUMMYFUNCTION("""COMPUTED_VALUE"""),"postypashki_old/1877")</f>
        <v>postypashki_old/1877</v>
      </c>
      <c r="H86" s="6" t="str">
        <f>IFERROR(__xludf.DUMMYFUNCTION("""COMPUTED_VALUE"""),"5 причин, почему нужно податься на стажировку в Т-Банк 
Т-Банк открыл набор на стажировку до 6 сентября. Доступные направления: аналитика, разработка, ML. 
Задания контеста уже опубликованы здесь. Разборы уже выложены на наших карьреных курсах про. 
➡️ З"&amp;"аписаться
Ниже обсудим, почему Т-Банк ежегодно становится сам желаемым местом для старта карьеры и за что так любят желтый банк. 
1. Понятный отбор
🟦Главная задача — правильно заполнить анкету и хорошо решить экзамен. В ролике подробно рассказали, что "&amp;"нужно для этого сделать. 
🟦На некоторых специальностях есть тест на знание направления. 
🟦Финальный этап  — собеседование одной или несколькими командами. Собеседование стандартное, если знаете теорию специальности и поделали какие-то проекты, то проход"&amp;" обеспечен. 
🟦Обычно финальное собеседование одно, но если оставят хороший отзыв, то вашу кандиддатуру предложат другой команде. Еще один собес можно залутать на донаборе, который происходит спустя месяц основного набора. 
Отбор в сравнении с другими ма"&amp;"ссовыми стажками достаточно прозрачен, хоть и есть моменты лотереи
2. Хорошая зарплата уже на стажировке
Платят прилично: 80-100 тыс (в зависимости от вакансии и уровня индексации к тому времени). Это звучит неплохо, если вспомнить, что в каких-то местах"&amp;" платят и 60 тыс. 
К тому же, это лишь на время стажировки, а в штат берут всех (70%), кто хоть как-то старался первое время и был на связи с ментором, который кстати заряженный специалист уровня middle+/senior. В штате на позицию джуна можно рассчитывать"&amp;" на 150 тыс. В зависимости от вакансии и уровня инфляции к тому времени.
3. Не только работа, но и среда
Да, времена двух бесплатных компотов прошли, но бесплатные обеды все равно есть.
В офисе есть спортзал, сауна, в штате есть ДМС со стоматологией и ко"&amp;"ррекцией зрения. Но главное даже не это.
К тому же, наконец-то выйдете из дома и начнете общаться с людьми: найдете друзей и вторую половинку. В командах отличная атмосфера, ребятки ходят на всякие тусовки во внерабочее время (там бары, караоке, клубы, ка"&amp;"льяны, квесты, квизы). Но никого в офис насильно не загоняют, всегда можно поработать из дома. Нашему студенту вообще прислали рабочий ноутбук в Уфу.  
4. Опыт, который ценится на рынке
Во время стажировки вы работаете над настоящими продуктами с совреме"&amp;"нным стеком и нормальными процессами разработки. 
Процессы тоже выстроены нормально, реально чему-то научитесь, ставятся конкретные и измеримые цели. Можно расти как вертикально, так и горизонтально.
Такой опыт потом становится сильной строкой в резюме и "&amp;"заметно облегчает поиск следующей работы — хотя многие предпочитают остаться внутри компании и расти дальше.
В компании есть 1-2 ежегодных ревью, по итогам которых могут поднять зп. Повышение для джунов происходит раз в пол года, а для мидлов и выше раз "&amp;"в год. 
5. Реальный шанс начать карьеру
Для многих стажировка становится первым полноценным оффером в IT. А дальше уже всё зависит только от вас: можно развиваться внутри команды, менять направления, расти по грейдам и в зп.
Если хотите попасть на стажи"&amp;"ровку уже этой осенью, начинать готовиться лучше сейчас. Отбор открыт до 6 сентября. 
Если чувствуете, что нужно подтянуть харды, понять, как решить контест, советуем наши карьерные курсы ПРО, где мы помогаем выйти на рынок с сильными скиллами. 
Если ост"&amp;"ались вопросы по отбору — задавайте их в комментариях. Разберём всё, что волнует.
Подписаться: @postypashki_old")</f>
        <v>5 причин, почему нужно податься на стажировку в Т-Банк 
Т-Банк открыл набор на стажировку до 6 сентября. Доступные направления: аналитика, разработка, ML. 
Задания контеста уже опубликованы здесь. Разборы уже выложены на наших карьреных курсах про. 
➡️ Записаться
Ниже обсудим, почему Т-Банк ежегодно становится сам желаемым местом для старта карьеры и за что так любят желтый банк. 
1. Понятный отбор
🟦Главная задача — правильно заполнить анкету и хорошо решить экзамен. В ролике подробно рассказали, что нужно для этого сделать. 
🟦На некоторых специальностях есть тест на знание направления. 
🟦Финальный этап  — собеседование одной или несколькими командами. Собеседование стандартное, если знаете теорию специальности и поделали какие-то проекты, то проход обеспечен. 
🟦Обычно финальное собеседование одно, но если оставят хороший отзыв, то вашу кандиддатуру предложат другой команде. Еще один собес можно залутать на донаборе, который происходит спустя месяц основного набора. 
Отбор в сравнении с другими массовыми стажками достаточно прозрачен, хоть и есть моменты лотереи
2. Хорошая зарплата уже на стажировке
Платят прилично: 80-100 тыс (в зависимости от вакансии и уровня индексации к тому времени). Это звучит неплохо, если вспомнить, что в каких-то местах платят и 60 тыс. 
К тому же, это лишь на время стажировки, а в штат берут всех (70%), кто хоть как-то старался первое время и был на связи с ментором, который кстати заряженный специалист уровня middle+/senior. В штате на позицию джуна можно рассчитывать на 150 тыс. В зависимости от вакансии и уровня инфляции к тому времени.
3. Не только работа, но и среда
Да, времена двух бесплатных компотов прошли, но бесплатные обеды все равно есть.
В офисе есть спортзал, сауна, в штате есть ДМС со стоматологией и коррекцией зрения. Но главное даже не это.
К тому же, наконец-то выйдете из дома и начнете общаться с людьми: найдете друзей и вторую половинку. В командах отличная атмосфера, ребятки ходят на всякие тусовки во внерабочее время (там бары, караоке, клубы, кальяны, квесты, квизы). Но никого в офис насильно не загоняют, всегда можно поработать из дома. Нашему студенту вообще прислали рабочий ноутбук в Уфу.  
4. Опыт, который ценится на рынке
Во время стажировки вы работаете над настоящими продуктами с современным стеком и нормальными процессами разработки. 
Процессы тоже выстроены нормально, реально чему-то научитесь, ставятся конкретные и измеримые цели. Можно расти как вертикально, так и горизонтально.
Такой опыт потом становится сильной строкой в резюме и заметно облегчает поиск следующей работы — хотя многие предпочитают остаться внутри компании и расти дальше.
В компании есть 1-2 ежегодных ревью, по итогам которых могут поднять зп. Повышение для джунов происходит раз в пол года, а для мидлов и выше раз в год. 
5. Реальный шанс начать карьеру
Для многих стажировка становится первым полноценным оффером в IT. А дальше уже всё зависит только от вас: можно развиваться внутри команды, менять направления, расти по грейдам и в зп.
Если хотите попасть на стажировку уже этой осенью, начинать готовиться лучше сейчас. Отбор открыт до 6 сентября. 
Если чувствуете, что нужно подтянуть харды, понять, как решить контест, советуем наши карьерные курсы ПРО, где мы помогаем выйти на рынок с сильными скиллами. 
Если остались вопросы по отбору — задавайте их в комментариях. Разберём всё, что волнует.
Подписаться: @postypashki_old</v>
      </c>
      <c r="I86" s="6" t="str">
        <f>IFERROR(__xludf.DUMMYFUNCTION("""COMPUTED_VALUE"""),"internal")</f>
        <v>internal</v>
      </c>
      <c r="J86" s="10" t="str">
        <f>IFERROR(__xludf.DUMMYFUNCTION("""COMPUTED_VALUE"""),"https://t.me/postypashki_old/1877")</f>
        <v>https://t.me/postypashki_old/1877</v>
      </c>
      <c r="K86" s="6">
        <f>IFERROR(__xludf.DUMMYFUNCTION("""COMPUTED_VALUE"""),16700.0)</f>
        <v>16700</v>
      </c>
      <c r="L86" s="6">
        <f>IFERROR(__xludf.DUMMYFUNCTION("""COMPUTED_VALUE"""),63.0)</f>
        <v>63</v>
      </c>
      <c r="M86" s="6" t="str">
        <f>IFERROR(__xludf.DUMMYFUNCTION("""COMPUTED_VALUE"""),"")</f>
        <v/>
      </c>
      <c r="N86" s="6" t="str">
        <f>IFERROR(__xludf.DUMMYFUNCTION("""COMPUTED_VALUE"""),"Telegram")</f>
        <v>Telegram</v>
      </c>
      <c r="O86" s="6" t="str">
        <f>IFERROR(__xludf.DUMMYFUNCTION("""COMPUTED_VALUE"""),"raw")</f>
        <v>raw</v>
      </c>
      <c r="P86" s="6" t="str">
        <f>IFERROR(__xludf.DUMMYFUNCTION("""COMPUTED_VALUE"""),"Codex")</f>
        <v>Codex</v>
      </c>
      <c r="Q86" s="6" t="str">
        <f>IFERROR(__xludf.DUMMYFUNCTION("""COMPUTED_VALUE"""),"5 причин, почему нужно податься на стажировку в Т-Банк Т-Банк открыл набор на стажировку до 6 сентября. Доступные направления: аналитика, разработка, ML. Задания контеста уже опубл")</f>
        <v>5 причин, почему нужно податься на стажировку в Т-Банк Т-Банк открыл набор на стажировку до 6 сентября. Доступные направления: аналитика, разработка, ML. Задания контеста уже опубл</v>
      </c>
      <c r="R86" s="6" t="str">
        <f>IFERROR(__xludf.DUMMYFUNCTION("""COMPUTED_VALUE"""),"internal")</f>
        <v>internal</v>
      </c>
      <c r="S86" s="6" t="str">
        <f>IFERROR(__xludf.DUMMYFUNCTION("""COMPUTED_VALUE"""),"unknown")</f>
        <v>unknown</v>
      </c>
      <c r="T86" s="6" t="str">
        <f>IFERROR(__xludf.DUMMYFUNCTION("""COMPUTED_VALUE"""),"telegram_internal")</f>
        <v>telegram_internal</v>
      </c>
      <c r="U86" s="6" t="str">
        <f>IFERROR(__xludf.DUMMYFUNCTION("""COMPUTED_VALUE"""),"Контент с предложением курсов")</f>
        <v>Контент с предложением курсов</v>
      </c>
      <c r="V86" s="6" t="str">
        <f>IFERROR(__xludf.DUMMYFUNCTION("""COMPUTED_VALUE"""),"Период продаж")</f>
        <v>Период продаж</v>
      </c>
      <c r="W86" s="6"/>
      <c r="X86" s="6"/>
      <c r="Y86" s="6" t="str">
        <f>IFERROR(__xludf.DUMMYFUNCTION("""COMPUTED_VALUE"""),"")</f>
        <v/>
      </c>
      <c r="Z86" s="6" t="str">
        <f>IFERROR(__xludf.DUMMYFUNCTION("""COMPUTED_VALUE"""),"")</f>
        <v/>
      </c>
      <c r="AA86" s="6" t="b">
        <f>IFERROR(__xludf.DUMMYFUNCTION("""COMPUTED_VALUE"""),TRUE)</f>
        <v>1</v>
      </c>
      <c r="AB86" s="6" t="b">
        <f>IFERROR(__xludf.DUMMYFUNCTION("""COMPUTED_VALUE"""),FALSE)</f>
        <v>0</v>
      </c>
      <c r="AC86" s="6" t="b">
        <f>IFERROR(__xludf.DUMMYFUNCTION("""COMPUTED_VALUE"""),FALSE)</f>
        <v>0</v>
      </c>
      <c r="AD86" s="6" t="b">
        <f>IFERROR(__xludf.DUMMYFUNCTION("""COMPUTED_VALUE"""),TRUE)</f>
        <v>1</v>
      </c>
      <c r="AE86" s="6"/>
      <c r="AF86" s="6" t="b">
        <f>IFERROR(__xludf.DUMMYFUNCTION("""COMPUTED_VALUE"""),FALSE)</f>
        <v>0</v>
      </c>
      <c r="AG86" s="6" t="str">
        <f>IFERROR(__xludf.DUMMYFUNCTION("""COMPUTED_VALUE"""),"2026-09-02T16:06:05+00:00")</f>
        <v>2026-09-02T16:06:05+00:00</v>
      </c>
      <c r="AH86" s="6" t="str">
        <f>IFERROR(__xludf.DUMMYFUNCTION("""COMPUTED_VALUE"""),"")</f>
        <v/>
      </c>
      <c r="AI86" s="6" t="str">
        <f>IFERROR(__xludf.DUMMYFUNCTION("""COMPUTED_VALUE"""),"#N/A")</f>
        <v>#N/A</v>
      </c>
      <c r="AJ86" s="9" t="s">
        <v>167</v>
      </c>
      <c r="AK86" s="9" t="s">
        <v>242</v>
      </c>
      <c r="AM86" s="9" t="s">
        <v>219</v>
      </c>
      <c r="AN86" s="4" t="str">
        <f>IFERROR(__xludf.DUMMYFUNCTION("IF(OR(AJ86=""general_brand"",AJ86=""external"",AJ86=""unknown""),"""",IF(AJ86=""product_line"",IF(AK86=""START"",""Аналитика старт | Алгоритмы старт | Backend старт | ML старт"",IF(AK86=""PRO"",""AI-агенты про | Алгоритмы про | Аналитика про | ML про | Ba"&amp;"ckend про"",IF(AK86=""START | PRO"",""Аналитика старт | Алгоритмы старт | Backend старт | ML старт | AI-агенты про | Алгоритмы про | Аналитика про | ML про | Backend про"",""""))),TEXTJOIN("" | "",TRUE,IF(REGEXMATCH(LOWER(AL86&amp;"" | ""&amp;E86),""аналитика ста"&amp;"рт""),""Аналитика старт"",""""),IF(REGEXMATCH(LOWER(AL86&amp;"" | ""&amp;E86),""алгоритмы старт""),""Алгоритмы старт"",""""),IF(REGEXMATCH(LOWER(AL86&amp;"" | ""&amp;E86),""backend старт""),""Backend старт"",""""),IF(REGEXMATCH(LOWER(AL86&amp;"" | ""&amp;E86),""ml старт""),""ML "&amp;"старт"",""""),IF(REGEXMATCH(LOWER(AL86&amp;"" | ""&amp;E86),""ai[ -]?агент""),""AI-агенты про"",""""),IF(REGEXMATCH(LOWER(AL86&amp;"" | ""&amp;E86),""алгоритмы про""),""Алгоритмы про"",""""),IF(REGEXMATCH(LOWER(AL86&amp;"" | ""&amp;E86),""аналитика про""),""Аналитика про"","""")"&amp;",IF(REGEXMATCH(LOWER(AL86&amp;"" | ""&amp;E86),""ml про""),""ML про"",""""),IF(REGEXMATCH(LOWER(AL86&amp;"" | ""&amp;E86),""backend про""),""Backend про"",""""),IF(REGEXMATCH(LOWER(AL86&amp;"" | ""&amp;E86),""(а/в|ав|а в|ab)[ -]?тест""),""А/В-тесты"",""""),IF(REGEXMATCH(LOWER(AL"&amp;"86&amp;"" | ""&amp;E86),""data science""),""Data science"",""""),IF(REGEXMATCH(LOWER(AL86&amp;"" | ""&amp;E86),""data[- ]?инжен""),""Data-инженер"",""""),IF(REGEXMATCH(LOWER(AL86&amp;"" | ""&amp;E86),""frontend""),""Frontend"",""""))))"),"AI-агенты про | Алгоритмы про | Аналитика про | ML про | Backend про")</f>
        <v>AI-агенты про | Алгоритмы про | Аналитика про | ML про | Backend про</v>
      </c>
    </row>
    <row r="87">
      <c r="A87" s="6" t="str">
        <f>IFERROR(__xludf.DUMMYFUNCTION("""COMPUTED_VALUE"""),"INT-1878")</f>
        <v>INT-1878</v>
      </c>
      <c r="B87" s="6" t="str">
        <f>IFERROR(__xludf.DUMMYFUNCTION("""COMPUTED_VALUE"""),"2026-09-03 19:06:06")</f>
        <v>2026-09-03 19:06:06</v>
      </c>
      <c r="C87" s="6" t="str">
        <f>IFERROR(__xludf.DUMMYFUNCTION("""COMPUTED_VALUE"""),"@postypashki_old")</f>
        <v>@postypashki_old</v>
      </c>
      <c r="D87" s="4" t="str">
        <f>IFERROR(__xludf.DUMMYFUNCTION("""COMPUTED_VALUE"""),"Контент с предложением курсов")</f>
        <v>Контент с предложением курсов</v>
      </c>
      <c r="E87" s="6"/>
      <c r="F87" s="6" t="str">
        <f>IFERROR(__xludf.DUMMYFUNCTION("""COMPUTED_VALUE"""),"")</f>
        <v/>
      </c>
      <c r="G87" s="6" t="str">
        <f>IFERROR(__xludf.DUMMYFUNCTION("""COMPUTED_VALUE"""),"postypashki_old/1878")</f>
        <v>postypashki_old/1878</v>
      </c>
      <c r="H87" s="6" t="str">
        <f>IFERROR(__xludf.DUMMYFUNCTION("""COMPUTED_VALUE"""),"❗️ Скоро заканчивается отбор на стажировку в Т-банк 
Дедлайн подачи до 6 сентября, задания тут. В посте обсудим основные моменты. Разбор экзаменов уже выложен на наших соответствующих курсах ПРО. 
➡️ Записаться
➡️ Обязательно подаемся
И не сомневаемся, "&amp;"это одна из лучших опций для получения первого опыта в индустрии: можно совмещать с учебой, загрузка от 20 часов в неделю, после нее легко залететь в штат и да, вам даже будут платить за нее! Для участия нужно просто заполнить анкету и решить отбор до 6 с"&amp;"ентября. Задания на этот раз несложные (чекаем вот тут), но больше задач, где можно запросто ошибиться, специально сделали такие задачи, чтобы chatgpt путался с условиями и выдавал неправильные ответы и тех, кто спишет эти ответы, просто забанят в системе"&amp;" Т-банка. Осень - второй пик по вакансиям, стажировкам и это то самое время, которое нужно посвятить карьере и активному боту, пока учеба на низком старте. У топов собесы начнутся в конце сентября, а у работяг в октябре.
➡️ Пишем качественную анкету
Прох"&amp;"одной на собес везде разный и зависит от популярности специальности и кол-во выделенных мест, региона. Где-то проход 350, а где-то 600 за контест. Далее отбор идет по анкете. Командам и HR очень важна ваша мотивация и погруженность в специальность. Будет "&amp;"обидно набрать полный балл за контест, но не заполнить анкету (подробный совет тоже даем участникам наших курсов). Общие советы такие: пишем про курсы, которые проходили и не проходили, фокусируем внимание на курсах от Т-банка. Только помните, что на собе"&amp;"се нужно будет не запутаться в этих выдумках. Обязательно пишем про олимпиадный опыт, даже школьный, от олимпиадников все просто сходят с ума. Пишем образование. Про свои стартапы и телеграмм каналы советую писать осторожно: это может отпугнуть. Подумают,"&amp;" что после года работы в штате вы уйдете строить свой мега успешный бизнес, а работодатель хочет, чтобы вы росли и развивались внутри компании и стали приносить пользу именной ей.
Сразу создаем второй телеграмм канал для работы и учебы с настоящим именем"&amp;" и фамилией, без неоднозначных статусов и аниме на аватаре. Это может оттолкнуть рекрутеров. Также с этого аккаунта не пишем никому и некуда никакие неоднозначные тезисы, которые могут стать народным достоянием и вас скомпрометировать. Работодателю важно,"&amp;" чтобы вы разделяли корпоративные ценности. Касаемо составления анкеты и резюме более подробно рассказывал в ролике, обязательно посмотрите. 
➡️ Собеседование
Раньше большинство собесов было похоже на смотрины: команда рассказывала про себя, а вы про себ"&amp;"я. Спрашивали мотивацию, бизнес кейс и может немного теории, задачи давали только на какого-нибудь риск аналитика. Сейчас все по-другому: контест не катает только ленивый, поэтому собесе почти всегда дают задачи. На аналитику и мл могут спросить матешу, с"&amp;"кл, питон, а на разработчика и мл простенькие алгоритмы. Некоторые из этих заданий можно чекнуть тут, и тут, и тут, и тут, а если вы хотите разбор всех тасков с собесов - бегом на наши курсы.
➡️ Подробности
Более подробно обо всем этом можно посмотреть в"&amp;" видео. Главное помните, что шанс выиграть в этой игре &gt; 90% (по крайней мере, в прошлом году именно таким был процент взятых на стажировку среди наших учеников), если знать правила игры. Серьезно, прошлым летом выпускница нашего курса по аналитике прошла"&amp;" отбор и стала стажером-аналитиком едва закончив 11-ый класс.
Подписаться: @postypashki_old")</f>
        <v>❗️ Скоро заканчивается отбор на стажировку в Т-банк 
Дедлайн подачи до 6 сентября, задания тут. В посте обсудим основные моменты. Разбор экзаменов уже выложен на наших соответствующих курсах ПРО. 
➡️ Записаться
➡️ Обязательно подаемся
И не сомневаемся, это одна из лучших опций для получения первого опыта в индустрии: можно совмещать с учебой, загрузка от 20 часов в неделю, после нее легко залететь в штат и да, вам даже будут платить за нее! Для участия нужно просто заполнить анкету и решить отбор до 6 сентября. Задания на этот раз несложные (чекаем вот тут), но больше задач, где можно запросто ошибиться, специально сделали такие задачи, чтобы chatgpt путался с условиями и выдавал неправильные ответы и тех, кто спишет эти ответы, просто забанят в системе Т-банка. Осень - второй пик по вакансиям, стажировкам и это то самое время, которое нужно посвятить карьере и активному боту, пока учеба на низком старте. У топов собесы начнутся в конце сентября, а у работяг в октябре.
➡️ Пишем качественную анкету
Проходной на собес везде разный и зависит от популярности специальности и кол-во выделенных мест, региона. Где-то проход 350, а где-то 600 за контест. Далее отбор идет по анкете. Командам и HR очень важна ваша мотивация и погруженность в специальность. Будет обидно набрать полный балл за контест, но не заполнить анкету (подробный совет тоже даем участникам наших курсов). Общие советы такие: пишем про курсы, которые проходили и не проходили, фокусируем внимание на курсах от Т-банка. Только помните, что на собесе нужно будет не запутаться в этих выдумках. Обязательно пишем про олимпиадный опыт, даже школьный, от олимпиадников все просто сходят с ума. Пишем образование. Про свои стартапы и телеграмм каналы советую писать осторожно: это может отпугнуть. Подумают, что после года работы в штате вы уйдете строить свой мега успешный бизнес, а работодатель хочет, чтобы вы росли и развивались внутри компании и стали приносить пользу именной ей.
Сразу создаем второй телеграмм канал для работы и учебы с настоящим именем и фамилией, без неоднозначных статусов и аниме на аватаре. Это может оттолкнуть рекрутеров. Также с этого аккаунта не пишем никому и некуда никакие неоднозначные тезисы, которые могут стать народным достоянием и вас скомпрометировать. Работодателю важно, чтобы вы разделяли корпоративные ценности. Касаемо составления анкеты и резюме более подробно рассказывал в ролике, обязательно посмотрите. 
➡️ Собеседование
Раньше большинство собесов было похоже на смотрины: команда рассказывала про себя, а вы про себя. Спрашивали мотивацию, бизнес кейс и может немного теории, задачи давали только на какого-нибудь риск аналитика. Сейчас все по-другому: контест не катает только ленивый, поэтому собесе почти всегда дают задачи. На аналитику и мл могут спросить матешу, скл, питон, а на разработчика и мл простенькие алгоритмы. Некоторые из этих заданий можно чекнуть тут, и тут, и тут, и тут, а если вы хотите разбор всех тасков с собесов - бегом на наши курсы.
➡️ Подробности
Более подробно обо всем этом можно посмотреть в видео. Главное помните, что шанс выиграть в этой игре &gt; 90% (по крайней мере, в прошлом году именно таким был процент взятых на стажировку среди наших учеников), если знать правила игры. Серьезно, прошлым летом выпускница нашего курса по аналитике прошла отбор и стала стажером-аналитиком едва закончив 11-ый класс.
Подписаться: @postypashki_old</v>
      </c>
      <c r="I87" s="6" t="str">
        <f>IFERROR(__xludf.DUMMYFUNCTION("""COMPUTED_VALUE"""),"internal")</f>
        <v>internal</v>
      </c>
      <c r="J87" s="10" t="str">
        <f>IFERROR(__xludf.DUMMYFUNCTION("""COMPUTED_VALUE"""),"https://t.me/postypashki_old/1878")</f>
        <v>https://t.me/postypashki_old/1878</v>
      </c>
      <c r="K87" s="6">
        <f>IFERROR(__xludf.DUMMYFUNCTION("""COMPUTED_VALUE"""),14700.0)</f>
        <v>14700</v>
      </c>
      <c r="L87" s="6">
        <f>IFERROR(__xludf.DUMMYFUNCTION("""COMPUTED_VALUE"""),27.0)</f>
        <v>27</v>
      </c>
      <c r="M87" s="6" t="str">
        <f>IFERROR(__xludf.DUMMYFUNCTION("""COMPUTED_VALUE"""),"")</f>
        <v/>
      </c>
      <c r="N87" s="6" t="str">
        <f>IFERROR(__xludf.DUMMYFUNCTION("""COMPUTED_VALUE"""),"Telegram")</f>
        <v>Telegram</v>
      </c>
      <c r="O87" s="6" t="str">
        <f>IFERROR(__xludf.DUMMYFUNCTION("""COMPUTED_VALUE"""),"raw")</f>
        <v>raw</v>
      </c>
      <c r="P87" s="6" t="str">
        <f>IFERROR(__xludf.DUMMYFUNCTION("""COMPUTED_VALUE"""),"Codex")</f>
        <v>Codex</v>
      </c>
      <c r="Q87" s="6" t="str">
        <f>IFERROR(__xludf.DUMMYFUNCTION("""COMPUTED_VALUE"""),"❗️ Скоро заканчивается отбор на стажировку в Т-банк Дедлайн подачи до 6 сентября, задания тут. В посте обсудим основные моменты. Разбор экзаменов уже выложен на наших соответствующ")</f>
        <v>❗️ Скоро заканчивается отбор на стажировку в Т-банк Дедлайн подачи до 6 сентября, задания тут. В посте обсудим основные моменты. Разбор экзаменов уже выложен на наших соответствующ</v>
      </c>
      <c r="R87" s="6" t="str">
        <f>IFERROR(__xludf.DUMMYFUNCTION("""COMPUTED_VALUE"""),"internal")</f>
        <v>internal</v>
      </c>
      <c r="S87" s="6" t="str">
        <f>IFERROR(__xludf.DUMMYFUNCTION("""COMPUTED_VALUE"""),"unknown")</f>
        <v>unknown</v>
      </c>
      <c r="T87" s="6" t="str">
        <f>IFERROR(__xludf.DUMMYFUNCTION("""COMPUTED_VALUE"""),"telegram_internal")</f>
        <v>telegram_internal</v>
      </c>
      <c r="U87" s="6" t="str">
        <f>IFERROR(__xludf.DUMMYFUNCTION("""COMPUTED_VALUE"""),"Контент с предложением курсов")</f>
        <v>Контент с предложением курсов</v>
      </c>
      <c r="V87" s="6" t="str">
        <f>IFERROR(__xludf.DUMMYFUNCTION("""COMPUTED_VALUE"""),"Период продаж")</f>
        <v>Период продаж</v>
      </c>
      <c r="W87" s="6"/>
      <c r="X87" s="6"/>
      <c r="Y87" s="6" t="str">
        <f>IFERROR(__xludf.DUMMYFUNCTION("""COMPUTED_VALUE"""),"")</f>
        <v/>
      </c>
      <c r="Z87" s="6" t="str">
        <f>IFERROR(__xludf.DUMMYFUNCTION("""COMPUTED_VALUE"""),"")</f>
        <v/>
      </c>
      <c r="AA87" s="6" t="b">
        <f>IFERROR(__xludf.DUMMYFUNCTION("""COMPUTED_VALUE"""),TRUE)</f>
        <v>1</v>
      </c>
      <c r="AB87" s="6" t="b">
        <f>IFERROR(__xludf.DUMMYFUNCTION("""COMPUTED_VALUE"""),FALSE)</f>
        <v>0</v>
      </c>
      <c r="AC87" s="6" t="b">
        <f>IFERROR(__xludf.DUMMYFUNCTION("""COMPUTED_VALUE"""),FALSE)</f>
        <v>0</v>
      </c>
      <c r="AD87" s="6" t="b">
        <f>IFERROR(__xludf.DUMMYFUNCTION("""COMPUTED_VALUE"""),FALSE)</f>
        <v>0</v>
      </c>
      <c r="AE87" s="6"/>
      <c r="AF87" s="6" t="b">
        <f>IFERROR(__xludf.DUMMYFUNCTION("""COMPUTED_VALUE"""),FALSE)</f>
        <v>0</v>
      </c>
      <c r="AG87" s="6" t="str">
        <f>IFERROR(__xludf.DUMMYFUNCTION("""COMPUTED_VALUE"""),"2026-09-03T16:06:06+00:00")</f>
        <v>2026-09-03T16:06:06+00:00</v>
      </c>
      <c r="AH87" s="6" t="str">
        <f>IFERROR(__xludf.DUMMYFUNCTION("""COMPUTED_VALUE"""),"")</f>
        <v/>
      </c>
      <c r="AI87" s="6" t="str">
        <f>IFERROR(__xludf.DUMMYFUNCTION("""COMPUTED_VALUE"""),"#N/A")</f>
        <v>#N/A</v>
      </c>
      <c r="AJ87" s="9" t="s">
        <v>167</v>
      </c>
      <c r="AK87" s="9" t="s">
        <v>242</v>
      </c>
      <c r="AM87" s="9" t="s">
        <v>219</v>
      </c>
      <c r="AN87" s="4" t="str">
        <f>IFERROR(__xludf.DUMMYFUNCTION("IF(OR(AJ87=""general_brand"",AJ87=""external"",AJ87=""unknown""),"""",IF(AJ87=""product_line"",IF(AK87=""START"",""Аналитика старт | Алгоритмы старт | Backend старт | ML старт"",IF(AK87=""PRO"",""AI-агенты про | Алгоритмы про | Аналитика про | ML про | Ba"&amp;"ckend про"",IF(AK87=""START | PRO"",""Аналитика старт | Алгоритмы старт | Backend старт | ML старт | AI-агенты про | Алгоритмы про | Аналитика про | ML про | Backend про"",""""))),TEXTJOIN("" | "",TRUE,IF(REGEXMATCH(LOWER(AL87&amp;"" | ""&amp;E87),""аналитика ста"&amp;"рт""),""Аналитика старт"",""""),IF(REGEXMATCH(LOWER(AL87&amp;"" | ""&amp;E87),""алгоритмы старт""),""Алгоритмы старт"",""""),IF(REGEXMATCH(LOWER(AL87&amp;"" | ""&amp;E87),""backend старт""),""Backend старт"",""""),IF(REGEXMATCH(LOWER(AL87&amp;"" | ""&amp;E87),""ml старт""),""ML "&amp;"старт"",""""),IF(REGEXMATCH(LOWER(AL87&amp;"" | ""&amp;E87),""ai[ -]?агент""),""AI-агенты про"",""""),IF(REGEXMATCH(LOWER(AL87&amp;"" | ""&amp;E87),""алгоритмы про""),""Алгоритмы про"",""""),IF(REGEXMATCH(LOWER(AL87&amp;"" | ""&amp;E87),""аналитика про""),""Аналитика про"","""")"&amp;",IF(REGEXMATCH(LOWER(AL87&amp;"" | ""&amp;E87),""ml про""),""ML про"",""""),IF(REGEXMATCH(LOWER(AL87&amp;"" | ""&amp;E87),""backend про""),""Backend про"",""""),IF(REGEXMATCH(LOWER(AL87&amp;"" | ""&amp;E87),""(а/в|ав|а в|ab)[ -]?тест""),""А/В-тесты"",""""),IF(REGEXMATCH(LOWER(AL"&amp;"87&amp;"" | ""&amp;E87),""data science""),""Data science"",""""),IF(REGEXMATCH(LOWER(AL87&amp;"" | ""&amp;E87),""data[- ]?инжен""),""Data-инженер"",""""),IF(REGEXMATCH(LOWER(AL87&amp;"" | ""&amp;E87),""frontend""),""Frontend"",""""))))"),"AI-агенты про | Алгоритмы про | Аналитика про | ML про | Backend про")</f>
        <v>AI-агенты про | Алгоритмы про | Аналитика про | ML про | Backend про</v>
      </c>
    </row>
    <row r="88">
      <c r="A88" s="6" t="str">
        <f>IFERROR(__xludf.DUMMYFUNCTION("""COMPUTED_VALUE"""),"INT-1880")</f>
        <v>INT-1880</v>
      </c>
      <c r="B88" s="6" t="str">
        <f>IFERROR(__xludf.DUMMYFUNCTION("""COMPUTED_VALUE"""),"2026-09-06 12:06:06")</f>
        <v>2026-09-06 12:06:06</v>
      </c>
      <c r="C88" s="6" t="str">
        <f>IFERROR(__xludf.DUMMYFUNCTION("""COMPUTED_VALUE"""),"@postypashki_old")</f>
        <v>@postypashki_old</v>
      </c>
      <c r="D88" s="4" t="str">
        <f>IFERROR(__xludf.DUMMYFUNCTION("""COMPUTED_VALUE"""),"Контент с предложением курсов")</f>
        <v>Контент с предложением курсов</v>
      </c>
      <c r="E88" s="6"/>
      <c r="F88" s="6" t="str">
        <f>IFERROR(__xludf.DUMMYFUNCTION("""COMPUTED_VALUE"""),"")</f>
        <v/>
      </c>
      <c r="G88" s="6" t="str">
        <f>IFERROR(__xludf.DUMMYFUNCTION("""COMPUTED_VALUE"""),"postypashki_old/1880")</f>
        <v>postypashki_old/1880</v>
      </c>
      <c r="H88" s="6" t="str">
        <f>IFERROR(__xludf.DUMMYFUNCTION("""COMPUTED_VALUE"""),"❗️ Через 12 часов закончится отбор на стажировку Т-банк!
Разбор всех направлениях выложен только на наших карьерные курсы ПРО.
➡️ Записаться
Сразу отвечу на самые популярные вопросы: 
➡️Как посмотреть свои баллы после окончания отбора?
1. Заходим в ист"&amp;"орию своего браузера
2. Ищем по preview
3. Переходим на страницу
4. Копируем айди экзамена
5. Вставляем в готовую ссылку
6. Ищем по student_score
https://edu.tbank.ru/api/v1/practice-progress/сюдаВвестиАйди/info?isSelection=true
Если все совсем плохо в к"&amp;"онтесте, то в личном кабинете появится реджект ""вы не прошли"". Никакого фриза в Т-банке нет, поэтому спокойно ждем следующего сезона (следующий набор на зиму будет в декабре). На официальную дату объявления результатов ориентироваться не нужно.
➡️Когда"&amp;" собес?
Первые приглашения начнут рассылать лучшим участникам не раньше середины сентября, а до обычных работяг доберутся только в октябре. Где-то за неделю до интервью на почту пришлют календарь, где нужно забить удобное время, и ссылку на zoom. Иногда H"&amp;"R могут написать в телегу и поторопить, но лучше мониторить почту, чтобы забить для себя удобное время. 
Рекрутеры обычно идут навстречу, когда не можете пройти собес в выбранные дни и нужно время на подготовку, но лучше этим не злоупотреблять: редко ког"&amp;"да приглашают больше одного раза.
➡️Кого позовут?
У меня был пост на эту тему, можно изучить его вот тут.
➡️Как проходит?
Все зависит от направления и команды. Чаще всего команда сама не знает, кого хочет видеть, поэтому чаще всего приходит настоящий ко"&amp;"нсилиум специалистов и капитально мучают кандидата (все их вопросы разбираем на наших курсах), но иногда может выпасть просто HR-ка, которая прогонит вас по элементарным вопросам с листочка и даст оффер.
Сама структура собеседований похожа: рассказ о себ"&amp;"е, задачи / алгосы, кейсы. Можно самому посмотреть на гитхабе Тинькофф, что ожидать. Для аналитиков писал подробную статью здесь. Не забудьте уточнить все свои вопросы у команды, поскольку ваши представления и позиции и реальность могут сильно отличаться."&amp;" Например, вы хотите заниматься жесткой продуктовой аналитикой с временными рядами и мл, а команде нужен просто sql писатель. Конечно, вы получите рабочий опыт и возможно в дальнейшем оффер в штат, но ценность такого опыта под вопросом. Лучше подучиться и"&amp;" попробовать податься на более перспективные позиции и получить опыт, которые будет вас продавать как хорошего специалиста в будущем. 
➡️Что дальше?
После собеса интервьюер составляет отзыв на кандидата, его идеальный пример здесь. На основе него могут н"&amp;"а кандидата забить, предложить другой команде или вернуться с оффером. Обычно оффер получают через день-два после собеса в лс или по телефону. После 10 дней молчания можете смело стучаться рекрутеру в лс, чтобы получить ответ от команды (реджект). Обязате"&amp;"льно просим фитбэк, иногда даже пишут что-то внятное и по фактам. 
➡️Оффер?
Пригласят на подписание документов в офис, выдадут все необходимое, либо предоставят все через представителя. Далее знакомство с ментором и погружение в проект. Если не будете со"&amp;"всем бить баклуши, то вас без проблем возьмут в штат на постоянную позицию.
Подробнее обо всем этом можно посмотреть в видео. Обязательно ставьте огоньки и делитесь с друзьями, если хотите больше подобных постов. 
Обсудить стажировки можно в нашем чате."&amp;"
Подписаться: @postypashki_old")</f>
        <v>❗️ Через 12 часов закончится отбор на стажировку Т-банк!
Разбор всех направлениях выложен только на наших карьерные курсы ПРО.
➡️ Записаться
Сразу отвечу на самые популярные вопросы: 
➡️Как посмотреть свои баллы после окончания отбора?
1. Заходим в историю своего браузера
2. Ищем по preview
3. Переходим на страницу
4. Копируем айди экзамена
5. Вставляем в готовую ссылку
6. Ищем по student_score
https://edu.tbank.ru/api/v1/practice-progress/сюдаВвестиАйди/info?isSelection=true
Если все совсем плохо в контесте, то в личном кабинете появится реджект "вы не прошли". Никакого фриза в Т-банке нет, поэтому спокойно ждем следующего сезона (следующий набор на зиму будет в декабре). На официальную дату объявления результатов ориентироваться не нужно.
➡️Когда собес?
Первые приглашения начнут рассылать лучшим участникам не раньше середины сентября, а до обычных работяг доберутся только в октябре. Где-то за неделю до интервью на почту пришлют календарь, где нужно забить удобное время, и ссылку на zoom. Иногда HR могут написать в телегу и поторопить, но лучше мониторить почту, чтобы забить для себя удобное время. 
Рекрутеры обычно идут навстречу, когда не можете пройти собес в выбранные дни и нужно время на подготовку, но лучше этим не злоупотреблять: редко когда приглашают больше одного раза.
➡️Кого позовут?
У меня был пост на эту тему, можно изучить его вот тут.
➡️Как проходит?
Все зависит от направления и команды. Чаще всего команда сама не знает, кого хочет видеть, поэтому чаще всего приходит настоящий консилиум специалистов и капитально мучают кандидата (все их вопросы разбираем на наших курсах), но иногда может выпасть просто HR-ка, которая прогонит вас по элементарным вопросам с листочка и даст оффер.
Сама структура собеседований похожа: рассказ о себе, задачи / алгосы, кейсы. Можно самому посмотреть на гитхабе Тинькофф, что ожидать. Для аналитиков писал подробную статью здесь. Не забудьте уточнить все свои вопросы у команды, поскольку ваши представления и позиции и реальность могут сильно отличаться. Например, вы хотите заниматься жесткой продуктовой аналитикой с временными рядами и мл, а команде нужен просто sql писатель. Конечно, вы получите рабочий опыт и возможно в дальнейшем оффер в штат, но ценность такого опыта под вопросом. Лучше подучиться и попробовать податься на более перспективные позиции и получить опыт, которые будет вас продавать как хорошего специалиста в будущем. 
➡️Что дальше?
После собеса интервьюер составляет отзыв на кандидата, его идеальный пример здесь. На основе него могут на кандидата забить, предложить другой команде или вернуться с оффером. Обычно оффер получают через день-два после собеса в лс или по телефону. После 10 дней молчания можете смело стучаться рекрутеру в лс, чтобы получить ответ от команды (реджект). Обязательно просим фитбэк, иногда даже пишут что-то внятное и по фактам. 
➡️Оффер?
Пригласят на подписание документов в офис, выдадут все необходимое, либо предоставят все через представителя. Далее знакомство с ментором и погружение в проект. Если не будете совсем бить баклуши, то вас без проблем возьмут в штат на постоянную позицию.
Подробнее обо всем этом можно посмотреть в видео. Обязательно ставьте огоньки и делитесь с друзьями, если хотите больше подобных постов. 
Обсудить стажировки можно в нашем чате.
Подписаться: @postypashki_old</v>
      </c>
      <c r="I88" s="6" t="str">
        <f>IFERROR(__xludf.DUMMYFUNCTION("""COMPUTED_VALUE"""),"internal")</f>
        <v>internal</v>
      </c>
      <c r="J88" s="10" t="str">
        <f>IFERROR(__xludf.DUMMYFUNCTION("""COMPUTED_VALUE"""),"https://t.me/postypashki_old/1880")</f>
        <v>https://t.me/postypashki_old/1880</v>
      </c>
      <c r="K88" s="6">
        <f>IFERROR(__xludf.DUMMYFUNCTION("""COMPUTED_VALUE"""),12300.0)</f>
        <v>12300</v>
      </c>
      <c r="L88" s="6">
        <f>IFERROR(__xludf.DUMMYFUNCTION("""COMPUTED_VALUE"""),32.0)</f>
        <v>32</v>
      </c>
      <c r="M88" s="6" t="str">
        <f>IFERROR(__xludf.DUMMYFUNCTION("""COMPUTED_VALUE"""),"")</f>
        <v/>
      </c>
      <c r="N88" s="6" t="str">
        <f>IFERROR(__xludf.DUMMYFUNCTION("""COMPUTED_VALUE"""),"Telegram")</f>
        <v>Telegram</v>
      </c>
      <c r="O88" s="6" t="str">
        <f>IFERROR(__xludf.DUMMYFUNCTION("""COMPUTED_VALUE"""),"raw")</f>
        <v>raw</v>
      </c>
      <c r="P88" s="6" t="str">
        <f>IFERROR(__xludf.DUMMYFUNCTION("""COMPUTED_VALUE"""),"Codex")</f>
        <v>Codex</v>
      </c>
      <c r="Q88" s="6" t="str">
        <f>IFERROR(__xludf.DUMMYFUNCTION("""COMPUTED_VALUE"""),"❗️ Через 12 часов закончится отбор на стажировку Т-банк! Разбор всех направлениях выложен только на наших карьерные курсы ПРО. ➡️ Записаться Сразу отвечу на самые популярные вопрос")</f>
        <v>❗️ Через 12 часов закончится отбор на стажировку Т-банк! Разбор всех направлениях выложен только на наших карьерные курсы ПРО. ➡️ Записаться Сразу отвечу на самые популярные вопрос</v>
      </c>
      <c r="R88" s="6" t="str">
        <f>IFERROR(__xludf.DUMMYFUNCTION("""COMPUTED_VALUE"""),"internal")</f>
        <v>internal</v>
      </c>
      <c r="S88" s="6" t="str">
        <f>IFERROR(__xludf.DUMMYFUNCTION("""COMPUTED_VALUE"""),"unknown")</f>
        <v>unknown</v>
      </c>
      <c r="T88" s="6" t="str">
        <f>IFERROR(__xludf.DUMMYFUNCTION("""COMPUTED_VALUE"""),"telegram_internal")</f>
        <v>telegram_internal</v>
      </c>
      <c r="U88" s="6" t="str">
        <f>IFERROR(__xludf.DUMMYFUNCTION("""COMPUTED_VALUE"""),"Контент с предложением курсов")</f>
        <v>Контент с предложением курсов</v>
      </c>
      <c r="V88" s="6" t="str">
        <f>IFERROR(__xludf.DUMMYFUNCTION("""COMPUTED_VALUE"""),"Период продаж")</f>
        <v>Период продаж</v>
      </c>
      <c r="W88" s="6"/>
      <c r="X88" s="6"/>
      <c r="Y88" s="6" t="str">
        <f>IFERROR(__xludf.DUMMYFUNCTION("""COMPUTED_VALUE"""),"")</f>
        <v/>
      </c>
      <c r="Z88" s="6" t="str">
        <f>IFERROR(__xludf.DUMMYFUNCTION("""COMPUTED_VALUE"""),"")</f>
        <v/>
      </c>
      <c r="AA88" s="6" t="b">
        <f>IFERROR(__xludf.DUMMYFUNCTION("""COMPUTED_VALUE"""),TRUE)</f>
        <v>1</v>
      </c>
      <c r="AB88" s="6" t="b">
        <f>IFERROR(__xludf.DUMMYFUNCTION("""COMPUTED_VALUE"""),FALSE)</f>
        <v>0</v>
      </c>
      <c r="AC88" s="6" t="b">
        <f>IFERROR(__xludf.DUMMYFUNCTION("""COMPUTED_VALUE"""),FALSE)</f>
        <v>0</v>
      </c>
      <c r="AD88" s="6" t="b">
        <f>IFERROR(__xludf.DUMMYFUNCTION("""COMPUTED_VALUE"""),FALSE)</f>
        <v>0</v>
      </c>
      <c r="AE88" s="6"/>
      <c r="AF88" s="6" t="b">
        <f>IFERROR(__xludf.DUMMYFUNCTION("""COMPUTED_VALUE"""),FALSE)</f>
        <v>0</v>
      </c>
      <c r="AG88" s="6" t="str">
        <f>IFERROR(__xludf.DUMMYFUNCTION("""COMPUTED_VALUE"""),"2026-09-06T09:06:06+00:00")</f>
        <v>2026-09-06T09:06:06+00:00</v>
      </c>
      <c r="AH88" s="6" t="str">
        <f>IFERROR(__xludf.DUMMYFUNCTION("""COMPUTED_VALUE"""),"")</f>
        <v/>
      </c>
      <c r="AI88" s="6" t="str">
        <f>IFERROR(__xludf.DUMMYFUNCTION("""COMPUTED_VALUE"""),"#N/A")</f>
        <v>#N/A</v>
      </c>
      <c r="AJ88" s="9" t="s">
        <v>167</v>
      </c>
      <c r="AK88" s="9" t="s">
        <v>242</v>
      </c>
      <c r="AM88" s="9" t="s">
        <v>219</v>
      </c>
      <c r="AN88" s="4" t="str">
        <f>IFERROR(__xludf.DUMMYFUNCTION("IF(OR(AJ88=""general_brand"",AJ88=""external"",AJ88=""unknown""),"""",IF(AJ88=""product_line"",IF(AK88=""START"",""Аналитика старт | Алгоритмы старт | Backend старт | ML старт"",IF(AK88=""PRO"",""AI-агенты про | Алгоритмы про | Аналитика про | ML про | Ba"&amp;"ckend про"",IF(AK88=""START | PRO"",""Аналитика старт | Алгоритмы старт | Backend старт | ML старт | AI-агенты про | Алгоритмы про | Аналитика про | ML про | Backend про"",""""))),TEXTJOIN("" | "",TRUE,IF(REGEXMATCH(LOWER(AL88&amp;"" | ""&amp;E88),""аналитика ста"&amp;"рт""),""Аналитика старт"",""""),IF(REGEXMATCH(LOWER(AL88&amp;"" | ""&amp;E88),""алгоритмы старт""),""Алгоритмы старт"",""""),IF(REGEXMATCH(LOWER(AL88&amp;"" | ""&amp;E88),""backend старт""),""Backend старт"",""""),IF(REGEXMATCH(LOWER(AL88&amp;"" | ""&amp;E88),""ml старт""),""ML "&amp;"старт"",""""),IF(REGEXMATCH(LOWER(AL88&amp;"" | ""&amp;E88),""ai[ -]?агент""),""AI-агенты про"",""""),IF(REGEXMATCH(LOWER(AL88&amp;"" | ""&amp;E88),""алгоритмы про""),""Алгоритмы про"",""""),IF(REGEXMATCH(LOWER(AL88&amp;"" | ""&amp;E88),""аналитика про""),""Аналитика про"","""")"&amp;",IF(REGEXMATCH(LOWER(AL88&amp;"" | ""&amp;E88),""ml про""),""ML про"",""""),IF(REGEXMATCH(LOWER(AL88&amp;"" | ""&amp;E88),""backend про""),""Backend про"",""""),IF(REGEXMATCH(LOWER(AL88&amp;"" | ""&amp;E88),""(а/в|ав|а в|ab)[ -]?тест""),""А/В-тесты"",""""),IF(REGEXMATCH(LOWER(AL"&amp;"88&amp;"" | ""&amp;E88),""data science""),""Data science"",""""),IF(REGEXMATCH(LOWER(AL88&amp;"" | ""&amp;E88),""data[- ]?инжен""),""Data-инженер"",""""),IF(REGEXMATCH(LOWER(AL88&amp;"" | ""&amp;E88),""frontend""),""Frontend"",""""))))"),"AI-агенты про | Алгоритмы про | Аналитика про | ML про | Backend про")</f>
        <v>AI-агенты про | Алгоритмы про | Аналитика про | ML про | Backend про</v>
      </c>
    </row>
    <row r="89">
      <c r="A89" s="6" t="str">
        <f>IFERROR(__xludf.DUMMYFUNCTION("""COMPUTED_VALUE"""),"INT-1881")</f>
        <v>INT-1881</v>
      </c>
      <c r="B89" s="6" t="str">
        <f>IFERROR(__xludf.DUMMYFUNCTION("""COMPUTED_VALUE"""),"2026-09-06 15:06:08")</f>
        <v>2026-09-06 15:06:08</v>
      </c>
      <c r="C89" s="6" t="str">
        <f>IFERROR(__xludf.DUMMYFUNCTION("""COMPUTED_VALUE"""),"@postypashki_old")</f>
        <v>@postypashki_old</v>
      </c>
      <c r="D89" s="4" t="str">
        <f>IFERROR(__xludf.DUMMYFUNCTION("""COMPUTED_VALUE"""),"Бесплатное событие / лид-магнит")</f>
        <v>Бесплатное событие / лид-магнит</v>
      </c>
      <c r="E89" s="6"/>
      <c r="F89" s="6" t="str">
        <f>IFERROR(__xludf.DUMMYFUNCTION("""COMPUTED_VALUE"""),"")</f>
        <v/>
      </c>
      <c r="G89" s="6" t="str">
        <f>IFERROR(__xludf.DUMMYFUNCTION("""COMPUTED_VALUE"""),"postypashki_old/1881")</f>
        <v>postypashki_old/1881</v>
      </c>
      <c r="H89" s="6" t="str">
        <f>IFERROR(__xludf.DUMMYFUNCTION("""COMPUTED_VALUE"""),"Разбор экзамена на стажировку в Т-банк за подписку! 
Чтобы получить разбор:
➡️Подпишитесь на нас в запрещенной странице тут
➡️Поставьте «+» в комментариях под последней каруселью тут
➡️После этого бот пришлёт вам материал в директ
Внутри будет разбор эк"&amp;"замена и теста SQL на стажировку Т-банк")</f>
        <v>Разбор экзамена на стажировку в Т-банк за подписку! 
Чтобы получить разбор:
➡️Подпишитесь на нас в запрещенной странице тут
➡️Поставьте «+» в комментариях под последней каруселью тут
➡️После этого бот пришлёт вам материал в директ
Внутри будет разбор экзамена и теста SQL на стажировку Т-банк</v>
      </c>
      <c r="I89" s="6" t="str">
        <f>IFERROR(__xludf.DUMMYFUNCTION("""COMPUTED_VALUE"""),"internal")</f>
        <v>internal</v>
      </c>
      <c r="J89" s="10" t="str">
        <f>IFERROR(__xludf.DUMMYFUNCTION("""COMPUTED_VALUE"""),"https://t.me/postypashki_old/1881")</f>
        <v>https://t.me/postypashki_old/1881</v>
      </c>
      <c r="K89" s="6">
        <f>IFERROR(__xludf.DUMMYFUNCTION("""COMPUTED_VALUE"""),14100.0)</f>
        <v>14100</v>
      </c>
      <c r="L89" s="6">
        <f>IFERROR(__xludf.DUMMYFUNCTION("""COMPUTED_VALUE"""),34.0)</f>
        <v>34</v>
      </c>
      <c r="M89" s="6" t="str">
        <f>IFERROR(__xludf.DUMMYFUNCTION("""COMPUTED_VALUE"""),"")</f>
        <v/>
      </c>
      <c r="N89" s="6" t="str">
        <f>IFERROR(__xludf.DUMMYFUNCTION("""COMPUTED_VALUE"""),"Telegram")</f>
        <v>Telegram</v>
      </c>
      <c r="O89" s="6" t="str">
        <f>IFERROR(__xludf.DUMMYFUNCTION("""COMPUTED_VALUE"""),"raw")</f>
        <v>raw</v>
      </c>
      <c r="P89" s="6" t="str">
        <f>IFERROR(__xludf.DUMMYFUNCTION("""COMPUTED_VALUE"""),"Codex")</f>
        <v>Codex</v>
      </c>
      <c r="Q89" s="6" t="str">
        <f>IFERROR(__xludf.DUMMYFUNCTION("""COMPUTED_VALUE"""),"Разбор экзамена на стажировку в Т-банк за подписку! Чтобы получить разбор: ➡️Подпишитесь на нас в запрещенной странице тут ➡️Поставьте «+» в комментариях под последней каруселью ту")</f>
        <v>Разбор экзамена на стажировку в Т-банк за подписку! Чтобы получить разбор: ➡️Подпишитесь на нас в запрещенной странице тут ➡️Поставьте «+» в комментариях под последней каруселью ту</v>
      </c>
      <c r="R89" s="6" t="str">
        <f>IFERROR(__xludf.DUMMYFUNCTION("""COMPUTED_VALUE"""),"internal")</f>
        <v>internal</v>
      </c>
      <c r="S89" s="6" t="str">
        <f>IFERROR(__xludf.DUMMYFUNCTION("""COMPUTED_VALUE"""),"unknown")</f>
        <v>unknown</v>
      </c>
      <c r="T89" s="6" t="str">
        <f>IFERROR(__xludf.DUMMYFUNCTION("""COMPUTED_VALUE"""),"telegram_internal")</f>
        <v>telegram_internal</v>
      </c>
      <c r="U89" s="6" t="str">
        <f>IFERROR(__xludf.DUMMYFUNCTION("""COMPUTED_VALUE"""),"Бесплатное событие / лид-магнит")</f>
        <v>Бесплатное событие / лид-магнит</v>
      </c>
      <c r="V89" s="6" t="str">
        <f>IFERROR(__xludf.DUMMYFUNCTION("""COMPUTED_VALUE"""),"Период продаж")</f>
        <v>Период продаж</v>
      </c>
      <c r="W89" s="6" t="str">
        <f>IFERROR(__xludf.DUMMYFUNCTION("""COMPUTED_VALUE"""),"Фото")</f>
        <v>Фото</v>
      </c>
      <c r="X89" s="6"/>
      <c r="Y89" s="6" t="str">
        <f>IFERROR(__xludf.DUMMYFUNCTION("""COMPUTED_VALUE"""),"")</f>
        <v/>
      </c>
      <c r="Z89" s="6" t="str">
        <f>IFERROR(__xludf.DUMMYFUNCTION("""COMPUTED_VALUE"""),"")</f>
        <v/>
      </c>
      <c r="AA89" s="6" t="b">
        <f>IFERROR(__xludf.DUMMYFUNCTION("""COMPUTED_VALUE"""),FALSE)</f>
        <v>0</v>
      </c>
      <c r="AB89" s="6" t="b">
        <f>IFERROR(__xludf.DUMMYFUNCTION("""COMPUTED_VALUE"""),FALSE)</f>
        <v>0</v>
      </c>
      <c r="AC89" s="6" t="b">
        <f>IFERROR(__xludf.DUMMYFUNCTION("""COMPUTED_VALUE"""),FALSE)</f>
        <v>0</v>
      </c>
      <c r="AD89" s="6" t="b">
        <f>IFERROR(__xludf.DUMMYFUNCTION("""COMPUTED_VALUE"""),TRUE)</f>
        <v>1</v>
      </c>
      <c r="AE89" s="6"/>
      <c r="AF89" s="6" t="b">
        <f>IFERROR(__xludf.DUMMYFUNCTION("""COMPUTED_VALUE"""),FALSE)</f>
        <v>0</v>
      </c>
      <c r="AG89" s="6" t="str">
        <f>IFERROR(__xludf.DUMMYFUNCTION("""COMPUTED_VALUE"""),"2026-09-06T12:06:08+00:00")</f>
        <v>2026-09-06T12:06:08+00:00</v>
      </c>
      <c r="AH89" s="6" t="str">
        <f>IFERROR(__xludf.DUMMYFUNCTION("""COMPUTED_VALUE"""),"")</f>
        <v/>
      </c>
      <c r="AI89" s="6" t="str">
        <f>IFERROR(__xludf.DUMMYFUNCTION("""COMPUTED_VALUE"""),"#N/A")</f>
        <v>#N/A</v>
      </c>
      <c r="AJ89" s="9" t="s">
        <v>208</v>
      </c>
      <c r="AM89" s="9" t="s">
        <v>219</v>
      </c>
      <c r="AN89" s="6" t="str">
        <f>IFERROR(__xludf.DUMMYFUNCTION("IF(OR(AJ89=""general_brand"",AJ89=""external"",AJ89=""unknown""),"""",IF(AJ89=""product_line"",IF(AK89=""START"",""Аналитика старт | Алгоритмы старт | Backend старт | ML старт"",IF(AK89=""PRO"",""AI-агенты про | Алгоритмы про | Аналитика про | ML про | Ba"&amp;"ckend про"",IF(AK89=""START | PRO"",""Аналитика старт | Алгоритмы старт | Backend старт | ML старт | AI-агенты про | Алгоритмы про | Аналитика про | ML про | Backend про"",""""))),TEXTJOIN("" | "",TRUE,IF(REGEXMATCH(LOWER(AL89&amp;"" | ""&amp;E89),""аналитика ста"&amp;"рт""),""Аналитика старт"",""""),IF(REGEXMATCH(LOWER(AL89&amp;"" | ""&amp;E89),""алгоритмы старт""),""Алгоритмы старт"",""""),IF(REGEXMATCH(LOWER(AL89&amp;"" | ""&amp;E89),""backend старт""),""Backend старт"",""""),IF(REGEXMATCH(LOWER(AL89&amp;"" | ""&amp;E89),""ml старт""),""ML "&amp;"старт"",""""),IF(REGEXMATCH(LOWER(AL89&amp;"" | ""&amp;E89),""ai[ -]?агент""),""AI-агенты про"",""""),IF(REGEXMATCH(LOWER(AL89&amp;"" | ""&amp;E89),""алгоритмы про""),""Алгоритмы про"",""""),IF(REGEXMATCH(LOWER(AL89&amp;"" | ""&amp;E89),""аналитика про""),""Аналитика про"","""")"&amp;",IF(REGEXMATCH(LOWER(AL89&amp;"" | ""&amp;E89),""ml про""),""ML про"",""""),IF(REGEXMATCH(LOWER(AL89&amp;"" | ""&amp;E89),""backend про""),""Backend про"",""""),IF(REGEXMATCH(LOWER(AL89&amp;"" | ""&amp;E89),""(а/в|ав|а в|ab)[ -]?тест""),""А/В-тесты"",""""),IF(REGEXMATCH(LOWER(AL"&amp;"89&amp;"" | ""&amp;E89),""data science""),""Data science"",""""),IF(REGEXMATCH(LOWER(AL89&amp;"" | ""&amp;E89),""data[- ]?инжен""),""Data-инженер"",""""),IF(REGEXMATCH(LOWER(AL89&amp;"" | ""&amp;E89),""frontend""),""Frontend"",""""))))"),"")</f>
        <v/>
      </c>
    </row>
    <row r="90">
      <c r="A90" s="6" t="str">
        <f>IFERROR(__xludf.DUMMYFUNCTION("""COMPUTED_VALUE"""),"INT-1882")</f>
        <v>INT-1882</v>
      </c>
      <c r="B90" s="6" t="str">
        <f>IFERROR(__xludf.DUMMYFUNCTION("""COMPUTED_VALUE"""),"2026-09-06 18:04:47")</f>
        <v>2026-09-06 18:04:47</v>
      </c>
      <c r="C90" s="6" t="str">
        <f>IFERROR(__xludf.DUMMYFUNCTION("""COMPUTED_VALUE"""),"@postypashki_old")</f>
        <v>@postypashki_old</v>
      </c>
      <c r="D90" s="4" t="str">
        <f>IFERROR(__xludf.DUMMYFUNCTION("""COMPUTED_VALUE"""),"Контент с упоминанием")</f>
        <v>Контент с упоминанием</v>
      </c>
      <c r="E90" s="6" t="str">
        <f>IFERROR(__xludf.DUMMYFUNCTION("""COMPUTED_VALUE"""),"Backend старт")</f>
        <v>Backend старт</v>
      </c>
      <c r="F90" s="6" t="str">
        <f>IFERROR(__xludf.DUMMYFUNCTION("""COMPUTED_VALUE"""),"")</f>
        <v/>
      </c>
      <c r="G90" s="6" t="str">
        <f>IFERROR(__xludf.DUMMYFUNCTION("""COMPUTED_VALUE"""),"postypashki_old/1882")</f>
        <v>postypashki_old/1882</v>
      </c>
      <c r="H90" s="6" t="str">
        <f>IFERROR(__xludf.DUMMYFUNCTION("""COMPUTED_VALUE"""),"Стажировки для разработчиков 
В посте обсудим, куда можно податься начинающему разработчику, а также как выглядят этапы отборов. Весь процесс в целом един: Тетс/Тестовое + Анкета ➡️ Финалы. Финальных собесов может быть несколько: с рекрутером, с ментором"&amp;", с руководителем, с мамой руководителя и тд. И спросить могут все, что угодно, даже тюремные загадки (математические задачи на логику). Но о том, какой базовый минимум для подачи ниже. 
Можно смело подаваться на начальные позиции, когда знаете базу по я"&amp;"зыку, базу по сетям и алгоритмы. Алгоритмы отдельный интересный момент. Они есть в тестах, на технических собесах и их могут спокойно спросить на финальных собесах. Нередко ребятам-олимпиадникам или ребятам с высоким рейтингом на codeforces пишут в личку "&amp;"сами рекрутеры и зовут на собесы, иногда скипая несколько этапов отбора. 
На стажировки можно податься тремя путями: 
1. Массовые наборы 
2. Единичные вакансии на сайте компании
3. Школы от компаний, где по итогу зовут в штат/на стажировку. Например, Т-б"&amp;"анк академия, Летняя школа Яндекса, Vk education, Ozon Route и так далее тому подобное, их реально куча-куча. 
Основные компании, которые высасывают начинающих кандидатов, приведу ниже. Но есть и так называемые галеры. Вообще галера-галере рознь. Кроме б"&amp;"игтехов приведенных ниже есть еще и Газпром, ВТБ, Альфа-банк, всякие заводы, где программируют чипы, да и вообще всякие аутстафы. Нередко туда идут отчаявшиеся ребята заниматься каким-то кринжом в  духе ""мобильный разработчик С++ на IOS"" в надежде получ"&amp;"ить какой-то опыт и уже с ним подаваться в более привлекательные проекты. Мое же мнение: да, встречаются интересные вакансии и такие истории успеха, но по моему опыту на разработчика они встречаются очень редко и такой опыт никакого ощутимого импакта в ва"&amp;"шу карьеру не вносит. Я бы советовал в такой ситуации приглядеться на худой конец к школам дополнительное образования (ШАД, АА, курсы от компаний) и лабораториям, где учебный опыт можно кое-как попробовать оформить как ""рабочий"". 
1. Т-банк
0. Контест "&amp;"на алгосы (сегодня дедлайн), чей разбор уже выложен на наших курсах про.
1. Финальный собес 
ЗП 80-100 тыс. 
2. Яндекс
0. Контест на алгосы, разбор будет только на наших курсах ПРО. 
1. Собесы на алгосы + вопросы по языку и самой базе по сетям (чекайте в"&amp;" программе бэкенд старт). 
2. Финалы с командами 
ЗП 80-100 тыс.
3. VK 
Сразу подаешься в команду.
0. Тестовое (написать какой-нибудь сервис) 
1. Финал 
ЗП 70 тыс. 
4. Авито 
0. Тест 
1. Тестовое (написать сервис)
2. Финал
ЗП 90-120 тыс.
5. Сбер 
0. За"&amp;"дание в виде теста. Потом резюме попадает в общий пул, из которого выбирают команды и hr. 
1. Финальный собес 
ЗП 40-60 тыс.
6. Ozon
0. Тестовое в духе написать HTTP сервис 
1. Финал 
7. Касперский
0. Тесты
• Если направление «Безопасность сетей», то ну"&amp;"жно пройти тестовое на ""Windows, Linux, C, C++""
• Если направление «Администратор систем», то нужно пройти тестовое «Windows, Linux, …” 
и все в таком духе 
1. Тестовое (написать сервис).
2. Финал с тюремными загадками. 
Как к такому подготовиться - кр"&amp;"атко
0. Решать литкод. Задач 150 на основные темы хватит (темы чекайте в программе алгосы старт)
1. Выучить язык (не только русский): синтаксис, чуть-чуть что под компотом, многопоточку) 
2. Знать базу про сети (HTTP и тд). 
В целом уже с этим можно ходи"&amp;"ть по собесам. Параллельно с этим качаем свой профессиональный рейтинг по советам отсюда. 
Подписаться: @postypashki_old")</f>
        <v>Стажировки для разработчиков 
В посте обсудим, куда можно податься начинающему разработчику, а также как выглядят этапы отборов. Весь процесс в целом един: Тетс/Тестовое + Анкета ➡️ Финалы. Финальных собесов может быть несколько: с рекрутером, с ментором, с руководителем, с мамой руководителя и тд. И спросить могут все, что угодно, даже тюремные загадки (математические задачи на логику). Но о том, какой базовый минимум для подачи ниже. 
Можно смело подаваться на начальные позиции, когда знаете базу по языку, базу по сетям и алгоритмы. Алгоритмы отдельный интересный момент. Они есть в тестах, на технических собесах и их могут спокойно спросить на финальных собесах. Нередко ребятам-олимпиадникам или ребятам с высоким рейтингом на codeforces пишут в личку сами рекрутеры и зовут на собесы, иногда скипая несколько этапов отбора. 
На стажировки можно податься тремя путями: 
1. Массовые наборы 
2. Единичные вакансии на сайте компании
3. Школы от компаний, где по итогу зовут в штат/на стажировку. Например, Т-банк академия, Летняя школа Яндекса, Vk education, Ozon Route и так далее тому подобное, их реально куча-куча. 
Основные компании, которые высасывают начинающих кандидатов, приведу ниже. Но есть и так называемые галеры. Вообще галера-галере рознь. Кроме бигтехов приведенных ниже есть еще и Газпром, ВТБ, Альфа-банк, всякие заводы, где программируют чипы, да и вообще всякие аутстафы. Нередко туда идут отчаявшиеся ребята заниматься каким-то кринжом в  духе "мобильный разработчик С++ на IOS" в надежде получить какой-то опыт и уже с ним подаваться в более привлекательные проекты. Мое же мнение: да, встречаются интересные вакансии и такие истории успеха, но по моему опыту на разработчика они встречаются очень редко и такой опыт никакого ощутимого импакта в вашу карьеру не вносит. Я бы советовал в такой ситуации приглядеться на худой конец к школам дополнительное образования (ШАД, АА, курсы от компаний) и лабораториям, где учебный опыт можно кое-как попробовать оформить как "рабочий". 
1. Т-банк
0. Контест на алгосы (сегодня дедлайн), чей разбор уже выложен на наших курсах про.
1. Финальный собес 
ЗП 80-100 тыс. 
2. Яндекс
0. Контест на алгосы, разбор будет только на наших курсах ПРО. 
1. Собесы на алгосы + вопросы по языку и самой базе по сетям (чекайте в программе бэкенд старт). 
2. Финалы с командами 
ЗП 80-100 тыс.
3. VK 
Сразу подаешься в команду.
0. Тестовое (написать какой-нибудь сервис) 
1. Финал 
ЗП 70 тыс. 
4. Авито 
0. Тест 
1. Тестовое (написать сервис)
2. Финал
ЗП 90-120 тыс.
5. Сбер 
0. Задание в виде теста. Потом резюме попадает в общий пул, из которого выбирают команды и hr. 
1. Финальный собес 
ЗП 40-60 тыс.
6. Ozon
0. Тестовое в духе написать HTTP сервис 
1. Финал 
7. Касперский
0. Тесты
• Если направление «Безопасность сетей», то нужно пройти тестовое на "Windows, Linux, C, C++"
• Если направление «Администратор систем», то нужно пройти тестовое «Windows, Linux, …” 
и все в таком духе 
1. Тестовое (написать сервис).
2. Финал с тюремными загадками. 
Как к такому подготовиться - кратко
0. Решать литкод. Задач 150 на основные темы хватит (темы чекайте в программе алгосы старт)
1. Выучить язык (не только русский): синтаксис, чуть-чуть что под компотом, многопоточку) 
2. Знать базу про сети (HTTP и тд). 
В целом уже с этим можно ходить по собесам. Параллельно с этим качаем свой профессиональный рейтинг по советам отсюда. 
Подписаться: @postypashki_old</v>
      </c>
      <c r="I90" s="6" t="str">
        <f>IFERROR(__xludf.DUMMYFUNCTION("""COMPUTED_VALUE"""),"internal")</f>
        <v>internal</v>
      </c>
      <c r="J90" s="10" t="str">
        <f>IFERROR(__xludf.DUMMYFUNCTION("""COMPUTED_VALUE"""),"https://t.me/postypashki_old/1882")</f>
        <v>https://t.me/postypashki_old/1882</v>
      </c>
      <c r="K90" s="6">
        <f>IFERROR(__xludf.DUMMYFUNCTION("""COMPUTED_VALUE"""),11500.0)</f>
        <v>11500</v>
      </c>
      <c r="L90" s="6">
        <f>IFERROR(__xludf.DUMMYFUNCTION("""COMPUTED_VALUE"""),51.0)</f>
        <v>51</v>
      </c>
      <c r="M90" s="6" t="str">
        <f>IFERROR(__xludf.DUMMYFUNCTION("""COMPUTED_VALUE"""),"")</f>
        <v/>
      </c>
      <c r="N90" s="6" t="str">
        <f>IFERROR(__xludf.DUMMYFUNCTION("""COMPUTED_VALUE"""),"Telegram")</f>
        <v>Telegram</v>
      </c>
      <c r="O90" s="6" t="str">
        <f>IFERROR(__xludf.DUMMYFUNCTION("""COMPUTED_VALUE"""),"raw")</f>
        <v>raw</v>
      </c>
      <c r="P90" s="6" t="str">
        <f>IFERROR(__xludf.DUMMYFUNCTION("""COMPUTED_VALUE"""),"Codex")</f>
        <v>Codex</v>
      </c>
      <c r="Q90" s="6" t="str">
        <f>IFERROR(__xludf.DUMMYFUNCTION("""COMPUTED_VALUE"""),"Стажировки для разработчиков В посте обсудим, куда можно податься начинающему разработчику, а также как выглядят этапы отборов. Весь процесс в целом един: Тетс/Тестовое + Анкета ➡️")</f>
        <v>Стажировки для разработчиков В посте обсудим, куда можно податься начинающему разработчику, а также как выглядят этапы отборов. Весь процесс в целом един: Тетс/Тестовое + Анкета ➡️</v>
      </c>
      <c r="R90" s="6" t="str">
        <f>IFERROR(__xludf.DUMMYFUNCTION("""COMPUTED_VALUE"""),"internal")</f>
        <v>internal</v>
      </c>
      <c r="S90" s="6" t="str">
        <f>IFERROR(__xludf.DUMMYFUNCTION("""COMPUTED_VALUE"""),"unknown")</f>
        <v>unknown</v>
      </c>
      <c r="T90" s="6" t="str">
        <f>IFERROR(__xludf.DUMMYFUNCTION("""COMPUTED_VALUE"""),"telegram_internal")</f>
        <v>telegram_internal</v>
      </c>
      <c r="U90" s="6" t="str">
        <f>IFERROR(__xludf.DUMMYFUNCTION("""COMPUTED_VALUE"""),"Контент с упоминанием")</f>
        <v>Контент с упоминанием</v>
      </c>
      <c r="V90" s="6" t="str">
        <f>IFERROR(__xludf.DUMMYFUNCTION("""COMPUTED_VALUE"""),"Период продаж")</f>
        <v>Период продаж</v>
      </c>
      <c r="W90" s="6"/>
      <c r="X90" s="6"/>
      <c r="Y90" s="6" t="str">
        <f>IFERROR(__xludf.DUMMYFUNCTION("""COMPUTED_VALUE"""),"")</f>
        <v/>
      </c>
      <c r="Z90" s="6" t="str">
        <f>IFERROR(__xludf.DUMMYFUNCTION("""COMPUTED_VALUE"""),"")</f>
        <v/>
      </c>
      <c r="AA90" s="6" t="b">
        <f>IFERROR(__xludf.DUMMYFUNCTION("""COMPUTED_VALUE"""),TRUE)</f>
        <v>1</v>
      </c>
      <c r="AB90" s="6" t="b">
        <f>IFERROR(__xludf.DUMMYFUNCTION("""COMPUTED_VALUE"""),FALSE)</f>
        <v>0</v>
      </c>
      <c r="AC90" s="6" t="b">
        <f>IFERROR(__xludf.DUMMYFUNCTION("""COMPUTED_VALUE"""),FALSE)</f>
        <v>0</v>
      </c>
      <c r="AD90" s="6" t="b">
        <f>IFERROR(__xludf.DUMMYFUNCTION("""COMPUTED_VALUE"""),FALSE)</f>
        <v>0</v>
      </c>
      <c r="AE90" s="6"/>
      <c r="AF90" s="6" t="b">
        <f>IFERROR(__xludf.DUMMYFUNCTION("""COMPUTED_VALUE"""),FALSE)</f>
        <v>0</v>
      </c>
      <c r="AG90" s="6" t="str">
        <f>IFERROR(__xludf.DUMMYFUNCTION("""COMPUTED_VALUE"""),"2026-09-06T15:04:47+00:00")</f>
        <v>2026-09-06T15:04:47+00:00</v>
      </c>
      <c r="AH90" s="6" t="str">
        <f>IFERROR(__xludf.DUMMYFUNCTION("""COMPUTED_VALUE"""),"")</f>
        <v/>
      </c>
      <c r="AI90" s="6" t="str">
        <f>IFERROR(__xludf.DUMMYFUNCTION("""COMPUTED_VALUE"""),"#N/A")</f>
        <v>#N/A</v>
      </c>
      <c r="AJ90" s="9" t="s">
        <v>224</v>
      </c>
      <c r="AK90" s="9" t="s">
        <v>213</v>
      </c>
      <c r="AL90" s="4" t="s">
        <v>232</v>
      </c>
      <c r="AM90" s="9" t="s">
        <v>231</v>
      </c>
      <c r="AN90" s="4" t="str">
        <f>IFERROR(__xludf.DUMMYFUNCTION("IF(OR(AJ90=""general_brand"",AJ90=""external"",AJ90=""unknown""),"""",IF(AJ90=""product_line"",IF(AK90=""START"",""Аналитика старт | Алгоритмы старт | Backend старт | ML старт"",IF(AK90=""PRO"",""AI-агенты про | Алгоритмы про | Аналитика про | ML про | Ba"&amp;"ckend про"",IF(AK90=""START | PRO"",""Аналитика старт | Алгоритмы старт | Backend старт | ML старт | AI-агенты про | Алгоритмы про | Аналитика про | ML про | Backend про"",""""))),TEXTJOIN("" | "",TRUE,IF(REGEXMATCH(LOWER(AL90&amp;"" | ""&amp;E90),""аналитика ста"&amp;"рт""),""Аналитика старт"",""""),IF(REGEXMATCH(LOWER(AL90&amp;"" | ""&amp;E90),""алгоритмы старт""),""Алгоритмы старт"",""""),IF(REGEXMATCH(LOWER(AL90&amp;"" | ""&amp;E90),""backend старт""),""Backend старт"",""""),IF(REGEXMATCH(LOWER(AL90&amp;"" | ""&amp;E90),""ml старт""),""ML "&amp;"старт"",""""),IF(REGEXMATCH(LOWER(AL90&amp;"" | ""&amp;E90),""ai[ -]?агент""),""AI-агенты про"",""""),IF(REGEXMATCH(LOWER(AL90&amp;"" | ""&amp;E90),""алгоритмы про""),""Алгоритмы про"",""""),IF(REGEXMATCH(LOWER(AL90&amp;"" | ""&amp;E90),""аналитика про""),""Аналитика про"","""")"&amp;",IF(REGEXMATCH(LOWER(AL90&amp;"" | ""&amp;E90),""ml про""),""ML про"",""""),IF(REGEXMATCH(LOWER(AL90&amp;"" | ""&amp;E90),""backend про""),""Backend про"",""""),IF(REGEXMATCH(LOWER(AL90&amp;"" | ""&amp;E90),""(а/в|ав|а в|ab)[ -]?тест""),""А/В-тесты"",""""),IF(REGEXMATCH(LOWER(AL"&amp;"90&amp;"" | ""&amp;E90),""data science""),""Data science"",""""),IF(REGEXMATCH(LOWER(AL90&amp;"" | ""&amp;E90),""data[- ]?инжен""),""Data-инженер"",""""),IF(REGEXMATCH(LOWER(AL90&amp;"" | ""&amp;E90),""frontend""),""Frontend"",""""))))"),"Backend старт")</f>
        <v>Backend старт</v>
      </c>
    </row>
    <row r="91">
      <c r="A91" s="6" t="str">
        <f>IFERROR(__xludf.DUMMYFUNCTION("""COMPUTED_VALUE"""),"INT-1883")</f>
        <v>INT-1883</v>
      </c>
      <c r="B91" s="6" t="str">
        <f>IFERROR(__xludf.DUMMYFUNCTION("""COMPUTED_VALUE"""),"2026-09-06 20:44:11")</f>
        <v>2026-09-06 20:44:11</v>
      </c>
      <c r="C91" s="6" t="str">
        <f>IFERROR(__xludf.DUMMYFUNCTION("""COMPUTED_VALUE"""),"@postypashki_old")</f>
        <v>@postypashki_old</v>
      </c>
      <c r="D91" s="4" t="str">
        <f>IFERROR(__xludf.DUMMYFUNCTION("""COMPUTED_VALUE"""),"Контент с предложением курсов")</f>
        <v>Контент с предложением курсов</v>
      </c>
      <c r="E91" s="6"/>
      <c r="F91" s="6" t="str">
        <f>IFERROR(__xludf.DUMMYFUNCTION("""COMPUTED_VALUE"""),"")</f>
        <v/>
      </c>
      <c r="G91" s="6" t="str">
        <f>IFERROR(__xludf.DUMMYFUNCTION("""COMPUTED_VALUE"""),"postypashki_old/1883")</f>
        <v>postypashki_old/1883</v>
      </c>
      <c r="H91" s="6" t="str">
        <f>IFERROR(__xludf.DUMMYFUNCTION("""COMPUTED_VALUE"""),"Слив протоколов собеседований на аналитика в Т-Банке
Чтобы вы реально почувствовали насколько круты наши курсы, сливаем внутреннюю кухню - как реально проходят секции аналитики в Т-Банке. Три гайда, и они закрывают сразу два разных направления - продукто"&amp;"вый и бизнесовый. Еще больше закрытых материалов на наших курсах про. Короче курсы реально годный, залетаем. Отзыв нашего выпускника ниже. 
Каркас у собесов один - 4 этапа: рекрутёр → профильная секция → знакомство с командой → оффер. Тут как раз на разн"&amp;"ых аналитиков идет разветвление.
Трек 1. Продуктовый аналитик. 
Техчасть делится на две секции:
— Дата-анализ (60 мин) — теорвер, матстат и лайвкодинг на SQL и Python. Всё хардовое живёт тут.
— Продуктовая аналитика (60 мин) — метрики, гипотезы, кейсы пр"&amp;"одукта. Хардов нет, смотрят на мышление и умение доводить решение до конечной точки.
Гайд ""Продуктовая аналитика"" - как раз про это: 21 разобранный кейс (условие → ход решения → на что смотрит интервьюер → усложнения), матрица компетенций, чеклист пере"&amp;"д собесом, шпаргалка по теории и отдельный технический минимум под DA-секцию. Плюс блок кейсов для тех, кто идёт на позицию управленца отдела аналитиков. 
Трек 2. Бизнес-аналитик.
Тут SQL и лайвкодинга нет - одна секция на 60 минут: разбор вашего опыта п"&amp;"люс бизнес-кейс на развитие продукта, улучшение процесса или поиск узкого места. Тут также смотрят больше на ход ваших мыслей, а не то, как вы сходу выдаете готовый ответ. Отдельно стоит присмотреться ребятам, кто метит на позицию технолога (это стык бизн"&amp;"ес-аналитика, системного, продуктового, проджекта и продакта, нишевая тема в общем), для вас тоже актуальный контент, так как собесы у этих двух позиций пересекаются. Гайд ""Бизнес-анализ"" - про этот трек: матрица компетенций от джуна до сеньора, каркас "&amp;"разбора любого кейса и 6 примеров кейсов.
Общий блок - задачи на логику. 27 штук с реальных собесов: логика и дедукция, теорвер (Байес, условная вероятность, правило остановки) и оценки/алгоритмы/теория игр. У каждой полный разбор с ключевой идеей, а не "&amp;"просто ответ.
Еще дополнительную информацию оставил в нашем чатике тут. 
Подписаться: @postypashki_old")</f>
        <v>Слив протоколов собеседований на аналитика в Т-Банке
Чтобы вы реально почувствовали насколько круты наши курсы, сливаем внутреннюю кухню - как реально проходят секции аналитики в Т-Банке. Три гайда, и они закрывают сразу два разных направления - продуктовый и бизнесовый. Еще больше закрытых материалов на наших курсах про. Короче курсы реально годный, залетаем. Отзыв нашего выпускника ниже. 
Каркас у собесов один - 4 этапа: рекрутёр → профильная секция → знакомство с командой → оффер. Тут как раз на разных аналитиков идет разветвление.
Трек 1. Продуктовый аналитик. 
Техчасть делится на две секции:
— Дата-анализ (60 мин) — теорвер, матстат и лайвкодинг на SQL и Python. Всё хардовое живёт тут.
— Продуктовая аналитика (60 мин) — метрики, гипотезы, кейсы продукта. Хардов нет, смотрят на мышление и умение доводить решение до конечной точки.
Гайд "Продуктовая аналитика" - как раз про это: 21 разобранный кейс (условие → ход решения → на что смотрит интервьюер → усложнения), матрица компетенций, чеклист перед собесом, шпаргалка по теории и отдельный технический минимум под DA-секцию. Плюс блок кейсов для тех, кто идёт на позицию управленца отдела аналитиков. 
Трек 2. Бизнес-аналитик.
Тут SQL и лайвкодинга нет - одна секция на 60 минут: разбор вашего опыта плюс бизнес-кейс на развитие продукта, улучшение процесса или поиск узкого места. Тут также смотрят больше на ход ваших мыслей, а не то, как вы сходу выдаете готовый ответ. Отдельно стоит присмотреться ребятам, кто метит на позицию технолога (это стык бизнес-аналитика, системного, продуктового, проджекта и продакта, нишевая тема в общем), для вас тоже актуальный контент, так как собесы у этих двух позиций пересекаются. Гайд "Бизнес-анализ" - про этот трек: матрица компетенций от джуна до сеньора, каркас разбора любого кейса и 6 примеров кейсов.
Общий блок - задачи на логику. 27 штук с реальных собесов: логика и дедукция, теорвер (Байес, условная вероятность, правило остановки) и оценки/алгоритмы/теория игр. У каждой полный разбор с ключевой идеей, а не просто ответ.
Еще дополнительную информацию оставил в нашем чатике тут. 
Подписаться: @postypashki_old</v>
      </c>
      <c r="I91" s="6" t="str">
        <f>IFERROR(__xludf.DUMMYFUNCTION("""COMPUTED_VALUE"""),"internal")</f>
        <v>internal</v>
      </c>
      <c r="J91" s="10" t="str">
        <f>IFERROR(__xludf.DUMMYFUNCTION("""COMPUTED_VALUE"""),"https://t.me/postypashki_old/1883")</f>
        <v>https://t.me/postypashki_old/1883</v>
      </c>
      <c r="K91" s="6">
        <f>IFERROR(__xludf.DUMMYFUNCTION("""COMPUTED_VALUE"""),13800.0)</f>
        <v>13800</v>
      </c>
      <c r="L91" s="6">
        <f>IFERROR(__xludf.DUMMYFUNCTION("""COMPUTED_VALUE"""),30.0)</f>
        <v>30</v>
      </c>
      <c r="M91" s="6" t="str">
        <f>IFERROR(__xludf.DUMMYFUNCTION("""COMPUTED_VALUE"""),"")</f>
        <v/>
      </c>
      <c r="N91" s="6" t="str">
        <f>IFERROR(__xludf.DUMMYFUNCTION("""COMPUTED_VALUE"""),"Telegram")</f>
        <v>Telegram</v>
      </c>
      <c r="O91" s="6" t="str">
        <f>IFERROR(__xludf.DUMMYFUNCTION("""COMPUTED_VALUE"""),"raw")</f>
        <v>raw</v>
      </c>
      <c r="P91" s="6" t="str">
        <f>IFERROR(__xludf.DUMMYFUNCTION("""COMPUTED_VALUE"""),"Codex")</f>
        <v>Codex</v>
      </c>
      <c r="Q91" s="6" t="str">
        <f>IFERROR(__xludf.DUMMYFUNCTION("""COMPUTED_VALUE"""),"Слив протоколов собеседований на аналитика в Т-Банке Чтобы вы реально почувствовали насколько круты наши курсы, сливаем внутреннюю кухню - как реально проходят секции аналитики в Т")</f>
        <v>Слив протоколов собеседований на аналитика в Т-Банке Чтобы вы реально почувствовали насколько круты наши курсы, сливаем внутреннюю кухню - как реально проходят секции аналитики в Т</v>
      </c>
      <c r="R91" s="6" t="str">
        <f>IFERROR(__xludf.DUMMYFUNCTION("""COMPUTED_VALUE"""),"internal")</f>
        <v>internal</v>
      </c>
      <c r="S91" s="6" t="str">
        <f>IFERROR(__xludf.DUMMYFUNCTION("""COMPUTED_VALUE"""),"unknown")</f>
        <v>unknown</v>
      </c>
      <c r="T91" s="6" t="str">
        <f>IFERROR(__xludf.DUMMYFUNCTION("""COMPUTED_VALUE"""),"telegram_internal")</f>
        <v>telegram_internal</v>
      </c>
      <c r="U91" s="6" t="str">
        <f>IFERROR(__xludf.DUMMYFUNCTION("""COMPUTED_VALUE"""),"Контент с предложением курсов")</f>
        <v>Контент с предложением курсов</v>
      </c>
      <c r="V91" s="6" t="str">
        <f>IFERROR(__xludf.DUMMYFUNCTION("""COMPUTED_VALUE"""),"Период продаж")</f>
        <v>Период продаж</v>
      </c>
      <c r="W91" s="6" t="str">
        <f>IFERROR(__xludf.DUMMYFUNCTION("""COMPUTED_VALUE"""),"Файл")</f>
        <v>Файл</v>
      </c>
      <c r="X91" s="6"/>
      <c r="Y91" s="6" t="str">
        <f>IFERROR(__xludf.DUMMYFUNCTION("""COMPUTED_VALUE"""),"")</f>
        <v/>
      </c>
      <c r="Z91" s="6" t="str">
        <f>IFERROR(__xludf.DUMMYFUNCTION("""COMPUTED_VALUE"""),"")</f>
        <v/>
      </c>
      <c r="AA91" s="6" t="b">
        <f>IFERROR(__xludf.DUMMYFUNCTION("""COMPUTED_VALUE"""),TRUE)</f>
        <v>1</v>
      </c>
      <c r="AB91" s="6" t="b">
        <f>IFERROR(__xludf.DUMMYFUNCTION("""COMPUTED_VALUE"""),FALSE)</f>
        <v>0</v>
      </c>
      <c r="AC91" s="6" t="b">
        <f>IFERROR(__xludf.DUMMYFUNCTION("""COMPUTED_VALUE"""),FALSE)</f>
        <v>0</v>
      </c>
      <c r="AD91" s="6" t="b">
        <f>IFERROR(__xludf.DUMMYFUNCTION("""COMPUTED_VALUE"""),FALSE)</f>
        <v>0</v>
      </c>
      <c r="AE91" s="6"/>
      <c r="AF91" s="6" t="b">
        <f>IFERROR(__xludf.DUMMYFUNCTION("""COMPUTED_VALUE"""),FALSE)</f>
        <v>0</v>
      </c>
      <c r="AG91" s="6" t="str">
        <f>IFERROR(__xludf.DUMMYFUNCTION("""COMPUTED_VALUE"""),"2026-09-06T17:44:11+00:00")</f>
        <v>2026-09-06T17:44:11+00:00</v>
      </c>
      <c r="AH91" s="6" t="str">
        <f>IFERROR(__xludf.DUMMYFUNCTION("""COMPUTED_VALUE"""),"")</f>
        <v/>
      </c>
      <c r="AI91" s="6" t="str">
        <f>IFERROR(__xludf.DUMMYFUNCTION("""COMPUTED_VALUE"""),"#N/A")</f>
        <v>#N/A</v>
      </c>
      <c r="AJ91" s="9" t="s">
        <v>167</v>
      </c>
      <c r="AK91" s="9" t="s">
        <v>242</v>
      </c>
      <c r="AM91" s="9" t="s">
        <v>228</v>
      </c>
      <c r="AN91" s="4" t="str">
        <f>IFERROR(__xludf.DUMMYFUNCTION("IF(OR(AJ91=""general_brand"",AJ91=""external"",AJ91=""unknown""),"""",IF(AJ91=""product_line"",IF(AK91=""START"",""Аналитика старт | Алгоритмы старт | Backend старт | ML старт"",IF(AK91=""PRO"",""AI-агенты про | Алгоритмы про | Аналитика про | ML про | Ba"&amp;"ckend про"",IF(AK91=""START | PRO"",""Аналитика старт | Алгоритмы старт | Backend старт | ML старт | AI-агенты про | Алгоритмы про | Аналитика про | ML про | Backend про"",""""))),TEXTJOIN("" | "",TRUE,IF(REGEXMATCH(LOWER(AL91&amp;"" | ""&amp;E91),""аналитика ста"&amp;"рт""),""Аналитика старт"",""""),IF(REGEXMATCH(LOWER(AL91&amp;"" | ""&amp;E91),""алгоритмы старт""),""Алгоритмы старт"",""""),IF(REGEXMATCH(LOWER(AL91&amp;"" | ""&amp;E91),""backend старт""),""Backend старт"",""""),IF(REGEXMATCH(LOWER(AL91&amp;"" | ""&amp;E91),""ml старт""),""ML "&amp;"старт"",""""),IF(REGEXMATCH(LOWER(AL91&amp;"" | ""&amp;E91),""ai[ -]?агент""),""AI-агенты про"",""""),IF(REGEXMATCH(LOWER(AL91&amp;"" | ""&amp;E91),""алгоритмы про""),""Алгоритмы про"",""""),IF(REGEXMATCH(LOWER(AL91&amp;"" | ""&amp;E91),""аналитика про""),""Аналитика про"","""")"&amp;",IF(REGEXMATCH(LOWER(AL91&amp;"" | ""&amp;E91),""ml про""),""ML про"",""""),IF(REGEXMATCH(LOWER(AL91&amp;"" | ""&amp;E91),""backend про""),""Backend про"",""""),IF(REGEXMATCH(LOWER(AL91&amp;"" | ""&amp;E91),""(а/в|ав|а в|ab)[ -]?тест""),""А/В-тесты"",""""),IF(REGEXMATCH(LOWER(AL"&amp;"91&amp;"" | ""&amp;E91),""data science""),""Data science"",""""),IF(REGEXMATCH(LOWER(AL91&amp;"" | ""&amp;E91),""data[- ]?инжен""),""Data-инженер"",""""),IF(REGEXMATCH(LOWER(AL91&amp;"" | ""&amp;E91),""frontend""),""Frontend"",""""))))"),"AI-агенты про | Алгоритмы про | Аналитика про | ML про | Backend про")</f>
        <v>AI-агенты про | Алгоритмы про | Аналитика про | ML про | Backend про</v>
      </c>
    </row>
    <row r="92">
      <c r="A92" s="6" t="str">
        <f>IFERROR(__xludf.DUMMYFUNCTION("""COMPUTED_VALUE"""),"INT-1886")</f>
        <v>INT-1886</v>
      </c>
      <c r="B92" s="6" t="str">
        <f>IFERROR(__xludf.DUMMYFUNCTION("""COMPUTED_VALUE"""),"2026-09-06 20:44:24")</f>
        <v>2026-09-06 20:44:24</v>
      </c>
      <c r="C92" s="6" t="str">
        <f>IFERROR(__xludf.DUMMYFUNCTION("""COMPUTED_VALUE"""),"@postypashki_old")</f>
        <v>@postypashki_old</v>
      </c>
      <c r="D92" s="4" t="str">
        <f>IFERROR(__xludf.DUMMYFUNCTION("""COMPUTED_VALUE"""),"Прочий контент")</f>
        <v>Прочий контент</v>
      </c>
      <c r="E92" s="6"/>
      <c r="F92" s="6" t="str">
        <f>IFERROR(__xludf.DUMMYFUNCTION("""COMPUTED_VALUE"""),"")</f>
        <v/>
      </c>
      <c r="G92" s="6" t="str">
        <f>IFERROR(__xludf.DUMMYFUNCTION("""COMPUTED_VALUE"""),"postypashki_old/1886")</f>
        <v>postypashki_old/1886</v>
      </c>
      <c r="H92" s="6"/>
      <c r="I92" s="6" t="str">
        <f>IFERROR(__xludf.DUMMYFUNCTION("""COMPUTED_VALUE"""),"internal")</f>
        <v>internal</v>
      </c>
      <c r="J92" s="10" t="str">
        <f>IFERROR(__xludf.DUMMYFUNCTION("""COMPUTED_VALUE"""),"https://t.me/postypashki_old/1886")</f>
        <v>https://t.me/postypashki_old/1886</v>
      </c>
      <c r="K92" s="6">
        <f>IFERROR(__xludf.DUMMYFUNCTION("""COMPUTED_VALUE"""),13000.0)</f>
        <v>13000</v>
      </c>
      <c r="L92" s="6">
        <f>IFERROR(__xludf.DUMMYFUNCTION("""COMPUTED_VALUE"""),79.0)</f>
        <v>79</v>
      </c>
      <c r="M92" s="6" t="str">
        <f>IFERROR(__xludf.DUMMYFUNCTION("""COMPUTED_VALUE"""),"")</f>
        <v/>
      </c>
      <c r="N92" s="6" t="str">
        <f>IFERROR(__xludf.DUMMYFUNCTION("""COMPUTED_VALUE"""),"Telegram")</f>
        <v>Telegram</v>
      </c>
      <c r="O92" s="6" t="str">
        <f>IFERROR(__xludf.DUMMYFUNCTION("""COMPUTED_VALUE"""),"raw")</f>
        <v>raw</v>
      </c>
      <c r="P92" s="6" t="str">
        <f>IFERROR(__xludf.DUMMYFUNCTION("""COMPUTED_VALUE"""),"Codex")</f>
        <v>Codex</v>
      </c>
      <c r="Q92" s="6" t="str">
        <f>IFERROR(__xludf.DUMMYFUNCTION("""COMPUTED_VALUE"""),"[Медиа без текстовой подписи]")</f>
        <v>[Медиа без текстовой подписи]</v>
      </c>
      <c r="R92" s="6" t="str">
        <f>IFERROR(__xludf.DUMMYFUNCTION("""COMPUTED_VALUE"""),"internal")</f>
        <v>internal</v>
      </c>
      <c r="S92" s="6" t="str">
        <f>IFERROR(__xludf.DUMMYFUNCTION("""COMPUTED_VALUE"""),"unknown")</f>
        <v>unknown</v>
      </c>
      <c r="T92" s="6" t="str">
        <f>IFERROR(__xludf.DUMMYFUNCTION("""COMPUTED_VALUE"""),"telegram_internal")</f>
        <v>telegram_internal</v>
      </c>
      <c r="U92" s="6" t="str">
        <f>IFERROR(__xludf.DUMMYFUNCTION("""COMPUTED_VALUE"""),"Прочий контент")</f>
        <v>Прочий контент</v>
      </c>
      <c r="V92" s="6" t="str">
        <f>IFERROR(__xludf.DUMMYFUNCTION("""COMPUTED_VALUE"""),"Период продаж")</f>
        <v>Период продаж</v>
      </c>
      <c r="W92" s="6" t="str">
        <f>IFERROR(__xludf.DUMMYFUNCTION("""COMPUTED_VALUE"""),"Видео")</f>
        <v>Видео</v>
      </c>
      <c r="X92" s="6"/>
      <c r="Y92" s="6" t="str">
        <f>IFERROR(__xludf.DUMMYFUNCTION("""COMPUTED_VALUE"""),"")</f>
        <v/>
      </c>
      <c r="Z92" s="6" t="str">
        <f>IFERROR(__xludf.DUMMYFUNCTION("""COMPUTED_VALUE"""),"")</f>
        <v/>
      </c>
      <c r="AA92" s="6" t="b">
        <f>IFERROR(__xludf.DUMMYFUNCTION("""COMPUTED_VALUE"""),FALSE)</f>
        <v>0</v>
      </c>
      <c r="AB92" s="6" t="b">
        <f>IFERROR(__xludf.DUMMYFUNCTION("""COMPUTED_VALUE"""),FALSE)</f>
        <v>0</v>
      </c>
      <c r="AC92" s="6" t="b">
        <f>IFERROR(__xludf.DUMMYFUNCTION("""COMPUTED_VALUE"""),FALSE)</f>
        <v>0</v>
      </c>
      <c r="AD92" s="6" t="b">
        <f>IFERROR(__xludf.DUMMYFUNCTION("""COMPUTED_VALUE"""),FALSE)</f>
        <v>0</v>
      </c>
      <c r="AE92" s="6"/>
      <c r="AF92" s="6" t="b">
        <f>IFERROR(__xludf.DUMMYFUNCTION("""COMPUTED_VALUE"""),FALSE)</f>
        <v>0</v>
      </c>
      <c r="AG92" s="6" t="str">
        <f>IFERROR(__xludf.DUMMYFUNCTION("""COMPUTED_VALUE"""),"2026-09-06T17:44:24+00:00")</f>
        <v>2026-09-06T17:44:24+00:00</v>
      </c>
      <c r="AH92" s="6" t="str">
        <f>IFERROR(__xludf.DUMMYFUNCTION("""COMPUTED_VALUE"""),"")</f>
        <v/>
      </c>
      <c r="AI92" s="6" t="str">
        <f>IFERROR(__xludf.DUMMYFUNCTION("""COMPUTED_VALUE"""),"#N/A")</f>
        <v>#N/A</v>
      </c>
      <c r="AJ92" s="9" t="s">
        <v>233</v>
      </c>
      <c r="AM92" s="9" t="s">
        <v>229</v>
      </c>
      <c r="AN92" s="6" t="str">
        <f>IFERROR(__xludf.DUMMYFUNCTION("IF(OR(AJ92=""general_brand"",AJ92=""external"",AJ92=""unknown""),"""",IF(AJ92=""product_line"",IF(AK92=""START"",""Аналитика старт | Алгоритмы старт | Backend старт | ML старт"",IF(AK92=""PRO"",""AI-агенты про | Алгоритмы про | Аналитика про | ML про | Ba"&amp;"ckend про"",IF(AK92=""START | PRO"",""Аналитика старт | Алгоритмы старт | Backend старт | ML старт | AI-агенты про | Алгоритмы про | Аналитика про | ML про | Backend про"",""""))),TEXTJOIN("" | "",TRUE,IF(REGEXMATCH(LOWER(AL92&amp;"" | ""&amp;E92),""аналитика ста"&amp;"рт""),""Аналитика старт"",""""),IF(REGEXMATCH(LOWER(AL92&amp;"" | ""&amp;E92),""алгоритмы старт""),""Алгоритмы старт"",""""),IF(REGEXMATCH(LOWER(AL92&amp;"" | ""&amp;E92),""backend старт""),""Backend старт"",""""),IF(REGEXMATCH(LOWER(AL92&amp;"" | ""&amp;E92),""ml старт""),""ML "&amp;"старт"",""""),IF(REGEXMATCH(LOWER(AL92&amp;"" | ""&amp;E92),""ai[ -]?агент""),""AI-агенты про"",""""),IF(REGEXMATCH(LOWER(AL92&amp;"" | ""&amp;E92),""алгоритмы про""),""Алгоритмы про"",""""),IF(REGEXMATCH(LOWER(AL92&amp;"" | ""&amp;E92),""аналитика про""),""Аналитика про"","""")"&amp;",IF(REGEXMATCH(LOWER(AL92&amp;"" | ""&amp;E92),""ml про""),""ML про"",""""),IF(REGEXMATCH(LOWER(AL92&amp;"" | ""&amp;E92),""backend про""),""Backend про"",""""),IF(REGEXMATCH(LOWER(AL92&amp;"" | ""&amp;E92),""(а/в|ав|а в|ab)[ -]?тест""),""А/В-тесты"",""""),IF(REGEXMATCH(LOWER(AL"&amp;"92&amp;"" | ""&amp;E92),""data science""),""Data science"",""""),IF(REGEXMATCH(LOWER(AL92&amp;"" | ""&amp;E92),""data[- ]?инжен""),""Data-инженер"",""""),IF(REGEXMATCH(LOWER(AL92&amp;"" | ""&amp;E92),""frontend""),""Frontend"",""""))))"),"")</f>
        <v/>
      </c>
    </row>
    <row r="93">
      <c r="A93" s="6" t="str">
        <f>IFERROR(__xludf.DUMMYFUNCTION("""COMPUTED_VALUE"""),"INT-1887")</f>
        <v>INT-1887</v>
      </c>
      <c r="B93" s="6" t="str">
        <f>IFERROR(__xludf.DUMMYFUNCTION("""COMPUTED_VALUE"""),"2026-09-07 13:47:40")</f>
        <v>2026-09-07 13:47:40</v>
      </c>
      <c r="C93" s="6" t="str">
        <f>IFERROR(__xludf.DUMMYFUNCTION("""COMPUTED_VALUE"""),"@postypashki_old")</f>
        <v>@postypashki_old</v>
      </c>
      <c r="D93" s="4" t="str">
        <f>IFERROR(__xludf.DUMMYFUNCTION("""COMPUTED_VALUE"""),"Бесплатное событие / лид-магнит")</f>
        <v>Бесплатное событие / лид-магнит</v>
      </c>
      <c r="E93" s="6"/>
      <c r="F93" s="6" t="str">
        <f>IFERROR(__xludf.DUMMYFUNCTION("""COMPUTED_VALUE"""),"")</f>
        <v/>
      </c>
      <c r="G93" s="6" t="str">
        <f>IFERROR(__xludf.DUMMYFUNCTION("""COMPUTED_VALUE"""),"postypashki_old/1887")</f>
        <v>postypashki_old/1887</v>
      </c>
      <c r="H93" s="6" t="str">
        <f>IFERROR(__xludf.DUMMYFUNCTION("""COMPUTED_VALUE"""),"Уметь считать ≠ уметь анализировать
С 7 по 13 сентября проводим бесплатную неделю «Аналитика вне SQL» — мини-симулятор реальной работы аналитика.
Можно нормально знать SQL, статистику, Python, строить дашборды — и всё равно теряться, когда на собеседова"&amp;"нии или на работе тебя спрашивают:
«У нас упала выручка. Разберись, почему».
Потому что в реальной работе сначала нужно понять, что происходит с бизнесом, какой вопрос мы решаем и какое решение должно появиться на выходе.
За 7 дней вы:
⏩решите 3 проду"&amp;"ктовых кейса — от бизнес-задачи до решения
⏩ встретитесь с HR, который работал в X5 и Яндексе и нанимал людей от стажёров до топ-менеджеров
⏩ поговорите с senior-аналитиком Avito о том, как меняется работа аналитика по мере роста
⏩ поучаствуете в первом а"&amp;"налитическом хакатоне Поступашек
На хакатоне вы соберётесь в команды, получите реальный продуктовый кейс и за выходные пройдёте весь путь аналитика: разберётесь в проблеме, поработаете с данными, предложите решение и защитите его.
💰 Приз — 30 000 ₽
Ку"&amp;"рс подойдёт и новичкам, и действующим аналитикам, которые хотят лучше понимать продукт и бизнес, увереннее решать неструктурированные задачи и расти дальше.
Все кейсы, встречи, записи и материалы будут в отдельном закрытом канале.
Участие бесплатное. Пе"&amp;"рвое занятие уже сегодня в 19:00 
📌 Присоединиться на курс по ссылке https://t.me/+j_RdPEr7JudjNWM0")</f>
        <v>Уметь считать ≠ уметь анализировать
С 7 по 13 сентября проводим бесплатную неделю «Аналитика вне SQL» — мини-симулятор реальной работы аналитика.
Можно нормально знать SQL, статистику, Python, строить дашборды — и всё равно теряться, когда на собеседовании или на работе тебя спрашивают:
«У нас упала выручка. Разберись, почему».
Потому что в реальной работе сначала нужно понять, что происходит с бизнесом, какой вопрос мы решаем и какое решение должно появиться на выходе.
За 7 дней вы:
⏩решите 3 продуктовых кейса — от бизнес-задачи до решения
⏩ встретитесь с HR, который работал в X5 и Яндексе и нанимал людей от стажёров до топ-менеджеров
⏩ поговорите с senior-аналитиком Avito о том, как меняется работа аналитика по мере роста
⏩ поучаствуете в первом аналитическом хакатоне Поступашек
На хакатоне вы соберётесь в команды, получите реальный продуктовый кейс и за выходные пройдёте весь путь аналитика: разберётесь в проблеме, поработаете с данными, предложите решение и защитите его.
💰 Приз — 30 000 ₽
Курс подойдёт и новичкам, и действующим аналитикам, которые хотят лучше понимать продукт и бизнес, увереннее решать неструктурированные задачи и расти дальше.
Все кейсы, встречи, записи и материалы будут в отдельном закрытом канале.
Участие бесплатное. Первое занятие уже сегодня в 19:00 
📌 Присоединиться на курс по ссылке https://t.me/+j_RdPEr7JudjNWM0</v>
      </c>
      <c r="I93" s="6" t="str">
        <f>IFERROR(__xludf.DUMMYFUNCTION("""COMPUTED_VALUE"""),"internal")</f>
        <v>internal</v>
      </c>
      <c r="J93" s="10" t="str">
        <f>IFERROR(__xludf.DUMMYFUNCTION("""COMPUTED_VALUE"""),"https://t.me/postypashki_old/1887")</f>
        <v>https://t.me/postypashki_old/1887</v>
      </c>
      <c r="K93" s="6">
        <f>IFERROR(__xludf.DUMMYFUNCTION("""COMPUTED_VALUE"""),16700.0)</f>
        <v>16700</v>
      </c>
      <c r="L93" s="6">
        <f>IFERROR(__xludf.DUMMYFUNCTION("""COMPUTED_VALUE"""),35.0)</f>
        <v>35</v>
      </c>
      <c r="M93" s="6" t="str">
        <f>IFERROR(__xludf.DUMMYFUNCTION("""COMPUTED_VALUE"""),"")</f>
        <v/>
      </c>
      <c r="N93" s="6" t="str">
        <f>IFERROR(__xludf.DUMMYFUNCTION("""COMPUTED_VALUE"""),"Telegram")</f>
        <v>Telegram</v>
      </c>
      <c r="O93" s="6" t="str">
        <f>IFERROR(__xludf.DUMMYFUNCTION("""COMPUTED_VALUE"""),"raw")</f>
        <v>raw</v>
      </c>
      <c r="P93" s="6" t="str">
        <f>IFERROR(__xludf.DUMMYFUNCTION("""COMPUTED_VALUE"""),"Codex")</f>
        <v>Codex</v>
      </c>
      <c r="Q93" s="6" t="str">
        <f>IFERROR(__xludf.DUMMYFUNCTION("""COMPUTED_VALUE"""),"Уметь считать ≠ уметь анализировать С 7 по 13 сентября проводим бесплатную неделю «Аналитика вне SQL» — мини-симулятор реальной работы аналитика. Можно нормально знать SQL, статист")</f>
        <v>Уметь считать ≠ уметь анализировать С 7 по 13 сентября проводим бесплатную неделю «Аналитика вне SQL» — мини-симулятор реальной работы аналитика. Можно нормально знать SQL, статист</v>
      </c>
      <c r="R93" s="6" t="str">
        <f>IFERROR(__xludf.DUMMYFUNCTION("""COMPUTED_VALUE"""),"internal")</f>
        <v>internal</v>
      </c>
      <c r="S93" s="6" t="str">
        <f>IFERROR(__xludf.DUMMYFUNCTION("""COMPUTED_VALUE"""),"unknown")</f>
        <v>unknown</v>
      </c>
      <c r="T93" s="6" t="str">
        <f>IFERROR(__xludf.DUMMYFUNCTION("""COMPUTED_VALUE"""),"telegram_internal")</f>
        <v>telegram_internal</v>
      </c>
      <c r="U93" s="6" t="str">
        <f>IFERROR(__xludf.DUMMYFUNCTION("""COMPUTED_VALUE"""),"Бесплатное событие / лид-магнит")</f>
        <v>Бесплатное событие / лид-магнит</v>
      </c>
      <c r="V93" s="6" t="str">
        <f>IFERROR(__xludf.DUMMYFUNCTION("""COMPUTED_VALUE"""),"Период продаж")</f>
        <v>Период продаж</v>
      </c>
      <c r="W93" s="6" t="str">
        <f>IFERROR(__xludf.DUMMYFUNCTION("""COMPUTED_VALUE"""),"Фото")</f>
        <v>Фото</v>
      </c>
      <c r="X93" s="6"/>
      <c r="Y93" s="6" t="str">
        <f>IFERROR(__xludf.DUMMYFUNCTION("""COMPUTED_VALUE"""),"")</f>
        <v/>
      </c>
      <c r="Z93" s="6" t="str">
        <f>IFERROR(__xludf.DUMMYFUNCTION("""COMPUTED_VALUE"""),"")</f>
        <v/>
      </c>
      <c r="AA93" s="6" t="b">
        <f>IFERROR(__xludf.DUMMYFUNCTION("""COMPUTED_VALUE"""),TRUE)</f>
        <v>1</v>
      </c>
      <c r="AB93" s="6" t="b">
        <f>IFERROR(__xludf.DUMMYFUNCTION("""COMPUTED_VALUE"""),FALSE)</f>
        <v>0</v>
      </c>
      <c r="AC93" s="6" t="b">
        <f>IFERROR(__xludf.DUMMYFUNCTION("""COMPUTED_VALUE"""),TRUE)</f>
        <v>1</v>
      </c>
      <c r="AD93" s="6" t="b">
        <f>IFERROR(__xludf.DUMMYFUNCTION("""COMPUTED_VALUE"""),TRUE)</f>
        <v>1</v>
      </c>
      <c r="AE93" s="6"/>
      <c r="AF93" s="6" t="b">
        <f>IFERROR(__xludf.DUMMYFUNCTION("""COMPUTED_VALUE"""),FALSE)</f>
        <v>0</v>
      </c>
      <c r="AG93" s="6" t="str">
        <f>IFERROR(__xludf.DUMMYFUNCTION("""COMPUTED_VALUE"""),"2026-09-07T10:47:40+00:00")</f>
        <v>2026-09-07T10:47:40+00:00</v>
      </c>
      <c r="AH93" s="6" t="str">
        <f>IFERROR(__xludf.DUMMYFUNCTION("""COMPUTED_VALUE"""),"")</f>
        <v/>
      </c>
      <c r="AI93" s="6" t="str">
        <f>IFERROR(__xludf.DUMMYFUNCTION("""COMPUTED_VALUE"""),"#N/A")</f>
        <v>#N/A</v>
      </c>
      <c r="AJ93" s="9" t="s">
        <v>224</v>
      </c>
      <c r="AL93" s="9" t="s">
        <v>248</v>
      </c>
      <c r="AM93" s="9" t="s">
        <v>228</v>
      </c>
      <c r="AN93" s="4" t="str">
        <f>IFERROR(__xludf.DUMMYFUNCTION("IF(OR(AJ93=""general_brand"",AJ93=""external"",AJ93=""unknown""),"""",IF(AJ93=""product_line"",IF(AK93=""START"",""Аналитика старт | Алгоритмы старт | Backend старт | ML старт"",IF(AK93=""PRO"",""AI-агенты про | Алгоритмы про | Аналитика про | ML про | Ba"&amp;"ckend про"",IF(AK93=""START | PRO"",""Аналитика старт | Алгоритмы старт | Backend старт | ML старт | AI-агенты про | Алгоритмы про | Аналитика про | ML про | Backend про"",""""))),TEXTJOIN("" | "",TRUE,IF(REGEXMATCH(LOWER(AL93&amp;"" | ""&amp;E93),""аналитика ста"&amp;"рт""),""Аналитика старт"",""""),IF(REGEXMATCH(LOWER(AL93&amp;"" | ""&amp;E93),""алгоритмы старт""),""Алгоритмы старт"",""""),IF(REGEXMATCH(LOWER(AL93&amp;"" | ""&amp;E93),""backend старт""),""Backend старт"",""""),IF(REGEXMATCH(LOWER(AL93&amp;"" | ""&amp;E93),""ml старт""),""ML "&amp;"старт"",""""),IF(REGEXMATCH(LOWER(AL93&amp;"" | ""&amp;E93),""ai[ -]?агент""),""AI-агенты про"",""""),IF(REGEXMATCH(LOWER(AL93&amp;"" | ""&amp;E93),""алгоритмы про""),""Алгоритмы про"",""""),IF(REGEXMATCH(LOWER(AL93&amp;"" | ""&amp;E93),""аналитика про""),""Аналитика про"","""")"&amp;",IF(REGEXMATCH(LOWER(AL93&amp;"" | ""&amp;E93),""ml про""),""ML про"",""""),IF(REGEXMATCH(LOWER(AL93&amp;"" | ""&amp;E93),""backend про""),""Backend про"",""""),IF(REGEXMATCH(LOWER(AL93&amp;"" | ""&amp;E93),""(а/в|ав|а в|ab)[ -]?тест""),""А/В-тесты"",""""),IF(REGEXMATCH(LOWER(AL"&amp;"93&amp;"" | ""&amp;E93),""data science""),""Data science"",""""),IF(REGEXMATCH(LOWER(AL93&amp;"" | ""&amp;E93),""data[- ]?инжен""),""Data-инженер"",""""),IF(REGEXMATCH(LOWER(AL93&amp;"" | ""&amp;E93),""frontend""),""Frontend"",""""))))"),"")</f>
        <v/>
      </c>
    </row>
    <row r="94">
      <c r="A94" s="6" t="str">
        <f>IFERROR(__xludf.DUMMYFUNCTION("""COMPUTED_VALUE"""),"INT-1892")</f>
        <v>INT-1892</v>
      </c>
      <c r="B94" s="6" t="str">
        <f>IFERROR(__xludf.DUMMYFUNCTION("""COMPUTED_VALUE"""),"2026-09-07 17:05:21")</f>
        <v>2026-09-07 17:05:21</v>
      </c>
      <c r="C94" s="6" t="str">
        <f>IFERROR(__xludf.DUMMYFUNCTION("""COMPUTED_VALUE"""),"@postypashki_old")</f>
        <v>@postypashki_old</v>
      </c>
      <c r="D94" s="4" t="str">
        <f>IFERROR(__xludf.DUMMYFUNCTION("""COMPUTED_VALUE"""),"Бесплатное событие / лид-магнит")</f>
        <v>Бесплатное событие / лид-магнит</v>
      </c>
      <c r="E94" s="6" t="str">
        <f>IFERROR(__xludf.DUMMYFUNCTION("""COMPUTED_VALUE"""),"АВ тестам")</f>
        <v>АВ тестам</v>
      </c>
      <c r="F94" s="6" t="str">
        <f>IFERROR(__xludf.DUMMYFUNCTION("""COMPUTED_VALUE"""),"")</f>
        <v/>
      </c>
      <c r="G94" s="6" t="str">
        <f>IFERROR(__xludf.DUMMYFUNCTION("""COMPUTED_VALUE"""),"postypashki_old/1892")</f>
        <v>postypashki_old/1892</v>
      </c>
      <c r="H94" s="6" t="str">
        <f>IFERROR(__xludf.DUMMYFUNCTION("""COMPUTED_VALUE"""),"Слив протоколов АВ тестирования для кейс-интервью X5
Наши выпускники не только сейчас активно проходят собесы, но и уже давно закрепились в штате и проводят собесы. 
В честь нашей открытой недели по аналитике, которое стартует уже сегодня, делимся гайдо"&amp;"м по проведению АВ тестирования в Х5 на основе внутренних методичек, публичных выступлений и протоколов проведения собеседований. Делитесь с друзьями такой годной! 
Присоединиться к открытой недели можно по ссылке: https://t.me/+j_RdPEr7JudjNWM0
Подписа"&amp;"ться: @postypashki_old")</f>
        <v>Слив протоколов АВ тестирования для кейс-интервью X5
Наши выпускники не только сейчас активно проходят собесы, но и уже давно закрепились в штате и проводят собесы. 
В честь нашей открытой недели по аналитике, которое стартует уже сегодня, делимся гайдом по проведению АВ тестирования в Х5 на основе внутренних методичек, публичных выступлений и протоколов проведения собеседований. Делитесь с друзьями такой годной! 
Присоединиться к открытой недели можно по ссылке: https://t.me/+j_RdPEr7JudjNWM0
Подписаться: @postypashki_old</v>
      </c>
      <c r="I94" s="6" t="str">
        <f>IFERROR(__xludf.DUMMYFUNCTION("""COMPUTED_VALUE"""),"internal")</f>
        <v>internal</v>
      </c>
      <c r="J94" s="10" t="str">
        <f>IFERROR(__xludf.DUMMYFUNCTION("""COMPUTED_VALUE"""),"https://t.me/postypashki_old/1892")</f>
        <v>https://t.me/postypashki_old/1892</v>
      </c>
      <c r="K94" s="6">
        <f>IFERROR(__xludf.DUMMYFUNCTION("""COMPUTED_VALUE"""),12100.0)</f>
        <v>12100</v>
      </c>
      <c r="L94" s="6">
        <f>IFERROR(__xludf.DUMMYFUNCTION("""COMPUTED_VALUE"""),21.0)</f>
        <v>21</v>
      </c>
      <c r="M94" s="6" t="str">
        <f>IFERROR(__xludf.DUMMYFUNCTION("""COMPUTED_VALUE"""),"")</f>
        <v/>
      </c>
      <c r="N94" s="6" t="str">
        <f>IFERROR(__xludf.DUMMYFUNCTION("""COMPUTED_VALUE"""),"Telegram")</f>
        <v>Telegram</v>
      </c>
      <c r="O94" s="6" t="str">
        <f>IFERROR(__xludf.DUMMYFUNCTION("""COMPUTED_VALUE"""),"raw")</f>
        <v>raw</v>
      </c>
      <c r="P94" s="6" t="str">
        <f>IFERROR(__xludf.DUMMYFUNCTION("""COMPUTED_VALUE"""),"Codex")</f>
        <v>Codex</v>
      </c>
      <c r="Q94" s="6" t="str">
        <f>IFERROR(__xludf.DUMMYFUNCTION("""COMPUTED_VALUE"""),"Слив протоколов АВ тестирования для кейс-интервью X5 Наши выпускники не только сейчас активно проходят собесы, но и уже давно закрепились в штате и проводят собесы. В честь нашей о")</f>
        <v>Слив протоколов АВ тестирования для кейс-интервью X5 Наши выпускники не только сейчас активно проходят собесы, но и уже давно закрепились в штате и проводят собесы. В честь нашей о</v>
      </c>
      <c r="R94" s="6" t="str">
        <f>IFERROR(__xludf.DUMMYFUNCTION("""COMPUTED_VALUE"""),"internal")</f>
        <v>internal</v>
      </c>
      <c r="S94" s="6" t="str">
        <f>IFERROR(__xludf.DUMMYFUNCTION("""COMPUTED_VALUE"""),"unknown")</f>
        <v>unknown</v>
      </c>
      <c r="T94" s="6" t="str">
        <f>IFERROR(__xludf.DUMMYFUNCTION("""COMPUTED_VALUE"""),"telegram_internal")</f>
        <v>telegram_internal</v>
      </c>
      <c r="U94" s="6" t="str">
        <f>IFERROR(__xludf.DUMMYFUNCTION("""COMPUTED_VALUE"""),"Бесплатное событие / лид-магнит")</f>
        <v>Бесплатное событие / лид-магнит</v>
      </c>
      <c r="V94" s="6" t="str">
        <f>IFERROR(__xludf.DUMMYFUNCTION("""COMPUTED_VALUE"""),"Период продаж")</f>
        <v>Период продаж</v>
      </c>
      <c r="W94" s="6" t="str">
        <f>IFERROR(__xludf.DUMMYFUNCTION("""COMPUTED_VALUE"""),"Файл")</f>
        <v>Файл</v>
      </c>
      <c r="X94" s="6"/>
      <c r="Y94" s="6" t="str">
        <f>IFERROR(__xludf.DUMMYFUNCTION("""COMPUTED_VALUE"""),"")</f>
        <v/>
      </c>
      <c r="Z94" s="6" t="str">
        <f>IFERROR(__xludf.DUMMYFUNCTION("""COMPUTED_VALUE"""),"")</f>
        <v/>
      </c>
      <c r="AA94" s="6" t="b">
        <f>IFERROR(__xludf.DUMMYFUNCTION("""COMPUTED_VALUE"""),FALSE)</f>
        <v>0</v>
      </c>
      <c r="AB94" s="6" t="b">
        <f>IFERROR(__xludf.DUMMYFUNCTION("""COMPUTED_VALUE"""),FALSE)</f>
        <v>0</v>
      </c>
      <c r="AC94" s="6" t="b">
        <f>IFERROR(__xludf.DUMMYFUNCTION("""COMPUTED_VALUE"""),TRUE)</f>
        <v>1</v>
      </c>
      <c r="AD94" s="6" t="b">
        <f>IFERROR(__xludf.DUMMYFUNCTION("""COMPUTED_VALUE"""),TRUE)</f>
        <v>1</v>
      </c>
      <c r="AE94" s="6"/>
      <c r="AF94" s="6" t="b">
        <f>IFERROR(__xludf.DUMMYFUNCTION("""COMPUTED_VALUE"""),FALSE)</f>
        <v>0</v>
      </c>
      <c r="AG94" s="6" t="str">
        <f>IFERROR(__xludf.DUMMYFUNCTION("""COMPUTED_VALUE"""),"2026-09-07T14:05:21+00:00")</f>
        <v>2026-09-07T14:05:21+00:00</v>
      </c>
      <c r="AH94" s="6" t="str">
        <f>IFERROR(__xludf.DUMMYFUNCTION("""COMPUTED_VALUE"""),"")</f>
        <v/>
      </c>
      <c r="AI94" s="6" t="str">
        <f>IFERROR(__xludf.DUMMYFUNCTION("""COMPUTED_VALUE"""),"#N/A")</f>
        <v>#N/A</v>
      </c>
      <c r="AJ94" s="9" t="s">
        <v>224</v>
      </c>
      <c r="AL94" s="4" t="s">
        <v>227</v>
      </c>
      <c r="AM94" s="9" t="s">
        <v>228</v>
      </c>
      <c r="AN94" s="4" t="str">
        <f>IFERROR(__xludf.DUMMYFUNCTION("IF(OR(AJ94=""general_brand"",AJ94=""external"",AJ94=""unknown""),"""",IF(AJ94=""product_line"",IF(AK94=""START"",""Аналитика старт | Алгоритмы старт | Backend старт | ML старт"",IF(AK94=""PRO"",""AI-агенты про | Алгоритмы про | Аналитика про | ML про | Ba"&amp;"ckend про"",IF(AK94=""START | PRO"",""Аналитика старт | Алгоритмы старт | Backend старт | ML старт | AI-агенты про | Алгоритмы про | Аналитика про | ML про | Backend про"",""""))),TEXTJOIN("" | "",TRUE,IF(REGEXMATCH(LOWER(AL94&amp;"" | ""&amp;E94),""аналитика ста"&amp;"рт""),""Аналитика старт"",""""),IF(REGEXMATCH(LOWER(AL94&amp;"" | ""&amp;E94),""алгоритмы старт""),""Алгоритмы старт"",""""),IF(REGEXMATCH(LOWER(AL94&amp;"" | ""&amp;E94),""backend старт""),""Backend старт"",""""),IF(REGEXMATCH(LOWER(AL94&amp;"" | ""&amp;E94),""ml старт""),""ML "&amp;"старт"",""""),IF(REGEXMATCH(LOWER(AL94&amp;"" | ""&amp;E94),""ai[ -]?агент""),""AI-агенты про"",""""),IF(REGEXMATCH(LOWER(AL94&amp;"" | ""&amp;E94),""алгоритмы про""),""Алгоритмы про"",""""),IF(REGEXMATCH(LOWER(AL94&amp;"" | ""&amp;E94),""аналитика про""),""Аналитика про"","""")"&amp;",IF(REGEXMATCH(LOWER(AL94&amp;"" | ""&amp;E94),""ml про""),""ML про"",""""),IF(REGEXMATCH(LOWER(AL94&amp;"" | ""&amp;E94),""backend про""),""Backend про"",""""),IF(REGEXMATCH(LOWER(AL94&amp;"" | ""&amp;E94),""(а/в|ав|а в|ab)[ -]?тест""),""А/В-тесты"",""""),IF(REGEXMATCH(LOWER(AL"&amp;"94&amp;"" | ""&amp;E94),""data science""),""Data science"",""""),IF(REGEXMATCH(LOWER(AL94&amp;"" | ""&amp;E94),""data[- ]?инжен""),""Data-инженер"",""""),IF(REGEXMATCH(LOWER(AL94&amp;"" | ""&amp;E94),""frontend""),""Frontend"",""""))))"),"А/В-тесты")</f>
        <v>А/В-тесты</v>
      </c>
    </row>
    <row r="95">
      <c r="A95" s="6" t="str">
        <f>IFERROR(__xludf.DUMMYFUNCTION("""COMPUTED_VALUE"""),"INT-1893")</f>
        <v>INT-1893</v>
      </c>
      <c r="B95" s="6" t="str">
        <f>IFERROR(__xludf.DUMMYFUNCTION("""COMPUTED_VALUE"""),"2026-09-07 18:51:46")</f>
        <v>2026-09-07 18:51:46</v>
      </c>
      <c r="C95" s="6" t="str">
        <f>IFERROR(__xludf.DUMMYFUNCTION("""COMPUTED_VALUE"""),"@postypashki_old")</f>
        <v>@postypashki_old</v>
      </c>
      <c r="D95" s="4" t="str">
        <f>IFERROR(__xludf.DUMMYFUNCTION("""COMPUTED_VALUE"""),"Бесплатное событие / лид-магнит")</f>
        <v>Бесплатное событие / лид-магнит</v>
      </c>
      <c r="E95" s="6"/>
      <c r="F95" s="6" t="str">
        <f>IFERROR(__xludf.DUMMYFUNCTION("""COMPUTED_VALUE"""),"")</f>
        <v/>
      </c>
      <c r="G95" s="6" t="str">
        <f>IFERROR(__xludf.DUMMYFUNCTION("""COMPUTED_VALUE"""),"postypashki_old/1893")</f>
        <v>postypashki_old/1893</v>
      </c>
      <c r="H95" s="6" t="str">
        <f>IFERROR(__xludf.DUMMYFUNCTION("""COMPUTED_VALUE"""),"Товарищи, ждем вас в 19:00 на нашем первом занятии на курсе Аналитика вне SQL
Будем обсуждать, как бизнес и аналитика связаны между собой, а также решим продуктовый кейс
Личное приглашение от куратора курса ниже 👇🏻 
Ссылка на встречу в канале курса")</f>
        <v>Товарищи, ждем вас в 19:00 на нашем первом занятии на курсе Аналитика вне SQL
Будем обсуждать, как бизнес и аналитика связаны между собой, а также решим продуктовый кейс
Личное приглашение от куратора курса ниже 👇🏻 
Ссылка на встречу в канале курса</v>
      </c>
      <c r="I95" s="6" t="str">
        <f>IFERROR(__xludf.DUMMYFUNCTION("""COMPUTED_VALUE"""),"internal")</f>
        <v>internal</v>
      </c>
      <c r="J95" s="10" t="str">
        <f>IFERROR(__xludf.DUMMYFUNCTION("""COMPUTED_VALUE"""),"https://t.me/postypashki_old/1893")</f>
        <v>https://t.me/postypashki_old/1893</v>
      </c>
      <c r="K95" s="6">
        <f>IFERROR(__xludf.DUMMYFUNCTION("""COMPUTED_VALUE"""),11600.0)</f>
        <v>11600</v>
      </c>
      <c r="L95" s="6">
        <f>IFERROR(__xludf.DUMMYFUNCTION("""COMPUTED_VALUE"""),8.0)</f>
        <v>8</v>
      </c>
      <c r="M95" s="6" t="str">
        <f>IFERROR(__xludf.DUMMYFUNCTION("""COMPUTED_VALUE"""),"")</f>
        <v/>
      </c>
      <c r="N95" s="6" t="str">
        <f>IFERROR(__xludf.DUMMYFUNCTION("""COMPUTED_VALUE"""),"Telegram")</f>
        <v>Telegram</v>
      </c>
      <c r="O95" s="6" t="str">
        <f>IFERROR(__xludf.DUMMYFUNCTION("""COMPUTED_VALUE"""),"raw")</f>
        <v>raw</v>
      </c>
      <c r="P95" s="6" t="str">
        <f>IFERROR(__xludf.DUMMYFUNCTION("""COMPUTED_VALUE"""),"Codex")</f>
        <v>Codex</v>
      </c>
      <c r="Q95" s="6" t="str">
        <f>IFERROR(__xludf.DUMMYFUNCTION("""COMPUTED_VALUE"""),"Товарищи, ждем вас в 19:00 на нашем первом занятии на курсе Аналитика вне SQL Будем обсуждать, как бизнес и аналитика связаны между собой, а также решим продуктовый кейс Личное при")</f>
        <v>Товарищи, ждем вас в 19:00 на нашем первом занятии на курсе Аналитика вне SQL Будем обсуждать, как бизнес и аналитика связаны между собой, а также решим продуктовый кейс Личное при</v>
      </c>
      <c r="R95" s="6" t="str">
        <f>IFERROR(__xludf.DUMMYFUNCTION("""COMPUTED_VALUE"""),"internal")</f>
        <v>internal</v>
      </c>
      <c r="S95" s="6" t="str">
        <f>IFERROR(__xludf.DUMMYFUNCTION("""COMPUTED_VALUE"""),"unknown")</f>
        <v>unknown</v>
      </c>
      <c r="T95" s="6" t="str">
        <f>IFERROR(__xludf.DUMMYFUNCTION("""COMPUTED_VALUE"""),"telegram_internal")</f>
        <v>telegram_internal</v>
      </c>
      <c r="U95" s="6" t="str">
        <f>IFERROR(__xludf.DUMMYFUNCTION("""COMPUTED_VALUE"""),"Бесплатное событие / лид-магнит")</f>
        <v>Бесплатное событие / лид-магнит</v>
      </c>
      <c r="V95" s="6" t="str">
        <f>IFERROR(__xludf.DUMMYFUNCTION("""COMPUTED_VALUE"""),"Период продаж")</f>
        <v>Период продаж</v>
      </c>
      <c r="W95" s="6"/>
      <c r="X95" s="6"/>
      <c r="Y95" s="6" t="str">
        <f>IFERROR(__xludf.DUMMYFUNCTION("""COMPUTED_VALUE"""),"")</f>
        <v/>
      </c>
      <c r="Z95" s="6" t="str">
        <f>IFERROR(__xludf.DUMMYFUNCTION("""COMPUTED_VALUE"""),"")</f>
        <v/>
      </c>
      <c r="AA95" s="6" t="b">
        <f>IFERROR(__xludf.DUMMYFUNCTION("""COMPUTED_VALUE"""),FALSE)</f>
        <v>0</v>
      </c>
      <c r="AB95" s="6" t="b">
        <f>IFERROR(__xludf.DUMMYFUNCTION("""COMPUTED_VALUE"""),FALSE)</f>
        <v>0</v>
      </c>
      <c r="AC95" s="6" t="b">
        <f>IFERROR(__xludf.DUMMYFUNCTION("""COMPUTED_VALUE"""),FALSE)</f>
        <v>0</v>
      </c>
      <c r="AD95" s="6" t="b">
        <f>IFERROR(__xludf.DUMMYFUNCTION("""COMPUTED_VALUE"""),FALSE)</f>
        <v>0</v>
      </c>
      <c r="AE95" s="6"/>
      <c r="AF95" s="6" t="b">
        <f>IFERROR(__xludf.DUMMYFUNCTION("""COMPUTED_VALUE"""),FALSE)</f>
        <v>0</v>
      </c>
      <c r="AG95" s="6" t="str">
        <f>IFERROR(__xludf.DUMMYFUNCTION("""COMPUTED_VALUE"""),"2026-09-07T15:51:46+00:00")</f>
        <v>2026-09-07T15:51:46+00:00</v>
      </c>
      <c r="AH95" s="6" t="str">
        <f>IFERROR(__xludf.DUMMYFUNCTION("""COMPUTED_VALUE"""),"")</f>
        <v/>
      </c>
      <c r="AI95" s="6" t="str">
        <f>IFERROR(__xludf.DUMMYFUNCTION("""COMPUTED_VALUE"""),"#N/A")</f>
        <v>#N/A</v>
      </c>
      <c r="AJ95" s="9" t="s">
        <v>224</v>
      </c>
      <c r="AL95" s="9" t="s">
        <v>248</v>
      </c>
      <c r="AM95" s="9" t="s">
        <v>228</v>
      </c>
      <c r="AN95" s="4" t="str">
        <f>IFERROR(__xludf.DUMMYFUNCTION("IF(OR(AJ95=""general_brand"",AJ95=""external"",AJ95=""unknown""),"""",IF(AJ95=""product_line"",IF(AK95=""START"",""Аналитика старт | Алгоритмы старт | Backend старт | ML старт"",IF(AK95=""PRO"",""AI-агенты про | Алгоритмы про | Аналитика про | ML про | Ba"&amp;"ckend про"",IF(AK95=""START | PRO"",""Аналитика старт | Алгоритмы старт | Backend старт | ML старт | AI-агенты про | Алгоритмы про | Аналитика про | ML про | Backend про"",""""))),TEXTJOIN("" | "",TRUE,IF(REGEXMATCH(LOWER(AL95&amp;"" | ""&amp;E95),""аналитика ста"&amp;"рт""),""Аналитика старт"",""""),IF(REGEXMATCH(LOWER(AL95&amp;"" | ""&amp;E95),""алгоритмы старт""),""Алгоритмы старт"",""""),IF(REGEXMATCH(LOWER(AL95&amp;"" | ""&amp;E95),""backend старт""),""Backend старт"",""""),IF(REGEXMATCH(LOWER(AL95&amp;"" | ""&amp;E95),""ml старт""),""ML "&amp;"старт"",""""),IF(REGEXMATCH(LOWER(AL95&amp;"" | ""&amp;E95),""ai[ -]?агент""),""AI-агенты про"",""""),IF(REGEXMATCH(LOWER(AL95&amp;"" | ""&amp;E95),""алгоритмы про""),""Алгоритмы про"",""""),IF(REGEXMATCH(LOWER(AL95&amp;"" | ""&amp;E95),""аналитика про""),""Аналитика про"","""")"&amp;",IF(REGEXMATCH(LOWER(AL95&amp;"" | ""&amp;E95),""ml про""),""ML про"",""""),IF(REGEXMATCH(LOWER(AL95&amp;"" | ""&amp;E95),""backend про""),""Backend про"",""""),IF(REGEXMATCH(LOWER(AL95&amp;"" | ""&amp;E95),""(а/в|ав|а в|ab)[ -]?тест""),""А/В-тесты"",""""),IF(REGEXMATCH(LOWER(AL"&amp;"95&amp;"" | ""&amp;E95),""data science""),""Data science"",""""),IF(REGEXMATCH(LOWER(AL95&amp;"" | ""&amp;E95),""data[- ]?инжен""),""Data-инженер"",""""),IF(REGEXMATCH(LOWER(AL95&amp;"" | ""&amp;E95),""frontend""),""Frontend"",""""))))"),"")</f>
        <v/>
      </c>
    </row>
    <row r="96">
      <c r="A96" s="6" t="str">
        <f>IFERROR(__xludf.DUMMYFUNCTION("""COMPUTED_VALUE"""),"INT-1894")</f>
        <v>INT-1894</v>
      </c>
      <c r="B96" s="6" t="str">
        <f>IFERROR(__xludf.DUMMYFUNCTION("""COMPUTED_VALUE"""),"2026-09-07 18:51:57")</f>
        <v>2026-09-07 18:51:57</v>
      </c>
      <c r="C96" s="6" t="str">
        <f>IFERROR(__xludf.DUMMYFUNCTION("""COMPUTED_VALUE"""),"@postypashki_old")</f>
        <v>@postypashki_old</v>
      </c>
      <c r="D96" s="4" t="str">
        <f>IFERROR(__xludf.DUMMYFUNCTION("""COMPUTED_VALUE"""),"Прочий контент")</f>
        <v>Прочий контент</v>
      </c>
      <c r="E96" s="6"/>
      <c r="F96" s="6" t="str">
        <f>IFERROR(__xludf.DUMMYFUNCTION("""COMPUTED_VALUE"""),"")</f>
        <v/>
      </c>
      <c r="G96" s="6" t="str">
        <f>IFERROR(__xludf.DUMMYFUNCTION("""COMPUTED_VALUE"""),"postypashki_old/1894")</f>
        <v>postypashki_old/1894</v>
      </c>
      <c r="H96" s="6"/>
      <c r="I96" s="6" t="str">
        <f>IFERROR(__xludf.DUMMYFUNCTION("""COMPUTED_VALUE"""),"internal")</f>
        <v>internal</v>
      </c>
      <c r="J96" s="10" t="str">
        <f>IFERROR(__xludf.DUMMYFUNCTION("""COMPUTED_VALUE"""),"https://t.me/postypashki_old/1894")</f>
        <v>https://t.me/postypashki_old/1894</v>
      </c>
      <c r="K96" s="6">
        <f>IFERROR(__xludf.DUMMYFUNCTION("""COMPUTED_VALUE"""),12100.0)</f>
        <v>12100</v>
      </c>
      <c r="L96" s="6">
        <f>IFERROR(__xludf.DUMMYFUNCTION("""COMPUTED_VALUE"""),169.0)</f>
        <v>169</v>
      </c>
      <c r="M96" s="6" t="str">
        <f>IFERROR(__xludf.DUMMYFUNCTION("""COMPUTED_VALUE"""),"")</f>
        <v/>
      </c>
      <c r="N96" s="6" t="str">
        <f>IFERROR(__xludf.DUMMYFUNCTION("""COMPUTED_VALUE"""),"Telegram")</f>
        <v>Telegram</v>
      </c>
      <c r="O96" s="6" t="str">
        <f>IFERROR(__xludf.DUMMYFUNCTION("""COMPUTED_VALUE"""),"raw")</f>
        <v>raw</v>
      </c>
      <c r="P96" s="6" t="str">
        <f>IFERROR(__xludf.DUMMYFUNCTION("""COMPUTED_VALUE"""),"Codex")</f>
        <v>Codex</v>
      </c>
      <c r="Q96" s="6" t="str">
        <f>IFERROR(__xludf.DUMMYFUNCTION("""COMPUTED_VALUE"""),"[Медиа без текстовой подписи]")</f>
        <v>[Медиа без текстовой подписи]</v>
      </c>
      <c r="R96" s="6" t="str">
        <f>IFERROR(__xludf.DUMMYFUNCTION("""COMPUTED_VALUE"""),"internal")</f>
        <v>internal</v>
      </c>
      <c r="S96" s="6" t="str">
        <f>IFERROR(__xludf.DUMMYFUNCTION("""COMPUTED_VALUE"""),"unknown")</f>
        <v>unknown</v>
      </c>
      <c r="T96" s="6" t="str">
        <f>IFERROR(__xludf.DUMMYFUNCTION("""COMPUTED_VALUE"""),"telegram_internal")</f>
        <v>telegram_internal</v>
      </c>
      <c r="U96" s="6" t="str">
        <f>IFERROR(__xludf.DUMMYFUNCTION("""COMPUTED_VALUE"""),"Прочий контент")</f>
        <v>Прочий контент</v>
      </c>
      <c r="V96" s="6" t="str">
        <f>IFERROR(__xludf.DUMMYFUNCTION("""COMPUTED_VALUE"""),"Период продаж")</f>
        <v>Период продаж</v>
      </c>
      <c r="W96" s="6" t="str">
        <f>IFERROR(__xludf.DUMMYFUNCTION("""COMPUTED_VALUE"""),"Видео")</f>
        <v>Видео</v>
      </c>
      <c r="X96" s="6"/>
      <c r="Y96" s="6" t="str">
        <f>IFERROR(__xludf.DUMMYFUNCTION("""COMPUTED_VALUE"""),"")</f>
        <v/>
      </c>
      <c r="Z96" s="6" t="str">
        <f>IFERROR(__xludf.DUMMYFUNCTION("""COMPUTED_VALUE"""),"")</f>
        <v/>
      </c>
      <c r="AA96" s="6" t="b">
        <f>IFERROR(__xludf.DUMMYFUNCTION("""COMPUTED_VALUE"""),FALSE)</f>
        <v>0</v>
      </c>
      <c r="AB96" s="6" t="b">
        <f>IFERROR(__xludf.DUMMYFUNCTION("""COMPUTED_VALUE"""),FALSE)</f>
        <v>0</v>
      </c>
      <c r="AC96" s="6" t="b">
        <f>IFERROR(__xludf.DUMMYFUNCTION("""COMPUTED_VALUE"""),FALSE)</f>
        <v>0</v>
      </c>
      <c r="AD96" s="6" t="b">
        <f>IFERROR(__xludf.DUMMYFUNCTION("""COMPUTED_VALUE"""),FALSE)</f>
        <v>0</v>
      </c>
      <c r="AE96" s="6"/>
      <c r="AF96" s="6" t="b">
        <f>IFERROR(__xludf.DUMMYFUNCTION("""COMPUTED_VALUE"""),FALSE)</f>
        <v>0</v>
      </c>
      <c r="AG96" s="6" t="str">
        <f>IFERROR(__xludf.DUMMYFUNCTION("""COMPUTED_VALUE"""),"2026-09-07T15:51:57+00:00")</f>
        <v>2026-09-07T15:51:57+00:00</v>
      </c>
      <c r="AH96" s="6" t="str">
        <f>IFERROR(__xludf.DUMMYFUNCTION("""COMPUTED_VALUE"""),"")</f>
        <v/>
      </c>
      <c r="AI96" s="6" t="str">
        <f>IFERROR(__xludf.DUMMYFUNCTION("""COMPUTED_VALUE"""),"#N/A")</f>
        <v>#N/A</v>
      </c>
      <c r="AJ96" s="9" t="s">
        <v>233</v>
      </c>
      <c r="AM96" s="9" t="s">
        <v>229</v>
      </c>
      <c r="AN96" s="6" t="str">
        <f>IFERROR(__xludf.DUMMYFUNCTION("IF(OR(AJ96=""general_brand"",AJ96=""external"",AJ96=""unknown""),"""",IF(AJ96=""product_line"",IF(AK96=""START"",""Аналитика старт | Алгоритмы старт | Backend старт | ML старт"",IF(AK96=""PRO"",""AI-агенты про | Алгоритмы про | Аналитика про | ML про | Ba"&amp;"ckend про"",IF(AK96=""START | PRO"",""Аналитика старт | Алгоритмы старт | Backend старт | ML старт | AI-агенты про | Алгоритмы про | Аналитика про | ML про | Backend про"",""""))),TEXTJOIN("" | "",TRUE,IF(REGEXMATCH(LOWER(AL96&amp;"" | ""&amp;E96),""аналитика ста"&amp;"рт""),""Аналитика старт"",""""),IF(REGEXMATCH(LOWER(AL96&amp;"" | ""&amp;E96),""алгоритмы старт""),""Алгоритмы старт"",""""),IF(REGEXMATCH(LOWER(AL96&amp;"" | ""&amp;E96),""backend старт""),""Backend старт"",""""),IF(REGEXMATCH(LOWER(AL96&amp;"" | ""&amp;E96),""ml старт""),""ML "&amp;"старт"",""""),IF(REGEXMATCH(LOWER(AL96&amp;"" | ""&amp;E96),""ai[ -]?агент""),""AI-агенты про"",""""),IF(REGEXMATCH(LOWER(AL96&amp;"" | ""&amp;E96),""алгоритмы про""),""Алгоритмы про"",""""),IF(REGEXMATCH(LOWER(AL96&amp;"" | ""&amp;E96),""аналитика про""),""Аналитика про"","""")"&amp;",IF(REGEXMATCH(LOWER(AL96&amp;"" | ""&amp;E96),""ml про""),""ML про"",""""),IF(REGEXMATCH(LOWER(AL96&amp;"" | ""&amp;E96),""backend про""),""Backend про"",""""),IF(REGEXMATCH(LOWER(AL96&amp;"" | ""&amp;E96),""(а/в|ав|а в|ab)[ -]?тест""),""А/В-тесты"",""""),IF(REGEXMATCH(LOWER(AL"&amp;"96&amp;"" | ""&amp;E96),""data science""),""Data science"",""""),IF(REGEXMATCH(LOWER(AL96&amp;"" | ""&amp;E96),""data[- ]?инжен""),""Data-инженер"",""""),IF(REGEXMATCH(LOWER(AL96&amp;"" | ""&amp;E96),""frontend""),""Frontend"",""""))))"),"")</f>
        <v/>
      </c>
    </row>
    <row r="97">
      <c r="A97" s="6" t="str">
        <f>IFERROR(__xludf.DUMMYFUNCTION("""COMPUTED_VALUE"""),"INT-1895")</f>
        <v>INT-1895</v>
      </c>
      <c r="B97" s="6" t="str">
        <f>IFERROR(__xludf.DUMMYFUNCTION("""COMPUTED_VALUE"""),"2026-09-08 18:27:01")</f>
        <v>2026-09-08 18:27:01</v>
      </c>
      <c r="C97" s="6" t="str">
        <f>IFERROR(__xludf.DUMMYFUNCTION("""COMPUTED_VALUE"""),"@postypashki_old")</f>
        <v>@postypashki_old</v>
      </c>
      <c r="D97" s="4" t="str">
        <f>IFERROR(__xludf.DUMMYFUNCTION("""COMPUTED_VALUE"""),"Контент с предложением курсов")</f>
        <v>Контент с предложением курсов</v>
      </c>
      <c r="E97" s="6" t="str">
        <f>IFERROR(__xludf.DUMMYFUNCTION("""COMPUTED_VALUE"""),"Алгоритмы")</f>
        <v>Алгоритмы</v>
      </c>
      <c r="F97" s="6" t="str">
        <f>IFERROR(__xludf.DUMMYFUNCTION("""COMPUTED_VALUE"""),"")</f>
        <v/>
      </c>
      <c r="G97" s="6" t="str">
        <f>IFERROR(__xludf.DUMMYFUNCTION("""COMPUTED_VALUE"""),"postypashki_old/1895")</f>
        <v>postypashki_old/1895</v>
      </c>
      <c r="H97" s="6" t="str">
        <f>IFERROR(__xludf.DUMMYFUNCTION("""COMPUTED_VALUE"""),"Собрали все задачи с алгосекции в Яндексе в одном файле с разбором частых ошибок, все это закрывают наши курсы по алгоритмам. Сохраняй и делись с друзьями такой годнотой! 🔥
Кстати а контест со стажировки уже разобран на соответствующих наших курсах ПРО."&amp;" 
➡ Записаться. 
Подписаться: @postypashki_old")</f>
        <v>Собрали все задачи с алгосекции в Яндексе в одном файле с разбором частых ошибок, все это закрывают наши курсы по алгоритмам. Сохраняй и делись с друзьями такой годнотой! 🔥
Кстати а контест со стажировки уже разобран на соответствующих наших курсах ПРО. 
➡ Записаться. 
Подписаться: @postypashki_old</v>
      </c>
      <c r="I97" s="6" t="str">
        <f>IFERROR(__xludf.DUMMYFUNCTION("""COMPUTED_VALUE"""),"internal")</f>
        <v>internal</v>
      </c>
      <c r="J97" s="10" t="str">
        <f>IFERROR(__xludf.DUMMYFUNCTION("""COMPUTED_VALUE"""),"https://t.me/postypashki_old/1895")</f>
        <v>https://t.me/postypashki_old/1895</v>
      </c>
      <c r="K97" s="6">
        <f>IFERROR(__xludf.DUMMYFUNCTION("""COMPUTED_VALUE"""),11200.0)</f>
        <v>11200</v>
      </c>
      <c r="L97" s="6">
        <f>IFERROR(__xludf.DUMMYFUNCTION("""COMPUTED_VALUE"""),63.0)</f>
        <v>63</v>
      </c>
      <c r="M97" s="6" t="str">
        <f>IFERROR(__xludf.DUMMYFUNCTION("""COMPUTED_VALUE"""),"")</f>
        <v/>
      </c>
      <c r="N97" s="6" t="str">
        <f>IFERROR(__xludf.DUMMYFUNCTION("""COMPUTED_VALUE"""),"Telegram")</f>
        <v>Telegram</v>
      </c>
      <c r="O97" s="6" t="str">
        <f>IFERROR(__xludf.DUMMYFUNCTION("""COMPUTED_VALUE"""),"raw")</f>
        <v>raw</v>
      </c>
      <c r="P97" s="6" t="str">
        <f>IFERROR(__xludf.DUMMYFUNCTION("""COMPUTED_VALUE"""),"Codex")</f>
        <v>Codex</v>
      </c>
      <c r="Q97" s="6" t="str">
        <f>IFERROR(__xludf.DUMMYFUNCTION("""COMPUTED_VALUE"""),"Собрали все задачи с алгосекции в Яндексе в одном файле с разбором частых ошибок, все это закрывают наши курсы по алгоритмам. Сохраняй и делись с друзьями такой годнотой! 🔥 Кстати ")</f>
        <v>Собрали все задачи с алгосекции в Яндексе в одном файле с разбором частых ошибок, все это закрывают наши курсы по алгоритмам. Сохраняй и делись с друзьями такой годнотой! 🔥 Кстати </v>
      </c>
      <c r="R97" s="6" t="str">
        <f>IFERROR(__xludf.DUMMYFUNCTION("""COMPUTED_VALUE"""),"internal")</f>
        <v>internal</v>
      </c>
      <c r="S97" s="6" t="str">
        <f>IFERROR(__xludf.DUMMYFUNCTION("""COMPUTED_VALUE"""),"unknown")</f>
        <v>unknown</v>
      </c>
      <c r="T97" s="6" t="str">
        <f>IFERROR(__xludf.DUMMYFUNCTION("""COMPUTED_VALUE"""),"telegram_internal")</f>
        <v>telegram_internal</v>
      </c>
      <c r="U97" s="6" t="str">
        <f>IFERROR(__xludf.DUMMYFUNCTION("""COMPUTED_VALUE"""),"Контент с предложением курсов")</f>
        <v>Контент с предложением курсов</v>
      </c>
      <c r="V97" s="6" t="str">
        <f>IFERROR(__xludf.DUMMYFUNCTION("""COMPUTED_VALUE"""),"Период продаж")</f>
        <v>Период продаж</v>
      </c>
      <c r="W97" s="6" t="str">
        <f>IFERROR(__xludf.DUMMYFUNCTION("""COMPUTED_VALUE"""),"Файл")</f>
        <v>Файл</v>
      </c>
      <c r="X97" s="6"/>
      <c r="Y97" s="6" t="str">
        <f>IFERROR(__xludf.DUMMYFUNCTION("""COMPUTED_VALUE"""),"")</f>
        <v/>
      </c>
      <c r="Z97" s="6" t="str">
        <f>IFERROR(__xludf.DUMMYFUNCTION("""COMPUTED_VALUE"""),"")</f>
        <v/>
      </c>
      <c r="AA97" s="6" t="b">
        <f>IFERROR(__xludf.DUMMYFUNCTION("""COMPUTED_VALUE"""),TRUE)</f>
        <v>1</v>
      </c>
      <c r="AB97" s="6" t="b">
        <f>IFERROR(__xludf.DUMMYFUNCTION("""COMPUTED_VALUE"""),FALSE)</f>
        <v>0</v>
      </c>
      <c r="AC97" s="6" t="b">
        <f>IFERROR(__xludf.DUMMYFUNCTION("""COMPUTED_VALUE"""),FALSE)</f>
        <v>0</v>
      </c>
      <c r="AD97" s="6" t="b">
        <f>IFERROR(__xludf.DUMMYFUNCTION("""COMPUTED_VALUE"""),FALSE)</f>
        <v>0</v>
      </c>
      <c r="AE97" s="6"/>
      <c r="AF97" s="6" t="b">
        <f>IFERROR(__xludf.DUMMYFUNCTION("""COMPUTED_VALUE"""),FALSE)</f>
        <v>0</v>
      </c>
      <c r="AG97" s="6" t="str">
        <f>IFERROR(__xludf.DUMMYFUNCTION("""COMPUTED_VALUE"""),"2026-09-08T15:27:01+00:00")</f>
        <v>2026-09-08T15:27:01+00:00</v>
      </c>
      <c r="AH97" s="6" t="str">
        <f>IFERROR(__xludf.DUMMYFUNCTION("""COMPUTED_VALUE"""),"")</f>
        <v/>
      </c>
      <c r="AI97" s="6" t="str">
        <f>IFERROR(__xludf.DUMMYFUNCTION("""COMPUTED_VALUE"""),"#N/A")</f>
        <v>#N/A</v>
      </c>
      <c r="AJ97" s="9" t="s">
        <v>224</v>
      </c>
      <c r="AL97" s="4" t="s">
        <v>236</v>
      </c>
      <c r="AM97" s="9" t="s">
        <v>235</v>
      </c>
      <c r="AN97" s="4" t="str">
        <f>IFERROR(__xludf.DUMMYFUNCTION("IF(OR(AJ97=""general_brand"",AJ97=""external"",AJ97=""unknown""),"""",IF(AJ97=""product_line"",IF(AK97=""START"",""Аналитика старт | Алгоритмы старт | Backend старт | ML старт"",IF(AK97=""PRO"",""AI-агенты про | Алгоритмы про | Аналитика про | ML про | Ba"&amp;"ckend про"",IF(AK97=""START | PRO"",""Аналитика старт | Алгоритмы старт | Backend старт | ML старт | AI-агенты про | Алгоритмы про | Аналитика про | ML про | Backend про"",""""))),TEXTJOIN("" | "",TRUE,IF(REGEXMATCH(LOWER(AL97&amp;"" | ""&amp;E97),""аналитика ста"&amp;"рт""),""Аналитика старт"",""""),IF(REGEXMATCH(LOWER(AL97&amp;"" | ""&amp;E97),""алгоритмы старт""),""Алгоритмы старт"",""""),IF(REGEXMATCH(LOWER(AL97&amp;"" | ""&amp;E97),""backend старт""),""Backend старт"",""""),IF(REGEXMATCH(LOWER(AL97&amp;"" | ""&amp;E97),""ml старт""),""ML "&amp;"старт"",""""),IF(REGEXMATCH(LOWER(AL97&amp;"" | ""&amp;E97),""ai[ -]?агент""),""AI-агенты про"",""""),IF(REGEXMATCH(LOWER(AL97&amp;"" | ""&amp;E97),""алгоритмы про""),""Алгоритмы про"",""""),IF(REGEXMATCH(LOWER(AL97&amp;"" | ""&amp;E97),""аналитика про""),""Аналитика про"","""")"&amp;",IF(REGEXMATCH(LOWER(AL97&amp;"" | ""&amp;E97),""ml про""),""ML про"",""""),IF(REGEXMATCH(LOWER(AL97&amp;"" | ""&amp;E97),""backend про""),""Backend про"",""""),IF(REGEXMATCH(LOWER(AL97&amp;"" | ""&amp;E97),""(а/в|ав|а в|ab)[ -]?тест""),""А/В-тесты"",""""),IF(REGEXMATCH(LOWER(AL"&amp;"97&amp;"" | ""&amp;E97),""data science""),""Data science"",""""),IF(REGEXMATCH(LOWER(AL97&amp;"" | ""&amp;E97),""data[- ]?инжен""),""Data-инженер"",""""),IF(REGEXMATCH(LOWER(AL97&amp;"" | ""&amp;E97),""frontend""),""Frontend"",""""))))"),"")</f>
        <v/>
      </c>
    </row>
    <row r="98">
      <c r="A98" s="6" t="str">
        <f>IFERROR(__xludf.DUMMYFUNCTION("""COMPUTED_VALUE"""),"INT-1897")</f>
        <v>INT-1897</v>
      </c>
      <c r="B98" s="6" t="str">
        <f>IFERROR(__xludf.DUMMYFUNCTION("""COMPUTED_VALUE"""),"2026-09-09 17:17:20")</f>
        <v>2026-09-09 17:17:20</v>
      </c>
      <c r="C98" s="6" t="str">
        <f>IFERROR(__xludf.DUMMYFUNCTION("""COMPUTED_VALUE"""),"@postypashki_old")</f>
        <v>@postypashki_old</v>
      </c>
      <c r="D98" s="4" t="str">
        <f>IFERROR(__xludf.DUMMYFUNCTION("""COMPUTED_VALUE"""),"Бесплатное событие / лид-магнит")</f>
        <v>Бесплатное событие / лид-магнит</v>
      </c>
      <c r="E98" s="6"/>
      <c r="F98" s="6" t="str">
        <f>IFERROR(__xludf.DUMMYFUNCTION("""COMPUTED_VALUE"""),"")</f>
        <v/>
      </c>
      <c r="G98" s="6" t="str">
        <f>IFERROR(__xludf.DUMMYFUNCTION("""COMPUTED_VALUE"""),"postypashki_old/1897")</f>
        <v>postypashki_old/1897</v>
      </c>
      <c r="H98" s="6" t="str">
        <f>IFERROR(__xludf.DUMMYFUNCTION("""COMPUTED_VALUE"""),"Как готовиться к софт собесам в Авито
Очень актуальный вопрос в эпоху, когда заботать технические собесы - это лишь вопрос времени. Команды нередко отбирают кадидатов просто по вайбику. Поэтому в посте обсудим, как зафититься на начальные позиции в Авито"&amp;" (без ограничения общности).
Более подробно про Авито можно узнать на нашем бесплатном мини-интенсиве ""Аналитика вне SQL"" завтра в 19:00 будет встреча с экспертом из Авито. Присоединиться можно по ссылке: https://t.me/+j_RdPEr7JudjNWM0
Лендинг компании"&amp;", набора или анкета
Большинство качеств, которые от вас ожидают, написаны на лендинге или в анкете. Не пожалейте времени, буквально 10-20 минут: прошерстите сайтик и выпишите все качества и характеристики, которые ждут от кандидатов. Дальше переходим на с"&amp;"траницу конкретной программы, допустим, буткемпа аналитики. Тыкаем на все вкладки и собираем максимум инфы. Так мы узнаем общие ожидания, примеры задач и опыт других ребят. В данном случае из требований интересно выделить “Умеете структурировать информаци"&amp;"ю и критически мыслить” и “Понимаете, в чём отличия между продуктовой аналитикой и BI‑разработкой”. Иначе говоря, вы должны четко понимать, чем занимается продуктовый аналитик, а также четко доносить свои мысли на собесе.  
Копаем глубже и заходим на сай"&amp;"т самой компании почитать о ее ценностях и требованиях к сотрудникам. Манифест Авито - кладезь полезной информации для подготовки к собесу. Мы знакомимся с культурой компании, а также с ее ценностями: “все начинается с потребности пользователей”, “решай б"&amp;"ыстро и аргументированно”, “упрощай!”, “вместе мы можем больше”, “главное - результат”.
Теперь у нас есть базовое понимание того, что от вас ждут, как от будущего сотрудника, однако мы еще не разобрались с нашей ролью. На собеседование критически важно с"&amp;"формулировать для себя четкую картину того, чем занимается аналитик и почему вы идете именно туда.
Составляем портрет идеального сотрудника
Представьте Вася учится на втором курсе, имеет 3 000 часов в доте.  Представим, Вася собеседуется на три совершенн"&amp;"о разные позиции: аналитика, физрука и волонтера. Для каждой из этих сфер будут важны только некоторые качества Васи (подумайте, какие именно). При этом знание прокастов на инвокера не дает ему ровным счетом ничего ни в одной из этих профессий. Поэтому мы"&amp;" с Васей понимаем, что просто ""быть собой"" на собеседовании не всегда лучший вариант, особенно на начальных позициях.
Васе поможет навык составления портрета идеального сотрудника
На данном этапе нужно осознать какими качествами обладает идеальный анал"&amp;"итик. Запросы в ИИшку вроде ""что делают аналитики в Авито"", ""что ждут от аналитика в крупной компании"" и ""какими качествами обладает хороший аналитик"" помогут ему собрать нужную инфу. Gemini отвечает, что к таким качествам относятся критическое мышл"&amp;"ение, самостоятельность и внимание к деталям.
Лучший способ узнать, что из себя представляют аналитики конкретной компании - пообщаться с ними, например в нашем чате. Если такой возможности нет, читаем статьи о сотрудниках, например вот эту.
Отдельно хоч"&amp;"у отметить, что таким образом Вася никого не обманывает, а лишь понимает, какие качества нужно подсветить в резюме и на собеседовании, а какие нет. Если человек совсем не обладает, скажем, критическим мышлением, продемонстрировать его на собесе все равно "&amp;"не получится. 
Учимся показывать качества
Главный секрет заключается в том, чтобы не просто отвечать на вопросы, а в каждом ответе показывать собеседующему, что у вас есть качества, которых от вас ожидают. 
Тут советую следующую схему:
-Гуглим базовые с"&amp;"писки вопросов, которые задают кандидатам на конкретные позиции в крупных компаниях.
-Пишем черновые варианты ответов на них.
-Для каждого ответа прикидываем, какое качество мы демонстрируем через эту историю.
-Если нашли такое качество, делаем в ответе а"&amp;"кцент именно на нем. Но не нужно говорить в лоб: фразы вроде ""Я очень ответственный, поэтому сдал домашку в срок"" -  будет скорее минусом. Пользуемся принципом ""не рассказывать, а показывать"".
-Если понимаем, что ответ никак не коннектится с требовани"&amp;"ями компании, придумываем другой. Тут настоятельно советую не пользоваться ЛЛМкой или делать это аккуратно, потому что она создает шаблонные и посредственные истории.
Из нашего мини-ресерча мы знаем, что в Авито одна из ценностей - фокус на результате. Д"&amp;"обавляем контекст работы аналитика в компании и понимаем, что речь идет о реальном импакте, зачастую денежном.
Когда на собесе залетит банальный вопрос про прошлый опыт, которого у стажера может и не быть, можно рассказать выдуманную историю про сайд-прое"&amp;"кт с друзьями и заказчиком со старших курсов. Сделайте акцент на том, что несмотря на трудности с учебой, вы выделили время на проект, так как хотели добить его до конца и увидеть эффект.
Подписаться: @postypashki_old")</f>
        <v>Как готовиться к софт собесам в Авито
Очень актуальный вопрос в эпоху, когда заботать технические собесы - это лишь вопрос времени. Команды нередко отбирают кадидатов просто по вайбику. Поэтому в посте обсудим, как зафититься на начальные позиции в Авито (без ограничения общности).
Более подробно про Авито можно узнать на нашем бесплатном мини-интенсиве "Аналитика вне SQL" завтра в 19:00 будет встреча с экспертом из Авито. Присоединиться можно по ссылке: https://t.me/+j_RdPEr7JudjNWM0
Лендинг компании, набора или анкета
Большинство качеств, которые от вас ожидают, написаны на лендинге или в анкете. Не пожалейте времени, буквально 10-20 минут: прошерстите сайтик и выпишите все качества и характеристики, которые ждут от кандидатов. Дальше переходим на страницу конкретной программы, допустим, буткемпа аналитики. Тыкаем на все вкладки и собираем максимум инфы. Так мы узнаем общие ожидания, примеры задач и опыт других ребят. В данном случае из требований интересно выделить “Умеете структурировать информацию и критически мыслить” и “Понимаете, в чём отличия между продуктовой аналитикой и BI‑разработкой”. Иначе говоря, вы должны четко понимать, чем занимается продуктовый аналитик, а также четко доносить свои мысли на собесе.  
Копаем глубже и заходим на сайт самой компании почитать о ее ценностях и требованиях к сотрудникам. Манифест Авито - кладезь полезной информации для подготовки к собесу. Мы знакомимся с культурой компании, а также с ее ценностями: “все начинается с потребности пользователей”, “решай быстро и аргументированно”, “упрощай!”, “вместе мы можем больше”, “главное - результат”.
Теперь у нас есть базовое понимание того, что от вас ждут, как от будущего сотрудника, однако мы еще не разобрались с нашей ролью. На собеседование критически важно сформулировать для себя четкую картину того, чем занимается аналитик и почему вы идете именно туда.
Составляем портрет идеального сотрудника
Представьте Вася учится на втором курсе, имеет 3 000 часов в доте.  Представим, Вася собеседуется на три совершенно разные позиции: аналитика, физрука и волонтера. Для каждой из этих сфер будут важны только некоторые качества Васи (подумайте, какие именно). При этом знание прокастов на инвокера не дает ему ровным счетом ничего ни в одной из этих профессий. Поэтому мы с Васей понимаем, что просто "быть собой" на собеседовании не всегда лучший вариант, особенно на начальных позициях.
Васе поможет навык составления портрета идеального сотрудника
На данном этапе нужно осознать какими качествами обладает идеальный аналитик. Запросы в ИИшку вроде "что делают аналитики в Авито", "что ждут от аналитика в крупной компании" и "какими качествами обладает хороший аналитик" помогут ему собрать нужную инфу. Gemini отвечает, что к таким качествам относятся критическое мышление, самостоятельность и внимание к деталям.
Лучший способ узнать, что из себя представляют аналитики конкретной компании - пообщаться с ними, например в нашем чате. Если такой возможности нет, читаем статьи о сотрудниках, например вот эту.
Отдельно хочу отметить, что таким образом Вася никого не обманывает, а лишь понимает, какие качества нужно подсветить в резюме и на собеседовании, а какие нет. Если человек совсем не обладает, скажем, критическим мышлением, продемонстрировать его на собесе все равно не получится. 
Учимся показывать качества
Главный секрет заключается в том, чтобы не просто отвечать на вопросы, а в каждом ответе показывать собеседующему, что у вас есть качества, которых от вас ожидают. 
Тут советую следующую схему:
-Гуглим базовые списки вопросов, которые задают кандидатам на конкретные позиции в крупных компаниях.
-Пишем черновые варианты ответов на них.
-Для каждого ответа прикидываем, какое качество мы демонстрируем через эту историю.
-Если нашли такое качество, делаем в ответе акцент именно на нем. Но не нужно говорить в лоб: фразы вроде "Я очень ответственный, поэтому сдал домашку в срок" -  будет скорее минусом. Пользуемся принципом "не рассказывать, а показывать".
-Если понимаем, что ответ никак не коннектится с требованиями компании, придумываем другой. Тут настоятельно советую не пользоваться ЛЛМкой или делать это аккуратно, потому что она создает шаблонные и посредственные истории.
Из нашего мини-ресерча мы знаем, что в Авито одна из ценностей - фокус на результате. Добавляем контекст работы аналитика в компании и понимаем, что речь идет о реальном импакте, зачастую денежном.
Когда на собесе залетит банальный вопрос про прошлый опыт, которого у стажера может и не быть, можно рассказать выдуманную историю про сайд-проект с друзьями и заказчиком со старших курсов. Сделайте акцент на том, что несмотря на трудности с учебой, вы выделили время на проект, так как хотели добить его до конца и увидеть эффект.
Подписаться: @postypashki_old</v>
      </c>
      <c r="I98" s="6" t="str">
        <f>IFERROR(__xludf.DUMMYFUNCTION("""COMPUTED_VALUE"""),"internal")</f>
        <v>internal</v>
      </c>
      <c r="J98" s="10" t="str">
        <f>IFERROR(__xludf.DUMMYFUNCTION("""COMPUTED_VALUE"""),"https://t.me/postypashki_old/1897")</f>
        <v>https://t.me/postypashki_old/1897</v>
      </c>
      <c r="K98" s="6">
        <f>IFERROR(__xludf.DUMMYFUNCTION("""COMPUTED_VALUE"""),9150.0)</f>
        <v>9150</v>
      </c>
      <c r="L98" s="6">
        <f>IFERROR(__xludf.DUMMYFUNCTION("""COMPUTED_VALUE"""),22.0)</f>
        <v>22</v>
      </c>
      <c r="M98" s="6" t="str">
        <f>IFERROR(__xludf.DUMMYFUNCTION("""COMPUTED_VALUE"""),"")</f>
        <v/>
      </c>
      <c r="N98" s="6" t="str">
        <f>IFERROR(__xludf.DUMMYFUNCTION("""COMPUTED_VALUE"""),"Telegram")</f>
        <v>Telegram</v>
      </c>
      <c r="O98" s="6" t="str">
        <f>IFERROR(__xludf.DUMMYFUNCTION("""COMPUTED_VALUE"""),"raw")</f>
        <v>raw</v>
      </c>
      <c r="P98" s="6" t="str">
        <f>IFERROR(__xludf.DUMMYFUNCTION("""COMPUTED_VALUE"""),"Codex")</f>
        <v>Codex</v>
      </c>
      <c r="Q98" s="6" t="str">
        <f>IFERROR(__xludf.DUMMYFUNCTION("""COMPUTED_VALUE"""),"Как готовиться к софт собесам в Авито Очень актуальный вопрос в эпоху, когда заботать технические собесы - это лишь вопрос времени. Команды нередко отбирают кадидатов просто по вай")</f>
        <v>Как готовиться к софт собесам в Авито Очень актуальный вопрос в эпоху, когда заботать технические собесы - это лишь вопрос времени. Команды нередко отбирают кадидатов просто по вай</v>
      </c>
      <c r="R98" s="6" t="str">
        <f>IFERROR(__xludf.DUMMYFUNCTION("""COMPUTED_VALUE"""),"internal")</f>
        <v>internal</v>
      </c>
      <c r="S98" s="6" t="str">
        <f>IFERROR(__xludf.DUMMYFUNCTION("""COMPUTED_VALUE"""),"unknown")</f>
        <v>unknown</v>
      </c>
      <c r="T98" s="6" t="str">
        <f>IFERROR(__xludf.DUMMYFUNCTION("""COMPUTED_VALUE"""),"telegram_internal")</f>
        <v>telegram_internal</v>
      </c>
      <c r="U98" s="6" t="str">
        <f>IFERROR(__xludf.DUMMYFUNCTION("""COMPUTED_VALUE"""),"Бесплатное событие / лид-магнит")</f>
        <v>Бесплатное событие / лид-магнит</v>
      </c>
      <c r="V98" s="6" t="str">
        <f>IFERROR(__xludf.DUMMYFUNCTION("""COMPUTED_VALUE"""),"Период продаж")</f>
        <v>Период продаж</v>
      </c>
      <c r="W98" s="6"/>
      <c r="X98" s="6"/>
      <c r="Y98" s="6" t="str">
        <f>IFERROR(__xludf.DUMMYFUNCTION("""COMPUTED_VALUE"""),"")</f>
        <v/>
      </c>
      <c r="Z98" s="6" t="str">
        <f>IFERROR(__xludf.DUMMYFUNCTION("""COMPUTED_VALUE"""),"")</f>
        <v/>
      </c>
      <c r="AA98" s="6" t="b">
        <f>IFERROR(__xludf.DUMMYFUNCTION("""COMPUTED_VALUE"""),FALSE)</f>
        <v>0</v>
      </c>
      <c r="AB98" s="6" t="b">
        <f>IFERROR(__xludf.DUMMYFUNCTION("""COMPUTED_VALUE"""),FALSE)</f>
        <v>0</v>
      </c>
      <c r="AC98" s="6" t="b">
        <f>IFERROR(__xludf.DUMMYFUNCTION("""COMPUTED_VALUE"""),FALSE)</f>
        <v>0</v>
      </c>
      <c r="AD98" s="6" t="b">
        <f>IFERROR(__xludf.DUMMYFUNCTION("""COMPUTED_VALUE"""),TRUE)</f>
        <v>1</v>
      </c>
      <c r="AE98" s="6"/>
      <c r="AF98" s="6" t="b">
        <f>IFERROR(__xludf.DUMMYFUNCTION("""COMPUTED_VALUE"""),FALSE)</f>
        <v>0</v>
      </c>
      <c r="AG98" s="6" t="str">
        <f>IFERROR(__xludf.DUMMYFUNCTION("""COMPUTED_VALUE"""),"2026-09-09T14:17:20+00:00")</f>
        <v>2026-09-09T14:17:20+00:00</v>
      </c>
      <c r="AH98" s="6" t="str">
        <f>IFERROR(__xludf.DUMMYFUNCTION("""COMPUTED_VALUE"""),"")</f>
        <v/>
      </c>
      <c r="AI98" s="6" t="str">
        <f>IFERROR(__xludf.DUMMYFUNCTION("""COMPUTED_VALUE"""),"#N/A")</f>
        <v>#N/A</v>
      </c>
      <c r="AJ98" s="9" t="s">
        <v>224</v>
      </c>
      <c r="AL98" s="9" t="s">
        <v>248</v>
      </c>
      <c r="AM98" s="9" t="s">
        <v>228</v>
      </c>
      <c r="AN98" s="4" t="str">
        <f>IFERROR(__xludf.DUMMYFUNCTION("IF(OR(AJ98=""general_brand"",AJ98=""external"",AJ98=""unknown""),"""",IF(AJ98=""product_line"",IF(AK98=""START"",""Аналитика старт | Алгоритмы старт | Backend старт | ML старт"",IF(AK98=""PRO"",""AI-агенты про | Алгоритмы про | Аналитика про | ML про | Ba"&amp;"ckend про"",IF(AK98=""START | PRO"",""Аналитика старт | Алгоритмы старт | Backend старт | ML старт | AI-агенты про | Алгоритмы про | Аналитика про | ML про | Backend про"",""""))),TEXTJOIN("" | "",TRUE,IF(REGEXMATCH(LOWER(AL98&amp;"" | ""&amp;E98),""аналитика ста"&amp;"рт""),""Аналитика старт"",""""),IF(REGEXMATCH(LOWER(AL98&amp;"" | ""&amp;E98),""алгоритмы старт""),""Алгоритмы старт"",""""),IF(REGEXMATCH(LOWER(AL98&amp;"" | ""&amp;E98),""backend старт""),""Backend старт"",""""),IF(REGEXMATCH(LOWER(AL98&amp;"" | ""&amp;E98),""ml старт""),""ML "&amp;"старт"",""""),IF(REGEXMATCH(LOWER(AL98&amp;"" | ""&amp;E98),""ai[ -]?агент""),""AI-агенты про"",""""),IF(REGEXMATCH(LOWER(AL98&amp;"" | ""&amp;E98),""алгоритмы про""),""Алгоритмы про"",""""),IF(REGEXMATCH(LOWER(AL98&amp;"" | ""&amp;E98),""аналитика про""),""Аналитика про"","""")"&amp;",IF(REGEXMATCH(LOWER(AL98&amp;"" | ""&amp;E98),""ml про""),""ML про"",""""),IF(REGEXMATCH(LOWER(AL98&amp;"" | ""&amp;E98),""backend про""),""Backend про"",""""),IF(REGEXMATCH(LOWER(AL98&amp;"" | ""&amp;E98),""(а/в|ав|а в|ab)[ -]?тест""),""А/В-тесты"",""""),IF(REGEXMATCH(LOWER(AL"&amp;"98&amp;"" | ""&amp;E98),""data science""),""Data science"",""""),IF(REGEXMATCH(LOWER(AL98&amp;"" | ""&amp;E98),""data[- ]?инжен""),""Data-инженер"",""""),IF(REGEXMATCH(LOWER(AL98&amp;"" | ""&amp;E98),""frontend""),""Frontend"",""""))))"),"")</f>
        <v/>
      </c>
    </row>
    <row r="99">
      <c r="A99" s="6" t="str">
        <f>IFERROR(__xludf.DUMMYFUNCTION("""COMPUTED_VALUE"""),"INT-1898")</f>
        <v>INT-1898</v>
      </c>
      <c r="B99" s="6" t="str">
        <f>IFERROR(__xludf.DUMMYFUNCTION("""COMPUTED_VALUE"""),"2026-09-10 11:59:39")</f>
        <v>2026-09-10 11:59:39</v>
      </c>
      <c r="C99" s="6" t="str">
        <f>IFERROR(__xludf.DUMMYFUNCTION("""COMPUTED_VALUE"""),"@postypashki_old")</f>
        <v>@postypashki_old</v>
      </c>
      <c r="D99" s="4" t="str">
        <f>IFERROR(__xludf.DUMMYFUNCTION("""COMPUTED_VALUE"""),"Бесплатное событие / лид-магнит")</f>
        <v>Бесплатное событие / лид-магнит</v>
      </c>
      <c r="E99" s="6"/>
      <c r="F99" s="6" t="str">
        <f>IFERROR(__xludf.DUMMYFUNCTION("""COMPUTED_VALUE"""),"")</f>
        <v/>
      </c>
      <c r="G99" s="6" t="str">
        <f>IFERROR(__xludf.DUMMYFUNCTION("""COMPUTED_VALUE"""),"postypashki_old/1898")</f>
        <v>postypashki_old/1898</v>
      </c>
      <c r="H99" s="6" t="str">
        <f>IFERROR(__xludf.DUMMYFUNCTION("""COMPUTED_VALUE"""),"Как хакнуть HR
В рамках открытой недели ""Аналитика вне SQL"" встретились с HR-экспертом, который нанимал IT-спецов от стажера до топ-менеджмента в X5 и Яндексе. Вместе разбирались, что вообще происходит по ту сторону отклика: почему хорошее резюме может"&amp;" получить отказ, как работает ATS, что смотрит HR и почему одних кандидатов зовут дальше, а других — нет.
Запись встречи уже лежит в канале. Но чтобы не пересматривать ее каждый раз перед собеседованием, мы собрали все самое важное в гайд «Как попасть на"&amp;" собеседование и пройти его». Сохраняйте и делитесь с друзьями!
А здесь отдельно вынесем несколько важных пунктов:
1. Увидели вакансию — лучше откликнуться сразу.
HR достаточно быстро собирает первую подборку подходящих кандидатов и дальше уже работает с"&amp;" ней вместе с нанимающим менеджером. Вакансия при этом может продолжать висеть.
Поэтому иногда кандидат на 10/10 просто пришёл позже и не успел попасть в папку кандидатов.
2. ATS помнит больше, чем одно ваше резюме.
Это не только фильтр по ключевым слова"&amp;"м. В системе может сохраняться история ваших откликов, этапов и контактов с компанией.
Поэтому нормально поддерживать адекватную коммуникацию с HR даже после интервью. Если они обещали ответ и пропали — можно написать follow-up. Сегодня вакансии для вас м"&amp;"ожет не оказаться, а через несколько месяцев HR вспомнит хорошего кандидата и вернётся уже с другой.
И да: если вам звонил HR и вы не успели взять трубку — перезвонить нормально. Не нужно ждать, пока вас попробуют поймать ещё три раза.
3. Холодный отклик"&amp;" — не единственный вход.
Если можете выйти напрямую на HR, нанимающего менеджера или получить рекомендацию сотрудника — используйте это.
Когда вас рекомендуют, за вами уже стоит первичный человеческий фильтр: «я знаю этого человека / посмотрел его опыт / "&amp;"с ним стоит поговорить». Это может помочь не потеряться среди сотен откликов.
Поэтому нетворкинг — самый рабочий канал поиска работы, особенно, чтобы быстро пройти верхний этап воронки.
4. Перед интервью можно немного посталкерить нанимающего менеджера.
"&amp;"Спросите у HR, кто будет вас собеседовать, и посмотрите человека в LinkedIn и открытых соцсетях: где работал, чем занимался, какие продукты делал.
Вы идёте не в абстрактный «Яндекс» или «X5», а к конкретному руководителю. Чем лучше понимаете его профессио"&amp;"нальный профиль, тем понятнее, какие темы ему будут близки и на чём строить разговор.
5. Soft skills ≠ «просто умею разговаривать».
И точно не строчка «коммуникабельный, стрессоустойчивый» в резюме.
На собеседовании смотрят, можете ли вы:
— понятно объяс"&amp;"нить решение
— нормально реагировать на вопросы
— признать, что чего-то не знаете
— уточнить задачу вместо того, чтобы сразу бежать решать
— аргументировать свою позицию
— в целом адекватно работать с другими людьми
Когда два кандидата похожи по хардам, "&amp;"вот это уже может стать решающим фактором при выборе.
6. Нет опыта — ищитев первую очередь не сертификаты, а доказательства, что вы умеете работать.
Pet-проекты, хакатоны, кейс-чемпионаты, исследования, университетские проекты — всё это можно использоват"&amp;"ь как опыт, если там была реальная задача и вы можете подробно рассказать, что сделали и к какому результату пришли.
То же самое с коммерческим опытом: в резюме важнее не «писал SQL и строил дашборды», а что изменилось благодаря вашей работе.
Например:
у"&amp;"величил показатель X на 12% за счёт анализа пользовательских сегментов и проверки продуктовых гипотез.
В самом гайде подробнее разобрали ATS, резюме, первый этап отбора, отсутствие опыта, HR-интервью, soft skills, нетворкинг и переход между ролями.
А се"&amp;"годня в 19:00 посмотрим на тот же путь уже глазами кандидата.
Встречаемся с senior-аналитиком Авито😎 и разберём, как он сам прошёл путь от поиска первой стажировки до senior: что писал в резюме, что реально помогало проходить отборы, что не работало и з"&amp;"а счёт чего получилось быстро расти дальше.
Если сейчас ищете стажировку, первую работу или хотите понять, как быстрее расти после входа в профессию, присоединяйтесь.")</f>
        <v>Как хакнуть HR
В рамках открытой недели "Аналитика вне SQL" встретились с HR-экспертом, который нанимал IT-спецов от стажера до топ-менеджмента в X5 и Яндексе. Вместе разбирались, что вообще происходит по ту сторону отклика: почему хорошее резюме может получить отказ, как работает ATS, что смотрит HR и почему одних кандидатов зовут дальше, а других — нет.
Запись встречи уже лежит в канале. Но чтобы не пересматривать ее каждый раз перед собеседованием, мы собрали все самое важное в гайд «Как попасть на собеседование и пройти его». Сохраняйте и делитесь с друзьями!
А здесь отдельно вынесем несколько важных пунктов:
1. Увидели вакансию — лучше откликнуться сразу.
HR достаточно быстро собирает первую подборку подходящих кандидатов и дальше уже работает с ней вместе с нанимающим менеджером. Вакансия при этом может продолжать висеть.
Поэтому иногда кандидат на 10/10 просто пришёл позже и не успел попасть в папку кандидатов.
2. ATS помнит больше, чем одно ваше резюме.
Это не только фильтр по ключевым словам. В системе может сохраняться история ваших откликов, этапов и контактов с компанией.
Поэтому нормально поддерживать адекватную коммуникацию с HR даже после интервью. Если они обещали ответ и пропали — можно написать follow-up. Сегодня вакансии для вас может не оказаться, а через несколько месяцев HR вспомнит хорошего кандидата и вернётся уже с другой.
И да: если вам звонил HR и вы не успели взять трубку — перезвонить нормально. Не нужно ждать, пока вас попробуют поймать ещё три раза.
3. Холодный отклик — не единственный вход.
Если можете выйти напрямую на HR, нанимающего менеджера или получить рекомендацию сотрудника — используйте это.
Когда вас рекомендуют, за вами уже стоит первичный человеческий фильтр: «я знаю этого человека / посмотрел его опыт / с ним стоит поговорить». Это может помочь не потеряться среди сотен откликов.
Поэтому нетворкинг — самый рабочий канал поиска работы, особенно, чтобы быстро пройти верхний этап воронки.
4. Перед интервью можно немного посталкерить нанимающего менеджера.
Спросите у HR, кто будет вас собеседовать, и посмотрите человека в LinkedIn и открытых соцсетях: где работал, чем занимался, какие продукты делал.
Вы идёте не в абстрактный «Яндекс» или «X5», а к конкретному руководителю. Чем лучше понимаете его профессиональный профиль, тем понятнее, какие темы ему будут близки и на чём строить разговор.
5. Soft skills ≠ «просто умею разговаривать».
И точно не строчка «коммуникабельный, стрессоустойчивый» в резюме.
На собеседовании смотрят, можете ли вы:
— понятно объяснить решение
— нормально реагировать на вопросы
— признать, что чего-то не знаете
— уточнить задачу вместо того, чтобы сразу бежать решать
— аргументировать свою позицию
— в целом адекватно работать с другими людьми
Когда два кандидата похожи по хардам, вот это уже может стать решающим фактором при выборе.
6. Нет опыта — ищитев первую очередь не сертификаты, а доказательства, что вы умеете работать.
Pet-проекты, хакатоны, кейс-чемпионаты, исследования, университетские проекты — всё это можно использовать как опыт, если там была реальная задача и вы можете подробно рассказать, что сделали и к какому результату пришли.
То же самое с коммерческим опытом: в резюме важнее не «писал SQL и строил дашборды», а что изменилось благодаря вашей работе.
Например:
увеличил показатель X на 12% за счёт анализа пользовательских сегментов и проверки продуктовых гипотез.
В самом гайде подробнее разобрали ATS, резюме, первый этап отбора, отсутствие опыта, HR-интервью, soft skills, нетворкинг и переход между ролями.
А сегодня в 19:00 посмотрим на тот же путь уже глазами кандидата.
Встречаемся с senior-аналитиком Авито😎 и разберём, как он сам прошёл путь от поиска первой стажировки до senior: что писал в резюме, что реально помогало проходить отборы, что не работало и за счёт чего получилось быстро расти дальше.
Если сейчас ищете стажировку, первую работу или хотите понять, как быстрее расти после входа в профессию, присоединяйтесь.</v>
      </c>
      <c r="I99" s="6" t="str">
        <f>IFERROR(__xludf.DUMMYFUNCTION("""COMPUTED_VALUE"""),"internal")</f>
        <v>internal</v>
      </c>
      <c r="J99" s="10" t="str">
        <f>IFERROR(__xludf.DUMMYFUNCTION("""COMPUTED_VALUE"""),"https://t.me/postypashki_old/1898")</f>
        <v>https://t.me/postypashki_old/1898</v>
      </c>
      <c r="K99" s="6">
        <f>IFERROR(__xludf.DUMMYFUNCTION("""COMPUTED_VALUE"""),7920.0)</f>
        <v>7920</v>
      </c>
      <c r="L99" s="6">
        <f>IFERROR(__xludf.DUMMYFUNCTION("""COMPUTED_VALUE"""),20.0)</f>
        <v>20</v>
      </c>
      <c r="M99" s="6" t="str">
        <f>IFERROR(__xludf.DUMMYFUNCTION("""COMPUTED_VALUE"""),"")</f>
        <v/>
      </c>
      <c r="N99" s="6" t="str">
        <f>IFERROR(__xludf.DUMMYFUNCTION("""COMPUTED_VALUE"""),"Telegram")</f>
        <v>Telegram</v>
      </c>
      <c r="O99" s="6" t="str">
        <f>IFERROR(__xludf.DUMMYFUNCTION("""COMPUTED_VALUE"""),"raw")</f>
        <v>raw</v>
      </c>
      <c r="P99" s="6" t="str">
        <f>IFERROR(__xludf.DUMMYFUNCTION("""COMPUTED_VALUE"""),"Codex")</f>
        <v>Codex</v>
      </c>
      <c r="Q99" s="6" t="str">
        <f>IFERROR(__xludf.DUMMYFUNCTION("""COMPUTED_VALUE"""),"Как хакнуть HR В рамках открытой недели ""Аналитика вне SQL"" встретились с HR-экспертом, который нанимал IT-спецов от стажера до топ-менеджмента в X5 и Яндексе. Вместе разбирались, ")</f>
        <v>Как хакнуть HR В рамках открытой недели "Аналитика вне SQL" встретились с HR-экспертом, который нанимал IT-спецов от стажера до топ-менеджмента в X5 и Яндексе. Вместе разбирались, </v>
      </c>
      <c r="R99" s="6" t="str">
        <f>IFERROR(__xludf.DUMMYFUNCTION("""COMPUTED_VALUE"""),"internal")</f>
        <v>internal</v>
      </c>
      <c r="S99" s="6" t="str">
        <f>IFERROR(__xludf.DUMMYFUNCTION("""COMPUTED_VALUE"""),"unknown")</f>
        <v>unknown</v>
      </c>
      <c r="T99" s="6" t="str">
        <f>IFERROR(__xludf.DUMMYFUNCTION("""COMPUTED_VALUE"""),"telegram_internal")</f>
        <v>telegram_internal</v>
      </c>
      <c r="U99" s="6" t="str">
        <f>IFERROR(__xludf.DUMMYFUNCTION("""COMPUTED_VALUE"""),"Бесплатное событие / лид-магнит")</f>
        <v>Бесплатное событие / лид-магнит</v>
      </c>
      <c r="V99" s="6" t="str">
        <f>IFERROR(__xludf.DUMMYFUNCTION("""COMPUTED_VALUE"""),"Период продаж")</f>
        <v>Период продаж</v>
      </c>
      <c r="W99" s="6" t="str">
        <f>IFERROR(__xludf.DUMMYFUNCTION("""COMPUTED_VALUE"""),"Файл")</f>
        <v>Файл</v>
      </c>
      <c r="X99" s="6"/>
      <c r="Y99" s="6" t="str">
        <f>IFERROR(__xludf.DUMMYFUNCTION("""COMPUTED_VALUE"""),"")</f>
        <v/>
      </c>
      <c r="Z99" s="6" t="str">
        <f>IFERROR(__xludf.DUMMYFUNCTION("""COMPUTED_VALUE"""),"")</f>
        <v/>
      </c>
      <c r="AA99" s="6" t="b">
        <f>IFERROR(__xludf.DUMMYFUNCTION("""COMPUTED_VALUE"""),TRUE)</f>
        <v>1</v>
      </c>
      <c r="AB99" s="6" t="b">
        <f>IFERROR(__xludf.DUMMYFUNCTION("""COMPUTED_VALUE"""),FALSE)</f>
        <v>0</v>
      </c>
      <c r="AC99" s="6" t="b">
        <f>IFERROR(__xludf.DUMMYFUNCTION("""COMPUTED_VALUE"""),FALSE)</f>
        <v>0</v>
      </c>
      <c r="AD99" s="6" t="b">
        <f>IFERROR(__xludf.DUMMYFUNCTION("""COMPUTED_VALUE"""),TRUE)</f>
        <v>1</v>
      </c>
      <c r="AE99" s="6"/>
      <c r="AF99" s="6" t="b">
        <f>IFERROR(__xludf.DUMMYFUNCTION("""COMPUTED_VALUE"""),FALSE)</f>
        <v>0</v>
      </c>
      <c r="AG99" s="6" t="str">
        <f>IFERROR(__xludf.DUMMYFUNCTION("""COMPUTED_VALUE"""),"2026-09-10T08:59:39+00:00")</f>
        <v>2026-09-10T08:59:39+00:00</v>
      </c>
      <c r="AH99" s="6" t="str">
        <f>IFERROR(__xludf.DUMMYFUNCTION("""COMPUTED_VALUE"""),"")</f>
        <v/>
      </c>
      <c r="AI99" s="6" t="str">
        <f>IFERROR(__xludf.DUMMYFUNCTION("""COMPUTED_VALUE"""),"#N/A")</f>
        <v>#N/A</v>
      </c>
      <c r="AJ99" s="9" t="s">
        <v>224</v>
      </c>
      <c r="AL99" s="9" t="s">
        <v>248</v>
      </c>
      <c r="AM99" s="9" t="s">
        <v>219</v>
      </c>
      <c r="AN99" s="4" t="str">
        <f>IFERROR(__xludf.DUMMYFUNCTION("IF(OR(AJ99=""general_brand"",AJ99=""external"",AJ99=""unknown""),"""",IF(AJ99=""product_line"",IF(AK99=""START"",""Аналитика старт | Алгоритмы старт | Backend старт | ML старт"",IF(AK99=""PRO"",""AI-агенты про | Алгоритмы про | Аналитика про | ML про | Ba"&amp;"ckend про"",IF(AK99=""START | PRO"",""Аналитика старт | Алгоритмы старт | Backend старт | ML старт | AI-агенты про | Алгоритмы про | Аналитика про | ML про | Backend про"",""""))),TEXTJOIN("" | "",TRUE,IF(REGEXMATCH(LOWER(AL99&amp;"" | ""&amp;E99),""аналитика ста"&amp;"рт""),""Аналитика старт"",""""),IF(REGEXMATCH(LOWER(AL99&amp;"" | ""&amp;E99),""алгоритмы старт""),""Алгоритмы старт"",""""),IF(REGEXMATCH(LOWER(AL99&amp;"" | ""&amp;E99),""backend старт""),""Backend старт"",""""),IF(REGEXMATCH(LOWER(AL99&amp;"" | ""&amp;E99),""ml старт""),""ML "&amp;"старт"",""""),IF(REGEXMATCH(LOWER(AL99&amp;"" | ""&amp;E99),""ai[ -]?агент""),""AI-агенты про"",""""),IF(REGEXMATCH(LOWER(AL99&amp;"" | ""&amp;E99),""алгоритмы про""),""Алгоритмы про"",""""),IF(REGEXMATCH(LOWER(AL99&amp;"" | ""&amp;E99),""аналитика про""),""Аналитика про"","""")"&amp;",IF(REGEXMATCH(LOWER(AL99&amp;"" | ""&amp;E99),""ml про""),""ML про"",""""),IF(REGEXMATCH(LOWER(AL99&amp;"" | ""&amp;E99),""backend про""),""Backend про"",""""),IF(REGEXMATCH(LOWER(AL99&amp;"" | ""&amp;E99),""(а/в|ав|а в|ab)[ -]?тест""),""А/В-тесты"",""""),IF(REGEXMATCH(LOWER(AL"&amp;"99&amp;"" | ""&amp;E99),""data science""),""Data science"",""""),IF(REGEXMATCH(LOWER(AL99&amp;"" | ""&amp;E99),""data[- ]?инжен""),""Data-инженер"",""""),IF(REGEXMATCH(LOWER(AL99&amp;"" | ""&amp;E99),""frontend""),""Frontend"",""""))))"),"")</f>
        <v/>
      </c>
    </row>
    <row r="100">
      <c r="A100" s="6" t="str">
        <f>IFERROR(__xludf.DUMMYFUNCTION("""COMPUTED_VALUE"""),"INT-1899")</f>
        <v>INT-1899</v>
      </c>
      <c r="B100" s="6" t="str">
        <f>IFERROR(__xludf.DUMMYFUNCTION("""COMPUTED_VALUE"""),"2026-09-10 17:06:13")</f>
        <v>2026-09-10 17:06:13</v>
      </c>
      <c r="C100" s="6" t="str">
        <f>IFERROR(__xludf.DUMMYFUNCTION("""COMPUTED_VALUE"""),"@postypashki_old")</f>
        <v>@postypashki_old</v>
      </c>
      <c r="D100" s="4" t="str">
        <f>IFERROR(__xludf.DUMMYFUNCTION("""COMPUTED_VALUE"""),"Контент с предложением курсов")</f>
        <v>Контент с предложением курсов</v>
      </c>
      <c r="E100" s="6" t="str">
        <f>IFERROR(__xludf.DUMMYFUNCTION("""COMPUTED_VALUE"""),"Аналитика про")</f>
        <v>Аналитика про</v>
      </c>
      <c r="F100" s="6" t="str">
        <f>IFERROR(__xludf.DUMMYFUNCTION("""COMPUTED_VALUE"""),"")</f>
        <v/>
      </c>
      <c r="G100" s="6" t="str">
        <f>IFERROR(__xludf.DUMMYFUNCTION("""COMPUTED_VALUE"""),"postypashki_old/1899")</f>
        <v>postypashki_old/1899</v>
      </c>
      <c r="H100" s="6" t="str">
        <f>IFERROR(__xludf.DUMMYFUNCTION("""COMPUTED_VALUE"""),"Продолжаем знакомиться с талантливыми учениками Поступашек
Сегодня в гостях - Катя Деева, амбасодор СВЭГА. Сейчас Катя работает в Ozon Fresh, а до этого успела попробовать себя в аналитике и продакт-менеджменте в крупных компаниях и пройти довольно непро"&amp;"стой путь поиска того, чем вообще хочется заниматься.
Смотрим интервью по ссылке: https://youtu.be/5Da-YtxUpSE
Обсудили самые актуальные темы зумеров: 
— Как найти парня 
— Как делать эти самые ""социальные связи"" (нетворк) 
— Как кейс-чемпионаты помог"&amp;"ли Кате построить карьеру
— Работу аналитиком в Sber AI, VK, МТС 
— Работу продакт менеджером в Яндекс рекламе, Яндекс Маркете, Яндекс GO
— лицей НИУ ВШЭ и факультет бизнес-информатики
Получился разговор не только про карьеру и образование, но и про то, "&amp;"как пробовать разное, ошибаться, менять решения и постепенно понимать, чем действительно хочется заниматься. 
А если хотите вырасти в такого же сильного специалиста как Катя, за которым охотятся топ-компании, приходите на наш курс ""Аналитика ПРО""
➡️ За"&amp;"писаться")</f>
        <v>Продолжаем знакомиться с талантливыми учениками Поступашек
Сегодня в гостях - Катя Деева, амбасодор СВЭГА. Сейчас Катя работает в Ozon Fresh, а до этого успела попробовать себя в аналитике и продакт-менеджменте в крупных компаниях и пройти довольно непростой путь поиска того, чем вообще хочется заниматься.
Смотрим интервью по ссылке: https://youtu.be/5Da-YtxUpSE
Обсудили самые актуальные темы зумеров: 
— Как найти парня 
— Как делать эти самые "социальные связи" (нетворк) 
— Как кейс-чемпионаты помогли Кате построить карьеру
— Работу аналитиком в Sber AI, VK, МТС 
— Работу продакт менеджером в Яндекс рекламе, Яндекс Маркете, Яндекс GO
— лицей НИУ ВШЭ и факультет бизнес-информатики
Получился разговор не только про карьеру и образование, но и про то, как пробовать разное, ошибаться, менять решения и постепенно понимать, чем действительно хочется заниматься. 
А если хотите вырасти в такого же сильного специалиста как Катя, за которым охотятся топ-компании, приходите на наш курс "Аналитика ПРО"
➡️ Записаться</v>
      </c>
      <c r="I100" s="6" t="str">
        <f>IFERROR(__xludf.DUMMYFUNCTION("""COMPUTED_VALUE"""),"internal")</f>
        <v>internal</v>
      </c>
      <c r="J100" s="10" t="str">
        <f>IFERROR(__xludf.DUMMYFUNCTION("""COMPUTED_VALUE"""),"https://t.me/postypashki_old/1899")</f>
        <v>https://t.me/postypashki_old/1899</v>
      </c>
      <c r="K100" s="6">
        <f>IFERROR(__xludf.DUMMYFUNCTION("""COMPUTED_VALUE"""),6980.0)</f>
        <v>6980</v>
      </c>
      <c r="L100" s="6">
        <f>IFERROR(__xludf.DUMMYFUNCTION("""COMPUTED_VALUE"""),74.0)</f>
        <v>74</v>
      </c>
      <c r="M100" s="6" t="str">
        <f>IFERROR(__xludf.DUMMYFUNCTION("""COMPUTED_VALUE"""),"")</f>
        <v/>
      </c>
      <c r="N100" s="6" t="str">
        <f>IFERROR(__xludf.DUMMYFUNCTION("""COMPUTED_VALUE"""),"Telegram")</f>
        <v>Telegram</v>
      </c>
      <c r="O100" s="6" t="str">
        <f>IFERROR(__xludf.DUMMYFUNCTION("""COMPUTED_VALUE"""),"raw")</f>
        <v>raw</v>
      </c>
      <c r="P100" s="6" t="str">
        <f>IFERROR(__xludf.DUMMYFUNCTION("""COMPUTED_VALUE"""),"Codex")</f>
        <v>Codex</v>
      </c>
      <c r="Q100" s="6" t="str">
        <f>IFERROR(__xludf.DUMMYFUNCTION("""COMPUTED_VALUE"""),"Продолжаем знакомиться с талантливыми учениками Поступашек Сегодня в гостях - Катя Деева, амбасодор СВЭГА. Сейчас Катя работает в Ozon Fresh, а до этого успела попробовать себя в а")</f>
        <v>Продолжаем знакомиться с талантливыми учениками Поступашек Сегодня в гостях - Катя Деева, амбасодор СВЭГА. Сейчас Катя работает в Ozon Fresh, а до этого успела попробовать себя в а</v>
      </c>
      <c r="R100" s="6" t="str">
        <f>IFERROR(__xludf.DUMMYFUNCTION("""COMPUTED_VALUE"""),"internal")</f>
        <v>internal</v>
      </c>
      <c r="S100" s="6" t="str">
        <f>IFERROR(__xludf.DUMMYFUNCTION("""COMPUTED_VALUE"""),"unknown")</f>
        <v>unknown</v>
      </c>
      <c r="T100" s="6" t="str">
        <f>IFERROR(__xludf.DUMMYFUNCTION("""COMPUTED_VALUE"""),"telegram_internal")</f>
        <v>telegram_internal</v>
      </c>
      <c r="U100" s="6" t="str">
        <f>IFERROR(__xludf.DUMMYFUNCTION("""COMPUTED_VALUE"""),"Контент с предложением курсов")</f>
        <v>Контент с предложением курсов</v>
      </c>
      <c r="V100" s="6" t="str">
        <f>IFERROR(__xludf.DUMMYFUNCTION("""COMPUTED_VALUE"""),"Период продаж")</f>
        <v>Период продаж</v>
      </c>
      <c r="W100" s="6" t="str">
        <f>IFERROR(__xludf.DUMMYFUNCTION("""COMPUTED_VALUE"""),"Фото")</f>
        <v>Фото</v>
      </c>
      <c r="X100" s="6"/>
      <c r="Y100" s="6" t="str">
        <f>IFERROR(__xludf.DUMMYFUNCTION("""COMPUTED_VALUE"""),"")</f>
        <v/>
      </c>
      <c r="Z100" s="6" t="str">
        <f>IFERROR(__xludf.DUMMYFUNCTION("""COMPUTED_VALUE"""),"")</f>
        <v/>
      </c>
      <c r="AA100" s="6" t="b">
        <f>IFERROR(__xludf.DUMMYFUNCTION("""COMPUTED_VALUE"""),TRUE)</f>
        <v>1</v>
      </c>
      <c r="AB100" s="6" t="b">
        <f>IFERROR(__xludf.DUMMYFUNCTION("""COMPUTED_VALUE"""),FALSE)</f>
        <v>0</v>
      </c>
      <c r="AC100" s="6" t="b">
        <f>IFERROR(__xludf.DUMMYFUNCTION("""COMPUTED_VALUE"""),FALSE)</f>
        <v>0</v>
      </c>
      <c r="AD100" s="6" t="b">
        <f>IFERROR(__xludf.DUMMYFUNCTION("""COMPUTED_VALUE"""),FALSE)</f>
        <v>0</v>
      </c>
      <c r="AE100" s="6"/>
      <c r="AF100" s="6" t="b">
        <f>IFERROR(__xludf.DUMMYFUNCTION("""COMPUTED_VALUE"""),FALSE)</f>
        <v>0</v>
      </c>
      <c r="AG100" s="6" t="str">
        <f>IFERROR(__xludf.DUMMYFUNCTION("""COMPUTED_VALUE"""),"2026-09-10T14:06:13+00:00")</f>
        <v>2026-09-10T14:06:13+00:00</v>
      </c>
      <c r="AH100" s="6" t="str">
        <f>IFERROR(__xludf.DUMMYFUNCTION("""COMPUTED_VALUE"""),"")</f>
        <v/>
      </c>
      <c r="AI100" s="6" t="str">
        <f>IFERROR(__xludf.DUMMYFUNCTION("""COMPUTED_VALUE"""),"#N/A")</f>
        <v>#N/A</v>
      </c>
      <c r="AJ100" s="9" t="s">
        <v>224</v>
      </c>
      <c r="AK100" s="9" t="s">
        <v>242</v>
      </c>
      <c r="AL100" s="4" t="s">
        <v>243</v>
      </c>
      <c r="AM100" s="9" t="s">
        <v>228</v>
      </c>
      <c r="AN100" s="4" t="str">
        <f>IFERROR(__xludf.DUMMYFUNCTION("IF(OR(AJ100=""general_brand"",AJ100=""external"",AJ100=""unknown""),"""",IF(AJ100=""product_line"",IF(AK100=""START"",""Аналитика старт | Алгоритмы старт | Backend старт | ML старт"",IF(AK100=""PRO"",""AI-агенты про | Алгоритмы про | Аналитика про | ML пр"&amp;"о | Backend про"",IF(AK100=""START | PRO"",""Аналитика старт | Алгоритмы старт | Backend старт | ML старт | AI-агенты про | Алгоритмы про | Аналитика про | ML про | Backend про"",""""))),TEXTJOIN("" | "",TRUE,IF(REGEXMATCH(LOWER(AL100&amp;"" | ""&amp;E100),""анал"&amp;"итика старт""),""Аналитика старт"",""""),IF(REGEXMATCH(LOWER(AL100&amp;"" | ""&amp;E100),""алгоритмы старт""),""Алгоритмы старт"",""""),IF(REGEXMATCH(LOWER(AL100&amp;"" | ""&amp;E100),""backend старт""),""Backend старт"",""""),IF(REGEXMATCH(LOWER(AL100&amp;"" | ""&amp;E100),""ml"&amp;" старт""),""ML старт"",""""),IF(REGEXMATCH(LOWER(AL100&amp;"" | ""&amp;E100),""ai[ -]?агент""),""AI-агенты про"",""""),IF(REGEXMATCH(LOWER(AL100&amp;"" | ""&amp;E100),""алгоритмы про""),""Алгоритмы про"",""""),IF(REGEXMATCH(LOWER(AL100&amp;"" | ""&amp;E100),""аналитика про""),"""&amp;"Аналитика про"",""""),IF(REGEXMATCH(LOWER(AL100&amp;"" | ""&amp;E100),""ml про""),""ML про"",""""),IF(REGEXMATCH(LOWER(AL100&amp;"" | ""&amp;E100),""backend про""),""Backend про"",""""),IF(REGEXMATCH(LOWER(AL100&amp;"" | ""&amp;E100),""(а/в|ав|а в|ab)[ -]?тест""),""А/В-тесты"","&amp;"""""),IF(REGEXMATCH(LOWER(AL100&amp;"" | ""&amp;E100),""data science""),""Data science"",""""),IF(REGEXMATCH(LOWER(AL100&amp;"" | ""&amp;E100),""data[- ]?инжен""),""Data-инженер"",""""),IF(REGEXMATCH(LOWER(AL100&amp;"" | ""&amp;E100),""frontend""),""Frontend"",""""))))"),"Аналитика про")</f>
        <v>Аналитика про</v>
      </c>
    </row>
    <row r="101">
      <c r="A101" s="6" t="str">
        <f>IFERROR(__xludf.DUMMYFUNCTION("""COMPUTED_VALUE"""),"EXT-1")</f>
        <v>EXT-1</v>
      </c>
      <c r="B101" s="6" t="str">
        <f>IFERROR(__xludf.DUMMYFUNCTION("""COMPUTED_VALUE"""),"2026-07-03 17:50:44")</f>
        <v>2026-07-03 17:50:44</v>
      </c>
      <c r="C101" s="6" t="str">
        <f>IFERROR(__xludf.DUMMYFUNCTION("""COMPUTED_VALUE"""),"@zadachi_ds")</f>
        <v>@zadachi_ds</v>
      </c>
      <c r="D101" s="4" t="str">
        <f>IFERROR(__xludf.DUMMYFUNCTION("""COMPUTED_VALUE"""),"Бесплатное событие / лид-магнит")</f>
        <v>Бесплатное событие / лид-магнит</v>
      </c>
      <c r="E101" s="6" t="str">
        <f>IFERROR(__xludf.DUMMYFUNCTION("""COMPUTED_VALUE"""),"")</f>
        <v/>
      </c>
      <c r="F101" s="6" t="str">
        <f>IFERROR(__xludf.DUMMYFUNCTION("""COMPUTED_VALUE"""),"")</f>
        <v/>
      </c>
      <c r="G101" s="10" t="str">
        <f>IFERROR(__xludf.DUMMYFUNCTION("""COMPUTED_VALUE"""),"https://t.me/zadachi_ds/362")</f>
        <v>https://t.me/zadachi_ds/362</v>
      </c>
      <c r="H101" s="6" t="str">
        <f>IFERROR(__xludf.DUMMYFUNCTION("""COMPUTED_VALUE"""),"Что нужно знать, чтобы пройти ML-собеседование в 2026 году
Продолжаем серию открытых вебинаров 😎
В это воскресенье разберём, как сейчас выглядит путь начинающего ML-специалиста: чего ждут от джунов и стажеров, как устроены технические отборы и как стро"&amp;"ить карьеру в 2026 году.
Поговорим о том, почему ML - это не только обучить модель в ноутбуке. На собеседовании будет livecoding, метрики, классические модели, переобучение, умение выбрать решение и объяснить его. 
На вебинаре:
➡️ соберём карту ML-собес"&amp;"едования: из чего складывается подготовка
➡️ разберём главные ошибки новичков
➡️ решим ML-кейсы с реальных собеседований, покажем, какое решение ожидают от вас 
▶️Бонус — обсудим карьерную часть: резюме, пет проекты, отклики на вакансии
Ведущий вебинара"&amp;" —  ML-инженер WB. У вас будет возможность задать вопросы тому, кто сам проводит собеседования и узнать, на что обращают внимание при найме! 
5 июля воскресенье, 12:00 (мск)
Ссылку пришлём позже сюда и в бот @Postupashkianalitycsbot")</f>
        <v>Что нужно знать, чтобы пройти ML-собеседование в 2026 году
Продолжаем серию открытых вебинаров 😎
В это воскресенье разберём, как сейчас выглядит путь начинающего ML-специалиста: чего ждут от джунов и стажеров, как устроены технические отборы и как строить карьеру в 2026 году.
Поговорим о том, почему ML - это не только обучить модель в ноутбуке. На собеседовании будет livecoding, метрики, классические модели, переобучение, умение выбрать решение и объяснить его. 
На вебинаре:
➡️ соберём карту ML-собеседования: из чего складывается подготовка
➡️ разберём главные ошибки новичков
➡️ решим ML-кейсы с реальных собеседований, покажем, какое решение ожидают от вас 
▶️Бонус — обсудим карьерную часть: резюме, пет проекты, отклики на вакансии
Ведущий вебинара —  ML-инженер WB. У вас будет возможность задать вопросы тому, кто сам проводит собеседования и узнать, на что обращают внимание при найме! 
5 июля воскресенье, 12:00 (мск)
Ссылку пришлём позже сюда и в бот @Postupashkianalitycsbot</v>
      </c>
      <c r="I101" s="6" t="str">
        <f>IFERROR(__xludf.DUMMYFUNCTION("""COMPUTED_VALUE"""),"external")</f>
        <v>external</v>
      </c>
      <c r="J101" s="10" t="str">
        <f>IFERROR(__xludf.DUMMYFUNCTION("""COMPUTED_VALUE"""),"https://t.me/zadachi_ds/362")</f>
        <v>https://t.me/zadachi_ds/362</v>
      </c>
      <c r="K101" s="6">
        <f>IFERROR(__xludf.DUMMYFUNCTION("""COMPUTED_VALUE"""),2650.0)</f>
        <v>2650</v>
      </c>
      <c r="L101" s="6">
        <f>IFERROR(__xludf.DUMMYFUNCTION("""COMPUTED_VALUE"""),4.0)</f>
        <v>4</v>
      </c>
      <c r="M101" s="6"/>
      <c r="N101" s="6" t="str">
        <f>IFERROR(__xludf.DUMMYFUNCTION("""COMPUTED_VALUE"""),"Telegram")</f>
        <v>Telegram</v>
      </c>
      <c r="O101" s="6" t="str">
        <f>IFERROR(__xludf.DUMMYFUNCTION("""COMPUTED_VALUE"""),"raw")</f>
        <v>raw</v>
      </c>
      <c r="P101" s="6" t="str">
        <f>IFERROR(__xludf.DUMMYFUNCTION("""COMPUTED_VALUE"""),"Codex")</f>
        <v>Codex</v>
      </c>
      <c r="Q101" s="6" t="str">
        <f>IFERROR(__xludf.DUMMYFUNCTION("""COMPUTED_VALUE"""),"Общий контакт @vice22821; признак связи с проектом")</f>
        <v>Общий контакт @vice22821; признак связи с проектом</v>
      </c>
      <c r="R101" s="6" t="str">
        <f>IFERROR(__xludf.DUMMYFUNCTION("""COMPUTED_VALUE"""),"unknown")</f>
        <v>unknown</v>
      </c>
      <c r="S101" s="6" t="str">
        <f>IFERROR(__xludf.DUMMYFUNCTION("""COMPUTED_VALUE"""),"unknown")</f>
        <v>unknown</v>
      </c>
      <c r="T101" s="6" t="str">
        <f>IFERROR(__xludf.DUMMYFUNCTION("""COMPUTED_VALUE"""),"telegram_external")</f>
        <v>telegram_external</v>
      </c>
      <c r="U101" s="6" t="str">
        <f>IFERROR(__xludf.DUMMYFUNCTION("""COMPUTED_VALUE"""),"Бесплатное событие / лид-магнит")</f>
        <v>Бесплатное событие / лид-магнит</v>
      </c>
      <c r="V101" s="6" t="str">
        <f>IFERROR(__xludf.DUMMYFUNCTION("""COMPUTED_VALUE"""),"")</f>
        <v/>
      </c>
      <c r="W101" s="6" t="str">
        <f>IFERROR(__xludf.DUMMYFUNCTION("""COMPUTED_VALUE"""),"")</f>
        <v/>
      </c>
      <c r="X101" s="6" t="str">
        <f>IFERROR(__xludf.DUMMYFUNCTION("""COMPUTED_VALUE"""),"Forwarded from Поступашки - ШАД, Стажировки и Магистратура")</f>
        <v>Forwarded from Поступашки - ШАД, Стажировки и Магистратура</v>
      </c>
      <c r="Y101" s="10" t="str">
        <f>IFERROR(__xludf.DUMMYFUNCTION("""COMPUTED_VALUE"""),"https://t.me/postypashki_old/1766")</f>
        <v>https://t.me/postypashki_old/1766</v>
      </c>
      <c r="Z101" s="6" t="b">
        <f>IFERROR(__xludf.DUMMYFUNCTION("""COMPUTED_VALUE"""),FALSE)</f>
        <v>0</v>
      </c>
      <c r="AA101" s="6" t="str">
        <f>IFERROR(__xludf.DUMMYFUNCTION("""COMPUTED_VALUE"""),"")</f>
        <v/>
      </c>
      <c r="AB101" s="6" t="str">
        <f>IFERROR(__xludf.DUMMYFUNCTION("""COMPUTED_VALUE"""),"")</f>
        <v/>
      </c>
      <c r="AC101" s="6" t="str">
        <f>IFERROR(__xludf.DUMMYFUNCTION("""COMPUTED_VALUE"""),"")</f>
        <v/>
      </c>
      <c r="AD101" s="6" t="str">
        <f>IFERROR(__xludf.DUMMYFUNCTION("""COMPUTED_VALUE"""),"")</f>
        <v/>
      </c>
      <c r="AE101" s="6" t="str">
        <f>IFERROR(__xludf.DUMMYFUNCTION("""COMPUTED_VALUE"""),"")</f>
        <v/>
      </c>
      <c r="AF101" s="6" t="str">
        <f>IFERROR(__xludf.DUMMYFUNCTION("""COMPUTED_VALUE"""),"Не подтверждено")</f>
        <v>Не подтверждено</v>
      </c>
      <c r="AG101" s="6" t="str">
        <f>IFERROR(__xludf.DUMMYFUNCTION("""COMPUTED_VALUE"""),"")</f>
        <v/>
      </c>
      <c r="AH101" s="6" t="str">
        <f>IFERROR(__xludf.DUMMYFUNCTION("""COMPUTED_VALUE"""),"2026-09-11T11:47:42.981189+00:00")</f>
        <v>2026-09-11T11:47:42.981189+00:00</v>
      </c>
      <c r="AI101" s="6" t="str">
        <f>IFERROR(__xludf.DUMMYFUNCTION("""COMPUTED_VALUE"""),"raw/zadachi_ds/page_002.html")</f>
        <v>raw/zadachi_ds/page_002.html</v>
      </c>
      <c r="AJ101" s="9" t="s">
        <v>208</v>
      </c>
      <c r="AM101" s="9" t="s">
        <v>226</v>
      </c>
      <c r="AN101" s="6" t="str">
        <f>IFERROR(__xludf.DUMMYFUNCTION("IF(OR(AJ101=""general_brand"",AJ101=""external"",AJ101=""unknown""),"""",IF(AJ101=""product_line"",IF(AK101=""START"",""Аналитика старт | Алгоритмы старт | Backend старт | ML старт"",IF(AK101=""PRO"",""AI-агенты про | Алгоритмы про | Аналитика про | ML пр"&amp;"о | Backend про"",IF(AK101=""START | PRO"",""Аналитика старт | Алгоритмы старт | Backend старт | ML старт | AI-агенты про | Алгоритмы про | Аналитика про | ML про | Backend про"",""""))),TEXTJOIN("" | "",TRUE,IF(REGEXMATCH(LOWER(AL101&amp;"" | ""&amp;E101),""анал"&amp;"итика старт""),""Аналитика старт"",""""),IF(REGEXMATCH(LOWER(AL101&amp;"" | ""&amp;E101),""алгоритмы старт""),""Алгоритмы старт"",""""),IF(REGEXMATCH(LOWER(AL101&amp;"" | ""&amp;E101),""backend старт""),""Backend старт"",""""),IF(REGEXMATCH(LOWER(AL101&amp;"" | ""&amp;E101),""ml"&amp;" старт""),""ML старт"",""""),IF(REGEXMATCH(LOWER(AL101&amp;"" | ""&amp;E101),""ai[ -]?агент""),""AI-агенты про"",""""),IF(REGEXMATCH(LOWER(AL101&amp;"" | ""&amp;E101),""алгоритмы про""),""Алгоритмы про"",""""),IF(REGEXMATCH(LOWER(AL101&amp;"" | ""&amp;E101),""аналитика про""),"""&amp;"Аналитика про"",""""),IF(REGEXMATCH(LOWER(AL101&amp;"" | ""&amp;E101),""ml про""),""ML про"",""""),IF(REGEXMATCH(LOWER(AL101&amp;"" | ""&amp;E101),""backend про""),""Backend про"",""""),IF(REGEXMATCH(LOWER(AL101&amp;"" | ""&amp;E101),""(а/в|ав|а в|ab)[ -]?тест""),""А/В-тесты"","&amp;"""""),IF(REGEXMATCH(LOWER(AL101&amp;"" | ""&amp;E101),""data science""),""Data science"",""""),IF(REGEXMATCH(LOWER(AL101&amp;"" | ""&amp;E101),""data[- ]?инжен""),""Data-инженер"",""""),IF(REGEXMATCH(LOWER(AL101&amp;"" | ""&amp;E101),""frontend""),""Frontend"",""""))))"),"")</f>
        <v/>
      </c>
    </row>
    <row r="102">
      <c r="A102" s="6" t="str">
        <f>IFERROR(__xludf.DUMMYFUNCTION("""COMPUTED_VALUE"""),"EXT-2")</f>
        <v>EXT-2</v>
      </c>
      <c r="B102" s="6" t="str">
        <f>IFERROR(__xludf.DUMMYFUNCTION("""COMPUTED_VALUE"""),"2026-07-15 17:20:20")</f>
        <v>2026-07-15 17:20:20</v>
      </c>
      <c r="C102" s="6" t="str">
        <f>IFERROR(__xludf.DUMMYFUNCTION("""COMPUTED_VALUE"""),"@algoses")</f>
        <v>@algoses</v>
      </c>
      <c r="D102" s="4" t="str">
        <f>IFERROR(__xludf.DUMMYFUNCTION("""COMPUTED_VALUE"""),"Бесплатное событие / лид-магнит")</f>
        <v>Бесплатное событие / лид-магнит</v>
      </c>
      <c r="E102" s="6" t="str">
        <f>IFERROR(__xludf.DUMMYFUNCTION("""COMPUTED_VALUE"""),"")</f>
        <v/>
      </c>
      <c r="F102" s="6" t="str">
        <f>IFERROR(__xludf.DUMMYFUNCTION("""COMPUTED_VALUE"""),"")</f>
        <v/>
      </c>
      <c r="G102" s="10" t="str">
        <f>IFERROR(__xludf.DUMMYFUNCTION("""COMPUTED_VALUE"""),"https://t.me/algoses/570")</f>
        <v>https://t.me/algoses/570</v>
      </c>
      <c r="H102" s="6" t="str">
        <f>IFERROR(__xludf.DUMMYFUNCTION("""COMPUTED_VALUE"""),"Хотите учить алгоритмы, но не знаете Python?
Товарищи, алгоритмы сами по себе не самые простые. А если параллельно с решением задачи приходится гуглить, как написать цикл for, подготовка превращается в отдельный вид страдания 😔
Поэтому запускаем беспла"&amp;"тный открытый курс «Python для алгоритмов».
С 14 по 19 июля разберём базу Python, которая нужна именно для решения алгоритмических задач.
Почему Python? Именно его чаще всего выбирают для решения задач на алгоритмических собеседованиях и технических отб"&amp;"орах. У языка простой синтаксис, поэтому на собесе можно сосредоточиться на решении задачи, а не на борьбе с кодом.
За 6 дней разберём условия, циклы, функции, строки и основные структуры данных. Научимся читать код, работать с вводом и выводом и перевод"&amp;"ить уже придуманное решение задачи на Python.
Задача курса — построить фундамент, с которым вы сможете полноценно начать изучать алгоритмы и структуры данных.
Курс подойдёт, если вы:
➡️ никогда раньше не программировали
➡️ когда-то учили Python, но забы"&amp;"ли базовый синтаксис
➡️ планируете проходить отборы на стажировки, в ШАД, Академию аналитиков Авито и другие школы
🏆А самых сильных участников ждёт отдельный бонус. Лучшим подарим полный курс по алгоритмам
📌Ссылка на курс в нашем боте - @Postupashkian"&amp;"alitycsbot 
Первые материалы уже выложены!")</f>
        <v>Хотите учить алгоритмы, но не знаете Python?
Товарищи, алгоритмы сами по себе не самые простые. А если параллельно с решением задачи приходится гуглить, как написать цикл for, подготовка превращается в отдельный вид страдания 😔
Поэтому запускаем бесплатный открытый курс «Python для алгоритмов».
С 14 по 19 июля разберём базу Python, которая нужна именно для решения алгоритмических задач.
Почему Python? Именно его чаще всего выбирают для решения задач на алгоритмических собеседованиях и технических отборах. У языка простой синтаксис, поэтому на собесе можно сосредоточиться на решении задачи, а не на борьбе с кодом.
За 6 дней разберём условия, циклы, функции, строки и основные структуры данных. Научимся читать код, работать с вводом и выводом и переводить уже придуманное решение задачи на Python.
Задача курса — построить фундамент, с которым вы сможете полноценно начать изучать алгоритмы и структуры данных.
Курс подойдёт, если вы:
➡️ никогда раньше не программировали
➡️ когда-то учили Python, но забыли базовый синтаксис
➡️ планируете проходить отборы на стажировки, в ШАД, Академию аналитиков Авито и другие школы
🏆А самых сильных участников ждёт отдельный бонус. Лучшим подарим полный курс по алгоритмам
📌Ссылка на курс в нашем боте - @Postupashkianalitycsbot 
Первые материалы уже выложены!</v>
      </c>
      <c r="I102" s="6" t="str">
        <f>IFERROR(__xludf.DUMMYFUNCTION("""COMPUTED_VALUE"""),"external")</f>
        <v>external</v>
      </c>
      <c r="J102" s="10" t="str">
        <f>IFERROR(__xludf.DUMMYFUNCTION("""COMPUTED_VALUE"""),"https://t.me/algoses/570")</f>
        <v>https://t.me/algoses/570</v>
      </c>
      <c r="K102" s="6">
        <f>IFERROR(__xludf.DUMMYFUNCTION("""COMPUTED_VALUE"""),2590.0)</f>
        <v>2590</v>
      </c>
      <c r="L102" s="6">
        <f>IFERROR(__xludf.DUMMYFUNCTION("""COMPUTED_VALUE"""),2.0)</f>
        <v>2</v>
      </c>
      <c r="M102" s="6"/>
      <c r="N102" s="6" t="str">
        <f>IFERROR(__xludf.DUMMYFUNCTION("""COMPUTED_VALUE"""),"Telegram")</f>
        <v>Telegram</v>
      </c>
      <c r="O102" s="6" t="str">
        <f>IFERROR(__xludf.DUMMYFUNCTION("""COMPUTED_VALUE"""),"raw")</f>
        <v>raw</v>
      </c>
      <c r="P102" s="6" t="str">
        <f>IFERROR(__xludf.DUMMYFUNCTION("""COMPUTED_VALUE"""),"Codex")</f>
        <v>Codex</v>
      </c>
      <c r="Q102" s="6" t="str">
        <f>IFERROR(__xludf.DUMMYFUNCTION("""COMPUTED_VALUE"""),"Общий контакт @vice22821; признак связи с проектом")</f>
        <v>Общий контакт @vice22821; признак связи с проектом</v>
      </c>
      <c r="R102" s="6" t="str">
        <f>IFERROR(__xludf.DUMMYFUNCTION("""COMPUTED_VALUE"""),"unknown")</f>
        <v>unknown</v>
      </c>
      <c r="S102" s="6" t="str">
        <f>IFERROR(__xludf.DUMMYFUNCTION("""COMPUTED_VALUE"""),"unknown")</f>
        <v>unknown</v>
      </c>
      <c r="T102" s="6" t="str">
        <f>IFERROR(__xludf.DUMMYFUNCTION("""COMPUTED_VALUE"""),"telegram_external")</f>
        <v>telegram_external</v>
      </c>
      <c r="U102" s="6" t="str">
        <f>IFERROR(__xludf.DUMMYFUNCTION("""COMPUTED_VALUE"""),"Бесплатное событие / лид-магнит")</f>
        <v>Бесплатное событие / лид-магнит</v>
      </c>
      <c r="V102" s="6" t="str">
        <f>IFERROR(__xludf.DUMMYFUNCTION("""COMPUTED_VALUE"""),"")</f>
        <v/>
      </c>
      <c r="W102" s="6" t="str">
        <f>IFERROR(__xludf.DUMMYFUNCTION("""COMPUTED_VALUE"""),"")</f>
        <v/>
      </c>
      <c r="X102" s="6" t="str">
        <f>IFERROR(__xludf.DUMMYFUNCTION("""COMPUTED_VALUE"""),"Forwarded from Поступашки - ШАД, Стажировки и Магистратура")</f>
        <v>Forwarded from Поступашки - ШАД, Стажировки и Магистратура</v>
      </c>
      <c r="Y102" s="10" t="str">
        <f>IFERROR(__xludf.DUMMYFUNCTION("""COMPUTED_VALUE"""),"https://t.me/postypashki_old/1789")</f>
        <v>https://t.me/postypashki_old/1789</v>
      </c>
      <c r="Z102" s="6" t="b">
        <f>IFERROR(__xludf.DUMMYFUNCTION("""COMPUTED_VALUE"""),FALSE)</f>
        <v>0</v>
      </c>
      <c r="AA102" s="6" t="str">
        <f>IFERROR(__xludf.DUMMYFUNCTION("""COMPUTED_VALUE"""),"")</f>
        <v/>
      </c>
      <c r="AB102" s="6" t="str">
        <f>IFERROR(__xludf.DUMMYFUNCTION("""COMPUTED_VALUE"""),"")</f>
        <v/>
      </c>
      <c r="AC102" s="6" t="str">
        <f>IFERROR(__xludf.DUMMYFUNCTION("""COMPUTED_VALUE"""),"")</f>
        <v/>
      </c>
      <c r="AD102" s="6" t="str">
        <f>IFERROR(__xludf.DUMMYFUNCTION("""COMPUTED_VALUE"""),"")</f>
        <v/>
      </c>
      <c r="AE102" s="6" t="str">
        <f>IFERROR(__xludf.DUMMYFUNCTION("""COMPUTED_VALUE"""),"")</f>
        <v/>
      </c>
      <c r="AF102" s="6" t="str">
        <f>IFERROR(__xludf.DUMMYFUNCTION("""COMPUTED_VALUE"""),"Не подтверждено")</f>
        <v>Не подтверждено</v>
      </c>
      <c r="AG102" s="6" t="str">
        <f>IFERROR(__xludf.DUMMYFUNCTION("""COMPUTED_VALUE"""),"")</f>
        <v/>
      </c>
      <c r="AH102" s="6" t="str">
        <f>IFERROR(__xludf.DUMMYFUNCTION("""COMPUTED_VALUE"""),"2026-09-11T11:47:47.300991+00:00")</f>
        <v>2026-09-11T11:47:47.300991+00:00</v>
      </c>
      <c r="AI102" s="6" t="str">
        <f>IFERROR(__xludf.DUMMYFUNCTION("""COMPUTED_VALUE"""),"raw/algoses/page_002.html")</f>
        <v>raw/algoses/page_002.html</v>
      </c>
      <c r="AJ102" s="9" t="s">
        <v>224</v>
      </c>
      <c r="AL102" s="9" t="s">
        <v>249</v>
      </c>
      <c r="AM102" s="9" t="s">
        <v>235</v>
      </c>
      <c r="AN102" s="4" t="str">
        <f>IFERROR(__xludf.DUMMYFUNCTION("IF(OR(AJ102=""general_brand"",AJ102=""external"",AJ102=""unknown""),"""",IF(AJ102=""product_line"",IF(AK102=""START"",""Аналитика старт | Алгоритмы старт | Backend старт | ML старт"",IF(AK102=""PRO"",""AI-агенты про | Алгоритмы про | Аналитика про | ML пр"&amp;"о | Backend про"",IF(AK102=""START | PRO"",""Аналитика старт | Алгоритмы старт | Backend старт | ML старт | AI-агенты про | Алгоритмы про | Аналитика про | ML про | Backend про"",""""))),TEXTJOIN("" | "",TRUE,IF(REGEXMATCH(LOWER(AL102&amp;"" | ""&amp;E102),""анал"&amp;"итика старт""),""Аналитика старт"",""""),IF(REGEXMATCH(LOWER(AL102&amp;"" | ""&amp;E102),""алгоритмы старт""),""Алгоритмы старт"",""""),IF(REGEXMATCH(LOWER(AL102&amp;"" | ""&amp;E102),""backend старт""),""Backend старт"",""""),IF(REGEXMATCH(LOWER(AL102&amp;"" | ""&amp;E102),""ml"&amp;" старт""),""ML старт"",""""),IF(REGEXMATCH(LOWER(AL102&amp;"" | ""&amp;E102),""ai[ -]?агент""),""AI-агенты про"",""""),IF(REGEXMATCH(LOWER(AL102&amp;"" | ""&amp;E102),""алгоритмы про""),""Алгоритмы про"",""""),IF(REGEXMATCH(LOWER(AL102&amp;"" | ""&amp;E102),""аналитика про""),"""&amp;"Аналитика про"",""""),IF(REGEXMATCH(LOWER(AL102&amp;"" | ""&amp;E102),""ml про""),""ML про"",""""),IF(REGEXMATCH(LOWER(AL102&amp;"" | ""&amp;E102),""backend про""),""Backend про"",""""),IF(REGEXMATCH(LOWER(AL102&amp;"" | ""&amp;E102),""(а/в|ав|а в|ab)[ -]?тест""),""А/В-тесты"","&amp;"""""),IF(REGEXMATCH(LOWER(AL102&amp;"" | ""&amp;E102),""data science""),""Data science"",""""),IF(REGEXMATCH(LOWER(AL102&amp;"" | ""&amp;E102),""data[- ]?инжен""),""Data-инженер"",""""),IF(REGEXMATCH(LOWER(AL102&amp;"" | ""&amp;E102),""frontend""),""Frontend"",""""))))"),"")</f>
        <v/>
      </c>
    </row>
    <row r="103">
      <c r="A103" s="6" t="str">
        <f>IFERROR(__xludf.DUMMYFUNCTION("""COMPUTED_VALUE"""),"EXT-3")</f>
        <v>EXT-3</v>
      </c>
      <c r="B103" s="6" t="str">
        <f>IFERROR(__xludf.DUMMYFUNCTION("""COMPUTED_VALUE"""),"2026-07-16 12:43:45")</f>
        <v>2026-07-16 12:43:45</v>
      </c>
      <c r="C103" s="6" t="str">
        <f>IFERROR(__xludf.DUMMYFUNCTION("""COMPUTED_VALUE"""),"@chad_protocol")</f>
        <v>@chad_protocol</v>
      </c>
      <c r="D103" s="4" t="str">
        <f>IFERROR(__xludf.DUMMYFUNCTION("""COMPUTED_VALUE"""),"Бесплатное событие / лид-магнит")</f>
        <v>Бесплатное событие / лид-магнит</v>
      </c>
      <c r="E103" s="6" t="str">
        <f>IFERROR(__xludf.DUMMYFUNCTION("""COMPUTED_VALUE"""),"")</f>
        <v/>
      </c>
      <c r="F103" s="6" t="str">
        <f>IFERROR(__xludf.DUMMYFUNCTION("""COMPUTED_VALUE"""),"")</f>
        <v/>
      </c>
      <c r="G103" s="10" t="str">
        <f>IFERROR(__xludf.DUMMYFUNCTION("""COMPUTED_VALUE"""),"https://t.me/chad_protocol/482")</f>
        <v>https://t.me/chad_protocol/482</v>
      </c>
      <c r="H103" s="6" t="str">
        <f>IFERROR(__xludf.DUMMYFUNCTION("""COMPUTED_VALUE"""),"Хотите учить алгоритмы, но не знаете Python?
Товарищи, алгоритмы сами по себе не самые простые. А если параллельно с решением задачи приходится гуглить, как написать цикл for, подготовка превращается в отдельный вид страдания 😔
Поэтому запускаем беспла"&amp;"тный открытый курс «Python для алгоритмов».
С 14 по 19 июля разберём базу Python, которая нужна именно для решения алгоритмических задач.
Почему Python? Именно его чаще всего выбирают для решения задач на алгоритмических собеседованиях и технических отб"&amp;"орах. У языка простой синтаксис, поэтому на собесе можно сосредоточиться на решении задачи, а не на борьбе с кодом.
За 6 дней разберём условия, циклы, функции, строки и основные структуры данных. Научимся читать код, работать с вводом и выводом и перевод"&amp;"ить уже придуманное решение задачи на Python.
Задача курса — построить фундамент, с которым вы сможете полноценно начать изучать алгоритмы и структуры данных.
Курс подойдёт, если вы:
➡️ никогда раньше не программировали
➡️ когда-то учили Python, но забы"&amp;"ли базовый синтаксис
➡️ планируете проходить отборы на стажировки, в ШАД, Академию аналитиков Авито и другие школы
🏆А самых сильных участников ждёт отдельный бонус. Лучшим подарим полный курс по алгоритмам
📌Ссылка на курс в нашем боте - @Postupashkian"&amp;"alitycsbot 
Первые материалы уже выложены!")</f>
        <v>Хотите учить алгоритмы, но не знаете Python?
Товарищи, алгоритмы сами по себе не самые простые. А если параллельно с решением задачи приходится гуглить, как написать цикл for, подготовка превращается в отдельный вид страдания 😔
Поэтому запускаем бесплатный открытый курс «Python для алгоритмов».
С 14 по 19 июля разберём базу Python, которая нужна именно для решения алгоритмических задач.
Почему Python? Именно его чаще всего выбирают для решения задач на алгоритмических собеседованиях и технических отборах. У языка простой синтаксис, поэтому на собесе можно сосредоточиться на решении задачи, а не на борьбе с кодом.
За 6 дней разберём условия, циклы, функции, строки и основные структуры данных. Научимся читать код, работать с вводом и выводом и переводить уже придуманное решение задачи на Python.
Задача курса — построить фундамент, с которым вы сможете полноценно начать изучать алгоритмы и структуры данных.
Курс подойдёт, если вы:
➡️ никогда раньше не программировали
➡️ когда-то учили Python, но забыли базовый синтаксис
➡️ планируете проходить отборы на стажировки, в ШАД, Академию аналитиков Авито и другие школы
🏆А самых сильных участников ждёт отдельный бонус. Лучшим подарим полный курс по алгоритмам
📌Ссылка на курс в нашем боте - @Postupashkianalitycsbot 
Первые материалы уже выложены!</v>
      </c>
      <c r="I103" s="6" t="str">
        <f>IFERROR(__xludf.DUMMYFUNCTION("""COMPUTED_VALUE"""),"external")</f>
        <v>external</v>
      </c>
      <c r="J103" s="10" t="str">
        <f>IFERROR(__xludf.DUMMYFUNCTION("""COMPUTED_VALUE"""),"https://t.me/chad_protocol/482")</f>
        <v>https://t.me/chad_protocol/482</v>
      </c>
      <c r="K103" s="6">
        <f>IFERROR(__xludf.DUMMYFUNCTION("""COMPUTED_VALUE"""),3960.0)</f>
        <v>3960</v>
      </c>
      <c r="L103" s="6">
        <f>IFERROR(__xludf.DUMMYFUNCTION("""COMPUTED_VALUE"""),11.0)</f>
        <v>11</v>
      </c>
      <c r="M103" s="6"/>
      <c r="N103" s="6" t="str">
        <f>IFERROR(__xludf.DUMMYFUNCTION("""COMPUTED_VALUE"""),"Telegram")</f>
        <v>Telegram</v>
      </c>
      <c r="O103" s="6" t="str">
        <f>IFERROR(__xludf.DUMMYFUNCTION("""COMPUTED_VALUE"""),"raw")</f>
        <v>raw</v>
      </c>
      <c r="P103" s="6" t="str">
        <f>IFERROR(__xludf.DUMMYFUNCTION("""COMPUTED_VALUE"""),"Codex")</f>
        <v>Codex</v>
      </c>
      <c r="Q103" s="6" t="str">
        <f>IFERROR(__xludf.DUMMYFUNCTION("""COMPUTED_VALUE"""),"Общий контакт @vice22821; признак связи с проектом")</f>
        <v>Общий контакт @vice22821; признак связи с проектом</v>
      </c>
      <c r="R103" s="6" t="str">
        <f>IFERROR(__xludf.DUMMYFUNCTION("""COMPUTED_VALUE"""),"unknown")</f>
        <v>unknown</v>
      </c>
      <c r="S103" s="6" t="str">
        <f>IFERROR(__xludf.DUMMYFUNCTION("""COMPUTED_VALUE"""),"unknown")</f>
        <v>unknown</v>
      </c>
      <c r="T103" s="6" t="str">
        <f>IFERROR(__xludf.DUMMYFUNCTION("""COMPUTED_VALUE"""),"telegram_external")</f>
        <v>telegram_external</v>
      </c>
      <c r="U103" s="6" t="str">
        <f>IFERROR(__xludf.DUMMYFUNCTION("""COMPUTED_VALUE"""),"Бесплатное событие / лид-магнит")</f>
        <v>Бесплатное событие / лид-магнит</v>
      </c>
      <c r="V103" s="6" t="str">
        <f>IFERROR(__xludf.DUMMYFUNCTION("""COMPUTED_VALUE"""),"")</f>
        <v/>
      </c>
      <c r="W103" s="6" t="str">
        <f>IFERROR(__xludf.DUMMYFUNCTION("""COMPUTED_VALUE"""),"")</f>
        <v/>
      </c>
      <c r="X103" s="6" t="str">
        <f>IFERROR(__xludf.DUMMYFUNCTION("""COMPUTED_VALUE"""),"Forwarded from Поступашки - ШАД, Стажировки и Магистратура")</f>
        <v>Forwarded from Поступашки - ШАД, Стажировки и Магистратура</v>
      </c>
      <c r="Y103" s="10" t="str">
        <f>IFERROR(__xludf.DUMMYFUNCTION("""COMPUTED_VALUE"""),"https://t.me/postypashki_old/1789")</f>
        <v>https://t.me/postypashki_old/1789</v>
      </c>
      <c r="Z103" s="6" t="b">
        <f>IFERROR(__xludf.DUMMYFUNCTION("""COMPUTED_VALUE"""),FALSE)</f>
        <v>0</v>
      </c>
      <c r="AA103" s="6" t="str">
        <f>IFERROR(__xludf.DUMMYFUNCTION("""COMPUTED_VALUE"""),"")</f>
        <v/>
      </c>
      <c r="AB103" s="6" t="str">
        <f>IFERROR(__xludf.DUMMYFUNCTION("""COMPUTED_VALUE"""),"")</f>
        <v/>
      </c>
      <c r="AC103" s="6" t="str">
        <f>IFERROR(__xludf.DUMMYFUNCTION("""COMPUTED_VALUE"""),"")</f>
        <v/>
      </c>
      <c r="AD103" s="6" t="str">
        <f>IFERROR(__xludf.DUMMYFUNCTION("""COMPUTED_VALUE"""),"")</f>
        <v/>
      </c>
      <c r="AE103" s="6" t="str">
        <f>IFERROR(__xludf.DUMMYFUNCTION("""COMPUTED_VALUE"""),"")</f>
        <v/>
      </c>
      <c r="AF103" s="6" t="str">
        <f>IFERROR(__xludf.DUMMYFUNCTION("""COMPUTED_VALUE"""),"Не подтверждено")</f>
        <v>Не подтверждено</v>
      </c>
      <c r="AG103" s="6" t="str">
        <f>IFERROR(__xludf.DUMMYFUNCTION("""COMPUTED_VALUE"""),"")</f>
        <v/>
      </c>
      <c r="AH103" s="6" t="str">
        <f>IFERROR(__xludf.DUMMYFUNCTION("""COMPUTED_VALUE"""),"2026-09-11T11:47:54.575643+00:00")</f>
        <v>2026-09-11T11:47:54.575643+00:00</v>
      </c>
      <c r="AI103" s="6" t="str">
        <f>IFERROR(__xludf.DUMMYFUNCTION("""COMPUTED_VALUE"""),"raw/chad_protocol/page_002.html")</f>
        <v>raw/chad_protocol/page_002.html</v>
      </c>
      <c r="AJ103" s="9" t="s">
        <v>224</v>
      </c>
      <c r="AL103" s="9" t="s">
        <v>249</v>
      </c>
      <c r="AM103" s="9" t="s">
        <v>235</v>
      </c>
      <c r="AN103" s="4" t="str">
        <f>IFERROR(__xludf.DUMMYFUNCTION("IF(OR(AJ103=""general_brand"",AJ103=""external"",AJ103=""unknown""),"""",IF(AJ103=""product_line"",IF(AK103=""START"",""Аналитика старт | Алгоритмы старт | Backend старт | ML старт"",IF(AK103=""PRO"",""AI-агенты про | Алгоритмы про | Аналитика про | ML пр"&amp;"о | Backend про"",IF(AK103=""START | PRO"",""Аналитика старт | Алгоритмы старт | Backend старт | ML старт | AI-агенты про | Алгоритмы про | Аналитика про | ML про | Backend про"",""""))),TEXTJOIN("" | "",TRUE,IF(REGEXMATCH(LOWER(AL103&amp;"" | ""&amp;E103),""анал"&amp;"итика старт""),""Аналитика старт"",""""),IF(REGEXMATCH(LOWER(AL103&amp;"" | ""&amp;E103),""алгоритмы старт""),""Алгоритмы старт"",""""),IF(REGEXMATCH(LOWER(AL103&amp;"" | ""&amp;E103),""backend старт""),""Backend старт"",""""),IF(REGEXMATCH(LOWER(AL103&amp;"" | ""&amp;E103),""ml"&amp;" старт""),""ML старт"",""""),IF(REGEXMATCH(LOWER(AL103&amp;"" | ""&amp;E103),""ai[ -]?агент""),""AI-агенты про"",""""),IF(REGEXMATCH(LOWER(AL103&amp;"" | ""&amp;E103),""алгоритмы про""),""Алгоритмы про"",""""),IF(REGEXMATCH(LOWER(AL103&amp;"" | ""&amp;E103),""аналитика про""),"""&amp;"Аналитика про"",""""),IF(REGEXMATCH(LOWER(AL103&amp;"" | ""&amp;E103),""ml про""),""ML про"",""""),IF(REGEXMATCH(LOWER(AL103&amp;"" | ""&amp;E103),""backend про""),""Backend про"",""""),IF(REGEXMATCH(LOWER(AL103&amp;"" | ""&amp;E103),""(а/в|ав|а в|ab)[ -]?тест""),""А/В-тесты"","&amp;"""""),IF(REGEXMATCH(LOWER(AL103&amp;"" | ""&amp;E103),""data science""),""Data science"",""""),IF(REGEXMATCH(LOWER(AL103&amp;"" | ""&amp;E103),""data[- ]?инжен""),""Data-инженер"",""""),IF(REGEXMATCH(LOWER(AL103&amp;"" | ""&amp;E103),""frontend""),""Frontend"",""""))))"),"")</f>
        <v/>
      </c>
    </row>
    <row r="104">
      <c r="A104" s="6" t="str">
        <f>IFERROR(__xludf.DUMMYFUNCTION("""COMPUTED_VALUE"""),"EXT-4")</f>
        <v>EXT-4</v>
      </c>
      <c r="B104" s="6" t="str">
        <f>IFERROR(__xludf.DUMMYFUNCTION("""COMPUTED_VALUE"""),"2026-07-18 20:05:09")</f>
        <v>2026-07-18 20:05:09</v>
      </c>
      <c r="C104" s="6" t="str">
        <f>IFERROR(__xludf.DUMMYFUNCTION("""COMPUTED_VALUE"""),"@algoses")</f>
        <v>@algoses</v>
      </c>
      <c r="D104" s="4" t="str">
        <f>IFERROR(__xludf.DUMMYFUNCTION("""COMPUTED_VALUE"""),"Запуск / набор")</f>
        <v>Запуск / набор</v>
      </c>
      <c r="E104" s="6" t="str">
        <f>IFERROR(__xludf.DUMMYFUNCTION("""COMPUTED_VALUE"""),"")</f>
        <v/>
      </c>
      <c r="F104" s="6" t="str">
        <f>IFERROR(__xludf.DUMMYFUNCTION("""COMPUTED_VALUE"""),"")</f>
        <v/>
      </c>
      <c r="G104" s="10" t="str">
        <f>IFERROR(__xludf.DUMMYFUNCTION("""COMPUTED_VALUE"""),"https://t.me/algoses/576")</f>
        <v>https://t.me/algoses/576</v>
      </c>
      <c r="H104" s="6" t="str">
        <f>IFERROR(__xludf.DUMMYFUNCTION("""COMPUTED_VALUE"""),"Товарищи, мы обновили линейку СТАРТ и открываем новый набор! 🚀
Мы переработали программы: обновили темы, добавили новые кейсы и вопросы с реальных собеседований, усилили практику и запустили полноценный карьерный блок.
Если раньше упор был только на те"&amp;"хнические навыки, то теперь на курсе вы также научитесь:
— составлять сильное резюме;
— презентовать свой опыт, даже если коммерческой работы не было;
— искать вакансии и понимать, куда лучше откликаться;
— проходить HR-этапы и уверенно чувствовать себя н"&amp;"а всех интервью.
Открываем набор сразу на 4 направления:
- Аналитика
- Алгоритмы
- Backend
- Машинное обучение 
📎Кому подойдет СТАРТ?
Тем, кто:
— готовится к первой работе и хочет получить системную базу;
— уже проходит собеседования, но чувствует про"&amp;"белы;
— хочет попробовать направление на практике, прежде чем идти глубже;
— хочет за лето прокачаться и выйти на рынок уже с готовым портфолио.
Что будет на курсах?
➡️Аналитика
Освоим SQL, продуктовые метрики, дашборды и A/B-тесты. В качестве пет-проек"&amp;"та пройдете полный цикл АВ тестирования — от запроса в БД до презентации результатов. Именно так работает аналитик.
➡️Алгоритмы
Разберем всё, что действительно спрашивают на технических интервью: структуры данных, графы, динамическое программирование, де"&amp;"ревья, теория чисел и многое другое. Закроем фундамент для алгособеседований и контестов.
➡️Backend
Изучим архитектуру приложений, базы данных, Docker, gRPC и современные подходы к разработке. Итоговый пет-проект — полноценный сервис аналитики и прогнози"&amp;"рования цен криптовалют.
➡️Machine Learning
Метрики качества, классические алгоритмы, бустинг, нейронные сети и Transformer. Пет-проект — система кредитного скоринга. Без искусственных задач вроде «обучи свою LLM», только то, с чем реально сталкивается M"&amp;"L-инженер в начале карьеры.
Участникам курса также доступны: 
🔵разбор контеста донабора Т-банк, стажировки в Яндекс, Авито буткемп DS (DS только на мл старт);
🔵mock-собеседования с обратной связью;
🔵закрытый банк вопросов с реальных интервью Яндекса, "&amp;"Т-Банка, Ozon, WB, Авито и других компаний;
🔵банк тестовых заданий и задач из бигтеха;
🔵реферальную рекомендацию в бигтех после успешной защиты пет-проекта.
Курс длится 6 недель. Программа построена так, чтобы успевать осваивать теорию, выполнять домашн"&amp;"ие задания и постепенно делать пет-проект без перегруза. Все это время рядом преподаватель и куратор, которые помогают разобраться со сложными темами и отвечают на вопросы.
🔊Подробную программу и стоимость курсов смотрите на сайте
Дополнительные скидки:"&amp;" 
-500 ₽, если учились уже у нас на других курсах
-500 ₽, если берете с другом
Действует гарантия: прошел курс, выполнил все рекомендации, но не получил оффер — вернем деньги
📌Для вопросов и записи на курс напишите менеджеру")</f>
        <v>Товарищи, мы обновили линейку СТАРТ и открываем новый набор! 🚀
Мы переработали программы: обновили темы, добавили новые кейсы и вопросы с реальных собеседований, усилили практику и запустили полноценный карьерный блок.
Если раньше упор был только на технические навыки, то теперь на курсе вы также научитесь:
— составлять сильное резюме;
— презентовать свой опыт, даже если коммерческой работы не было;
— искать вакансии и понимать, куда лучше откликаться;
— проходить HR-этапы и уверенно чувствовать себя на всех интервью.
Открываем набор сразу на 4 направления:
- Аналитика
- Алгоритмы
- Backend
- Машинное обучение 
📎Кому подойдет СТАРТ?
Тем, кто:
— готовится к первой работе и хочет получить системную базу;
— уже проходит собеседования, но чувствует пробелы;
— хочет попробовать направление на практике, прежде чем идти глубже;
— хочет за лето прокачаться и выйти на рынок уже с готовым портфолио.
Что будет на курсах?
➡️Аналитика
Освоим SQL, продуктовые метрики, дашборды и A/B-тесты. В качестве пет-проекта пройдете полный цикл АВ тестирования — от запроса в БД до презентации результатов. Именно так работает аналитик.
➡️Алгоритмы
Разберем всё, что действительно спрашивают на технических интервью: структуры данных, графы, динамическое программирование, деревья, теория чисел и многое другое. Закроем фундамент для алгособеседований и контестов.
➡️Backend
Изучим архитектуру приложений, базы данных, Docker, gRPC и современные подходы к разработке. Итоговый пет-проект — полноценный сервис аналитики и прогнозирования цен криптовалют.
➡️Machine Learning
Метрики качества, классические алгоритмы, бустинг, нейронные сети и Transformer. Пет-проект — система кредитного скоринга. Без искусственных задач вроде «обучи свою LLM», только то, с чем реально сталкивается ML-инженер в начале карьеры.
Участникам курса также доступны: 
🔵разбор контеста донабора Т-банк, стажировки в Яндекс, Авито буткемп DS (DS только на мл старт);
🔵mock-собеседования с обратной связью;
🔵закрытый банк вопросов с реальных интервью Яндекса, Т-Банка, Ozon, WB, Авито и других компаний;
🔵банк тестовых заданий и задач из бигтеха;
🔵реферальную рекомендацию в бигтех после успешной защиты пет-проекта.
Курс длится 6 недель. Программа построена так, чтобы успевать осваивать теорию, выполнять домашние задания и постепенно делать пет-проект без перегруза. Все это время рядом преподаватель и куратор, которые помогают разобраться со сложными темами и отвечают на вопросы.
🔊Подробную программу и стоимость курсов смотрите на сайте
Дополнительные скидки: 
-500 ₽, если учились уже у нас на других курсах
-500 ₽, если берете с другом
Действует гарантия: прошел курс, выполнил все рекомендации, но не получил оффер — вернем деньги
📌Для вопросов и записи на курс напишите менеджеру</v>
      </c>
      <c r="I104" s="6" t="str">
        <f>IFERROR(__xludf.DUMMYFUNCTION("""COMPUTED_VALUE"""),"external")</f>
        <v>external</v>
      </c>
      <c r="J104" s="10" t="str">
        <f>IFERROR(__xludf.DUMMYFUNCTION("""COMPUTED_VALUE"""),"https://t.me/algoses/576")</f>
        <v>https://t.me/algoses/576</v>
      </c>
      <c r="K104" s="6">
        <f>IFERROR(__xludf.DUMMYFUNCTION("""COMPUTED_VALUE"""),2090.0)</f>
        <v>2090</v>
      </c>
      <c r="L104" s="6">
        <f>IFERROR(__xludf.DUMMYFUNCTION("""COMPUTED_VALUE"""),1.0)</f>
        <v>1</v>
      </c>
      <c r="M104" s="6"/>
      <c r="N104" s="6" t="str">
        <f>IFERROR(__xludf.DUMMYFUNCTION("""COMPUTED_VALUE"""),"Telegram")</f>
        <v>Telegram</v>
      </c>
      <c r="O104" s="6" t="str">
        <f>IFERROR(__xludf.DUMMYFUNCTION("""COMPUTED_VALUE"""),"raw")</f>
        <v>raw</v>
      </c>
      <c r="P104" s="6" t="str">
        <f>IFERROR(__xludf.DUMMYFUNCTION("""COMPUTED_VALUE"""),"Codex")</f>
        <v>Codex</v>
      </c>
      <c r="Q104" s="6" t="str">
        <f>IFERROR(__xludf.DUMMYFUNCTION("""COMPUTED_VALUE"""),"Общий контакт @vice22821; признак связи с проектом")</f>
        <v>Общий контакт @vice22821; признак связи с проектом</v>
      </c>
      <c r="R104" s="6" t="str">
        <f>IFERROR(__xludf.DUMMYFUNCTION("""COMPUTED_VALUE"""),"unknown")</f>
        <v>unknown</v>
      </c>
      <c r="S104" s="6" t="str">
        <f>IFERROR(__xludf.DUMMYFUNCTION("""COMPUTED_VALUE"""),"unknown")</f>
        <v>unknown</v>
      </c>
      <c r="T104" s="6" t="str">
        <f>IFERROR(__xludf.DUMMYFUNCTION("""COMPUTED_VALUE"""),"telegram_external")</f>
        <v>telegram_external</v>
      </c>
      <c r="U104" s="6" t="str">
        <f>IFERROR(__xludf.DUMMYFUNCTION("""COMPUTED_VALUE"""),"Запуск / набор")</f>
        <v>Запуск / набор</v>
      </c>
      <c r="V104" s="6" t="str">
        <f>IFERROR(__xludf.DUMMYFUNCTION("""COMPUTED_VALUE"""),"")</f>
        <v/>
      </c>
      <c r="W104" s="6" t="str">
        <f>IFERROR(__xludf.DUMMYFUNCTION("""COMPUTED_VALUE"""),"")</f>
        <v/>
      </c>
      <c r="X104" s="6" t="str">
        <f>IFERROR(__xludf.DUMMYFUNCTION("""COMPUTED_VALUE"""),"Forwarded from Поступашки - ШАД, Стажировки и Магистратура")</f>
        <v>Forwarded from Поступашки - ШАД, Стажировки и Магистратура</v>
      </c>
      <c r="Y104" s="6" t="str">
        <f>IFERROR(__xludf.DUMMYFUNCTION("""COMPUTED_VALUE"""),"https://t.me/postypashki_old/1757
https://old.postypashki.ru/%D0%BA%D0%B0%D1%80%D1%8C%D0%B5%D1%80%D0%BD%D1%8B%D0%B5-%D0%BA%D1%83%D1%80%D1%81%D1%8B/%D0%B0%D0%BD%D0%B0%D0%BB%D0%B8%D1%82%D0%B8%D0%BA%D0%B0-%D1%81%D1%82%D0%B0%D1%80%D1%82/
https://old.postypash"&amp;"ki.ru/%D0%BA%D0%B0%D1%80%D1%8C%D0%B5%D1%80%D0%BD%D1%8B%D0%B5-%D0%BA%D1%83%D1%80%D1%81%D1%8B/%D0%B0%D0%BB%D0%B3%D0%BE%D1%80%D0%B8%D1%82%D0%BC%D1%8B-%D1%81%D1%82%D0%B0%D1%80%D1%82/
https://old.postypashki.ru/%D0%BA%D0%B0%D1%80%D1%8C%D0%B5%D1%80%D0%BD%D1%8B%"&amp;"D0%B5-%D0%BA%D1%83%D1%80%D1%81%D1%8B/backend-%D1%81%D1%82%D0%B0%D1%80%D1%82/
https://old.postypashki.ru/%D0%BA%D0%B0%D1%80%D1%8C%D0%B5%D1%80%D0%BD%D1%8B%D0%B5-%D0%BA%D1%83%D1%80%D1%81%D1%8B/ml-%D1%81%D1%82%D0%B0%D1%80%D1%82/
https://old.postypashki.ru/%D0"&amp;"%BA%D0%B0%D1%80%D1%8C%D0%B5%D1%80%D0%BD%D1%8B%D0%B5-%D0%BA%D1%83%D1%80%D1%81%D1%8B/
https://t.me/m/p94YcePXNjcy")</f>
        <v>https://t.me/postypashki_old/1757
https://old.postypashki.ru/%D0%BA%D0%B0%D1%80%D1%8C%D0%B5%D1%80%D0%BD%D1%8B%D0%B5-%D0%BA%D1%83%D1%80%D1%81%D1%8B/%D0%B0%D0%BD%D0%B0%D0%BB%D0%B8%D1%82%D0%B8%D0%BA%D0%B0-%D1%81%D1%82%D0%B0%D1%80%D1%82/
https://old.postypashki.ru/%D0%BA%D0%B0%D1%80%D1%8C%D0%B5%D1%80%D0%BD%D1%8B%D0%B5-%D0%BA%D1%83%D1%80%D1%81%D1%8B/%D0%B0%D0%BB%D0%B3%D0%BE%D1%80%D0%B8%D1%82%D0%BC%D1%8B-%D1%81%D1%82%D0%B0%D1%80%D1%82/
https://old.postypashki.ru/%D0%BA%D0%B0%D1%80%D1%8C%D0%B5%D1%80%D0%BD%D1%8B%D0%B5-%D0%BA%D1%83%D1%80%D1%81%D1%8B/backend-%D1%81%D1%82%D0%B0%D1%80%D1%82/
https://old.postypashki.ru/%D0%BA%D0%B0%D1%80%D1%8C%D0%B5%D1%80%D0%BD%D1%8B%D0%B5-%D0%BA%D1%83%D1%80%D1%81%D1%8B/ml-%D1%81%D1%82%D0%B0%D1%80%D1%82/
https://old.postypashki.ru/%D0%BA%D0%B0%D1%80%D1%8C%D0%B5%D1%80%D0%BD%D1%8B%D0%B5-%D0%BA%D1%83%D1%80%D1%81%D1%8B/
https://t.me/m/p94YcePXNjcy</v>
      </c>
      <c r="Z104" s="6" t="b">
        <f>IFERROR(__xludf.DUMMYFUNCTION("""COMPUTED_VALUE"""),TRUE)</f>
        <v>1</v>
      </c>
      <c r="AA104" s="6" t="str">
        <f>IFERROR(__xludf.DUMMYFUNCTION("""COMPUTED_VALUE"""),"")</f>
        <v/>
      </c>
      <c r="AB104" s="6" t="str">
        <f>IFERROR(__xludf.DUMMYFUNCTION("""COMPUTED_VALUE"""),"")</f>
        <v/>
      </c>
      <c r="AC104" s="6" t="str">
        <f>IFERROR(__xludf.DUMMYFUNCTION("""COMPUTED_VALUE"""),"")</f>
        <v/>
      </c>
      <c r="AD104" s="6" t="str">
        <f>IFERROR(__xludf.DUMMYFUNCTION("""COMPUTED_VALUE"""),"")</f>
        <v/>
      </c>
      <c r="AE104" s="6" t="str">
        <f>IFERROR(__xludf.DUMMYFUNCTION("""COMPUTED_VALUE"""),"")</f>
        <v/>
      </c>
      <c r="AF104" s="6" t="str">
        <f>IFERROR(__xludf.DUMMYFUNCTION("""COMPUTED_VALUE"""),"Не подтверждено")</f>
        <v>Не подтверждено</v>
      </c>
      <c r="AG104" s="6" t="str">
        <f>IFERROR(__xludf.DUMMYFUNCTION("""COMPUTED_VALUE"""),"")</f>
        <v/>
      </c>
      <c r="AH104" s="6" t="str">
        <f>IFERROR(__xludf.DUMMYFUNCTION("""COMPUTED_VALUE"""),"2026-09-11T11:47:47.300991+00:00")</f>
        <v>2026-09-11T11:47:47.300991+00:00</v>
      </c>
      <c r="AI104" s="6" t="str">
        <f>IFERROR(__xludf.DUMMYFUNCTION("""COMPUTED_VALUE"""),"raw/algoses/page_002.html")</f>
        <v>raw/algoses/page_002.html</v>
      </c>
      <c r="AJ104" s="9" t="s">
        <v>223</v>
      </c>
      <c r="AK104" s="9" t="s">
        <v>213</v>
      </c>
      <c r="AL104" s="9" t="s">
        <v>250</v>
      </c>
      <c r="AM104" s="9" t="s">
        <v>237</v>
      </c>
      <c r="AN104" s="4" t="str">
        <f>IFERROR(__xludf.DUMMYFUNCTION("IF(OR(AJ104=""general_brand"",AJ104=""external"",AJ104=""unknown""),"""",IF(AJ104=""product_line"",IF(AK104=""START"",""Аналитика старт | Алгоритмы старт | Backend старт | ML старт"",IF(AK104=""PRO"",""AI-агенты про | Алгоритмы про | Аналитика про | ML пр"&amp;"о | Backend про"",IF(AK104=""START | PRO"",""Аналитика старт | Алгоритмы старт | Backend старт | ML старт | AI-агенты про | Алгоритмы про | Аналитика про | ML про | Backend про"",""""))),TEXTJOIN("" | "",TRUE,IF(REGEXMATCH(LOWER(AL104&amp;"" | ""&amp;E104),""анал"&amp;"итика старт""),""Аналитика старт"",""""),IF(REGEXMATCH(LOWER(AL104&amp;"" | ""&amp;E104),""алгоритмы старт""),""Алгоритмы старт"",""""),IF(REGEXMATCH(LOWER(AL104&amp;"" | ""&amp;E104),""backend старт""),""Backend старт"",""""),IF(REGEXMATCH(LOWER(AL104&amp;"" | ""&amp;E104),""ml"&amp;" старт""),""ML старт"",""""),IF(REGEXMATCH(LOWER(AL104&amp;"" | ""&amp;E104),""ai[ -]?агент""),""AI-агенты про"",""""),IF(REGEXMATCH(LOWER(AL104&amp;"" | ""&amp;E104),""алгоритмы про""),""Алгоритмы про"",""""),IF(REGEXMATCH(LOWER(AL104&amp;"" | ""&amp;E104),""аналитика про""),"""&amp;"Аналитика про"",""""),IF(REGEXMATCH(LOWER(AL104&amp;"" | ""&amp;E104),""ml про""),""ML про"",""""),IF(REGEXMATCH(LOWER(AL104&amp;"" | ""&amp;E104),""backend про""),""Backend про"",""""),IF(REGEXMATCH(LOWER(AL104&amp;"" | ""&amp;E104),""(а/в|ав|а в|ab)[ -]?тест""),""А/В-тесты"","&amp;"""""),IF(REGEXMATCH(LOWER(AL104&amp;"" | ""&amp;E104),""data science""),""Data science"",""""),IF(REGEXMATCH(LOWER(AL104&amp;"" | ""&amp;E104),""data[- ]?инжен""),""Data-инженер"",""""),IF(REGEXMATCH(LOWER(AL104&amp;"" | ""&amp;E104),""frontend""),""Frontend"",""""))))"),"Аналитика старт | Алгоритмы старт | Backend старт | ML старт")</f>
        <v>Аналитика старт | Алгоритмы старт | Backend старт | ML старт</v>
      </c>
    </row>
    <row r="105">
      <c r="A105" s="6" t="str">
        <f>IFERROR(__xludf.DUMMYFUNCTION("""COMPUTED_VALUE"""),"EXT-5")</f>
        <v>EXT-5</v>
      </c>
      <c r="B105" s="6" t="str">
        <f>IFERROR(__xludf.DUMMYFUNCTION("""COMPUTED_VALUE"""),"2026-07-18 12:35:23")</f>
        <v>2026-07-18 12:35:23</v>
      </c>
      <c r="C105" s="6" t="str">
        <f>IFERROR(__xludf.DUMMYFUNCTION("""COMPUTED_VALUE"""),"@chad_protocol")</f>
        <v>@chad_protocol</v>
      </c>
      <c r="D105" s="4" t="str">
        <f>IFERROR(__xludf.DUMMYFUNCTION("""COMPUTED_VALUE"""),"Прочий контент")</f>
        <v>Прочий контент</v>
      </c>
      <c r="E105" s="6" t="str">
        <f>IFERROR(__xludf.DUMMYFUNCTION("""COMPUTED_VALUE"""),"")</f>
        <v/>
      </c>
      <c r="F105" s="6" t="str">
        <f>IFERROR(__xludf.DUMMYFUNCTION("""COMPUTED_VALUE"""),"")</f>
        <v/>
      </c>
      <c r="G105" s="10" t="str">
        <f>IFERROR(__xludf.DUMMYFUNCTION("""COMPUTED_VALUE"""),"https://t.me/chad_protocol/488")</f>
        <v>https://t.me/chad_protocol/488</v>
      </c>
      <c r="H105" s="6" t="str">
        <f>IFERROR(__xludf.DUMMYFUNCTION("""COMPUTED_VALUE"""),"Сокращения продолжаются, поэтому в новом ролике обсудим как развести лакеев капитала на пять окладов! Смотрим! Смотрим! youtube.com/watch?v=K7IWP0BM-_M")</f>
        <v>Сокращения продолжаются, поэтому в новом ролике обсудим как развести лакеев капитала на пять окладов! Смотрим! Смотрим! youtube.com/watch?v=K7IWP0BM-_M</v>
      </c>
      <c r="I105" s="6" t="str">
        <f>IFERROR(__xludf.DUMMYFUNCTION("""COMPUTED_VALUE"""),"external")</f>
        <v>external</v>
      </c>
      <c r="J105" s="10" t="str">
        <f>IFERROR(__xludf.DUMMYFUNCTION("""COMPUTED_VALUE"""),"https://t.me/chad_protocol/488")</f>
        <v>https://t.me/chad_protocol/488</v>
      </c>
      <c r="K105" s="6">
        <f>IFERROR(__xludf.DUMMYFUNCTION("""COMPUTED_VALUE"""),4270.0)</f>
        <v>4270</v>
      </c>
      <c r="L105" s="6">
        <f>IFERROR(__xludf.DUMMYFUNCTION("""COMPUTED_VALUE"""),3.0)</f>
        <v>3</v>
      </c>
      <c r="M105" s="6"/>
      <c r="N105" s="6" t="str">
        <f>IFERROR(__xludf.DUMMYFUNCTION("""COMPUTED_VALUE"""),"Telegram")</f>
        <v>Telegram</v>
      </c>
      <c r="O105" s="6" t="str">
        <f>IFERROR(__xludf.DUMMYFUNCTION("""COMPUTED_VALUE"""),"raw")</f>
        <v>raw</v>
      </c>
      <c r="P105" s="6" t="str">
        <f>IFERROR(__xludf.DUMMYFUNCTION("""COMPUTED_VALUE"""),"Codex")</f>
        <v>Codex</v>
      </c>
      <c r="Q105" s="6" t="str">
        <f>IFERROR(__xludf.DUMMYFUNCTION("""COMPUTED_VALUE"""),"Общий контакт @vice22821; признак связи с проектом")</f>
        <v>Общий контакт @vice22821; признак связи с проектом</v>
      </c>
      <c r="R105" s="6" t="str">
        <f>IFERROR(__xludf.DUMMYFUNCTION("""COMPUTED_VALUE"""),"unknown")</f>
        <v>unknown</v>
      </c>
      <c r="S105" s="6" t="str">
        <f>IFERROR(__xludf.DUMMYFUNCTION("""COMPUTED_VALUE"""),"unknown")</f>
        <v>unknown</v>
      </c>
      <c r="T105" s="6" t="str">
        <f>IFERROR(__xludf.DUMMYFUNCTION("""COMPUTED_VALUE"""),"telegram_external")</f>
        <v>telegram_external</v>
      </c>
      <c r="U105" s="6" t="str">
        <f>IFERROR(__xludf.DUMMYFUNCTION("""COMPUTED_VALUE"""),"Прочий контент")</f>
        <v>Прочий контент</v>
      </c>
      <c r="V105" s="6" t="str">
        <f>IFERROR(__xludf.DUMMYFUNCTION("""COMPUTED_VALUE"""),"")</f>
        <v/>
      </c>
      <c r="W105" s="6" t="str">
        <f>IFERROR(__xludf.DUMMYFUNCTION("""COMPUTED_VALUE"""),"")</f>
        <v/>
      </c>
      <c r="X105" s="6" t="str">
        <f>IFERROR(__xludf.DUMMYFUNCTION("""COMPUTED_VALUE"""),"Forwarded from Поступашки - ШАД, Стажировки и Магистратура")</f>
        <v>Forwarded from Поступашки - ШАД, Стажировки и Магистратура</v>
      </c>
      <c r="Y105" s="10" t="str">
        <f>IFERROR(__xludf.DUMMYFUNCTION("""COMPUTED_VALUE"""),"https://t.me/postypashki_old/1797")</f>
        <v>https://t.me/postypashki_old/1797</v>
      </c>
      <c r="Z105" s="6" t="b">
        <f>IFERROR(__xludf.DUMMYFUNCTION("""COMPUTED_VALUE"""),FALSE)</f>
        <v>0</v>
      </c>
      <c r="AA105" s="6" t="str">
        <f>IFERROR(__xludf.DUMMYFUNCTION("""COMPUTED_VALUE"""),"")</f>
        <v/>
      </c>
      <c r="AB105" s="6" t="str">
        <f>IFERROR(__xludf.DUMMYFUNCTION("""COMPUTED_VALUE"""),"")</f>
        <v/>
      </c>
      <c r="AC105" s="6" t="str">
        <f>IFERROR(__xludf.DUMMYFUNCTION("""COMPUTED_VALUE"""),"")</f>
        <v/>
      </c>
      <c r="AD105" s="6" t="str">
        <f>IFERROR(__xludf.DUMMYFUNCTION("""COMPUTED_VALUE"""),"")</f>
        <v/>
      </c>
      <c r="AE105" s="6" t="str">
        <f>IFERROR(__xludf.DUMMYFUNCTION("""COMPUTED_VALUE"""),"")</f>
        <v/>
      </c>
      <c r="AF105" s="6" t="str">
        <f>IFERROR(__xludf.DUMMYFUNCTION("""COMPUTED_VALUE"""),"Не подтверждено")</f>
        <v>Не подтверждено</v>
      </c>
      <c r="AG105" s="6" t="str">
        <f>IFERROR(__xludf.DUMMYFUNCTION("""COMPUTED_VALUE"""),"")</f>
        <v/>
      </c>
      <c r="AH105" s="6" t="str">
        <f>IFERROR(__xludf.DUMMYFUNCTION("""COMPUTED_VALUE"""),"2026-09-11T11:47:54.575643+00:00")</f>
        <v>2026-09-11T11:47:54.575643+00:00</v>
      </c>
      <c r="AI105" s="6" t="str">
        <f>IFERROR(__xludf.DUMMYFUNCTION("""COMPUTED_VALUE"""),"raw/chad_protocol/page_002.html")</f>
        <v>raw/chad_protocol/page_002.html</v>
      </c>
      <c r="AJ105" s="9" t="s">
        <v>208</v>
      </c>
      <c r="AM105" s="9" t="s">
        <v>219</v>
      </c>
      <c r="AN105" s="6" t="str">
        <f>IFERROR(__xludf.DUMMYFUNCTION("IF(OR(AJ105=""general_brand"",AJ105=""external"",AJ105=""unknown""),"""",IF(AJ105=""product_line"",IF(AK105=""START"",""Аналитика старт | Алгоритмы старт | Backend старт | ML старт"",IF(AK105=""PRO"",""AI-агенты про | Алгоритмы про | Аналитика про | ML пр"&amp;"о | Backend про"",IF(AK105=""START | PRO"",""Аналитика старт | Алгоритмы старт | Backend старт | ML старт | AI-агенты про | Алгоритмы про | Аналитика про | ML про | Backend про"",""""))),TEXTJOIN("" | "",TRUE,IF(REGEXMATCH(LOWER(AL105&amp;"" | ""&amp;E105),""анал"&amp;"итика старт""),""Аналитика старт"",""""),IF(REGEXMATCH(LOWER(AL105&amp;"" | ""&amp;E105),""алгоритмы старт""),""Алгоритмы старт"",""""),IF(REGEXMATCH(LOWER(AL105&amp;"" | ""&amp;E105),""backend старт""),""Backend старт"",""""),IF(REGEXMATCH(LOWER(AL105&amp;"" | ""&amp;E105),""ml"&amp;" старт""),""ML старт"",""""),IF(REGEXMATCH(LOWER(AL105&amp;"" | ""&amp;E105),""ai[ -]?агент""),""AI-агенты про"",""""),IF(REGEXMATCH(LOWER(AL105&amp;"" | ""&amp;E105),""алгоритмы про""),""Алгоритмы про"",""""),IF(REGEXMATCH(LOWER(AL105&amp;"" | ""&amp;E105),""аналитика про""),"""&amp;"Аналитика про"",""""),IF(REGEXMATCH(LOWER(AL105&amp;"" | ""&amp;E105),""ml про""),""ML про"",""""),IF(REGEXMATCH(LOWER(AL105&amp;"" | ""&amp;E105),""backend про""),""Backend про"",""""),IF(REGEXMATCH(LOWER(AL105&amp;"" | ""&amp;E105),""(а/в|ав|а в|ab)[ -]?тест""),""А/В-тесты"","&amp;"""""),IF(REGEXMATCH(LOWER(AL105&amp;"" | ""&amp;E105),""data science""),""Data science"",""""),IF(REGEXMATCH(LOWER(AL105&amp;"" | ""&amp;E105),""data[- ]?инжен""),""Data-инженер"",""""),IF(REGEXMATCH(LOWER(AL105&amp;"" | ""&amp;E105),""frontend""),""Frontend"",""""))))"),"")</f>
        <v/>
      </c>
    </row>
    <row r="106">
      <c r="A106" s="6" t="str">
        <f>IFERROR(__xludf.DUMMYFUNCTION("""COMPUTED_VALUE"""),"EXT-6")</f>
        <v>EXT-6</v>
      </c>
      <c r="B106" s="6" t="str">
        <f>IFERROR(__xludf.DUMMYFUNCTION("""COMPUTED_VALUE"""),"2026-07-18 19:04:51")</f>
        <v>2026-07-18 19:04:51</v>
      </c>
      <c r="C106" s="6" t="str">
        <f>IFERROR(__xludf.DUMMYFUNCTION("""COMPUTED_VALUE"""),"@codeof_art")</f>
        <v>@codeof_art</v>
      </c>
      <c r="D106" s="4" t="str">
        <f>IFERROR(__xludf.DUMMYFUNCTION("""COMPUTED_VALUE"""),"Запуск / набор")</f>
        <v>Запуск / набор</v>
      </c>
      <c r="E106" s="6" t="str">
        <f>IFERROR(__xludf.DUMMYFUNCTION("""COMPUTED_VALUE"""),"")</f>
        <v/>
      </c>
      <c r="F106" s="6" t="str">
        <f>IFERROR(__xludf.DUMMYFUNCTION("""COMPUTED_VALUE"""),"")</f>
        <v/>
      </c>
      <c r="G106" s="10" t="str">
        <f>IFERROR(__xludf.DUMMYFUNCTION("""COMPUTED_VALUE"""),"https://t.me/codeof_art/297")</f>
        <v>https://t.me/codeof_art/297</v>
      </c>
      <c r="H106" s="6" t="str">
        <f>IFERROR(__xludf.DUMMYFUNCTION("""COMPUTED_VALUE"""),"Товарищи, мы обновили линейку СТАРТ и открываем новый набор! 🚀
Мы переработали программы: обновили темы, добавили новые кейсы и вопросы с реальных собеседований, усилили практику и запустили полноценный карьерный блок.
Если раньше упор был только на те"&amp;"хнические навыки, то теперь на курсе вы также научитесь:
— составлять сильное резюме;
— презентовать свой опыт, даже если коммерческой работы не было;
— искать вакансии и понимать, куда лучше откликаться;
— проходить HR-этапы и уверенно чувствовать себя н"&amp;"а всех интервью.
Открываем набор сразу на 4 направления:
- Аналитика
- Алгоритмы
- Backend
- Машинное обучение 
📎Кому подойдет СТАРТ?
Тем, кто:
— готовится к первой работе и хочет получить системную базу;
— уже проходит собеседования, но чувствует про"&amp;"белы;
— хочет попробовать направление на практике, прежде чем идти глубже;
— хочет за лето прокачаться и выйти на рынок уже с готовым портфолио.
Что будет на курсах?
➡️Аналитика
Освоим SQL, продуктовые метрики, дашборды и A/B-тесты. В качестве пет-проек"&amp;"та пройдете полный цикл АВ тестирования — от запроса в БД до презентации результатов. Именно так работает аналитик.
➡️Алгоритмы
Разберем всё, что действительно спрашивают на технических интервью: структуры данных, графы, динамическое программирование, де"&amp;"ревья, теория чисел и многое другое. Закроем фундамент для алгособеседований и контестов.
➡️Backend
Изучим архитектуру приложений, базы данных, Docker, gRPC и современные подходы к разработке. Итоговый пет-проект — полноценный сервис аналитики и прогнози"&amp;"рования цен криптовалют.
➡️Machine Learning
Метрики качества, классические алгоритмы, бустинг, нейронные сети и Transformer. Пет-проект — система кредитного скоринга. Без искусственных задач вроде «обучи свою LLM», только то, с чем реально сталкивается M"&amp;"L-инженер в начале карьеры.
Участникам курса также доступны: 
🔵разбор контеста донабора Т-банк, стажировки в Яндекс, Авито буткемп DS (DS только на мл старт);
🔵mock-собеседования с обратной связью;
🔵закрытый банк вопросов с реальных интервью Яндекса, "&amp;"Т-Банка, Ozon, WB, Авито и других компаний;
🔵банк тестовых заданий и задач из бигтеха;
🔵реферальную рекомендацию в бигтех после успешной защиты пет-проекта.
Курс длится 6 недель. Программа построена так, чтобы успевать осваивать теорию, выполнять домашн"&amp;"ие задания и постепенно делать пет-проект без перегруза. Все это время рядом преподаватель и куратор, которые помогают разобраться со сложными темами и отвечают на вопросы.
🔊Подробную программу и стоимость курсов смотрите на сайте
Дополнительные скидки:"&amp;" 
-500 ₽, если учились уже у нас на других курсах
-500 ₽, если берете с другом
Действует гарантия: прошел курс, выполнил все рекомендации, но не получил оффер — вернем деньги
📌Для вопросов и записи на курс напишите менеджеру")</f>
        <v>Товарищи, мы обновили линейку СТАРТ и открываем новый набор! 🚀
Мы переработали программы: обновили темы, добавили новые кейсы и вопросы с реальных собеседований, усилили практику и запустили полноценный карьерный блок.
Если раньше упор был только на технические навыки, то теперь на курсе вы также научитесь:
— составлять сильное резюме;
— презентовать свой опыт, даже если коммерческой работы не было;
— искать вакансии и понимать, куда лучше откликаться;
— проходить HR-этапы и уверенно чувствовать себя на всех интервью.
Открываем набор сразу на 4 направления:
- Аналитика
- Алгоритмы
- Backend
- Машинное обучение 
📎Кому подойдет СТАРТ?
Тем, кто:
— готовится к первой работе и хочет получить системную базу;
— уже проходит собеседования, но чувствует пробелы;
— хочет попробовать направление на практике, прежде чем идти глубже;
— хочет за лето прокачаться и выйти на рынок уже с готовым портфолио.
Что будет на курсах?
➡️Аналитика
Освоим SQL, продуктовые метрики, дашборды и A/B-тесты. В качестве пет-проекта пройдете полный цикл АВ тестирования — от запроса в БД до презентации результатов. Именно так работает аналитик.
➡️Алгоритмы
Разберем всё, что действительно спрашивают на технических интервью: структуры данных, графы, динамическое программирование, деревья, теория чисел и многое другое. Закроем фундамент для алгособеседований и контестов.
➡️Backend
Изучим архитектуру приложений, базы данных, Docker, gRPC и современные подходы к разработке. Итоговый пет-проект — полноценный сервис аналитики и прогнозирования цен криптовалют.
➡️Machine Learning
Метрики качества, классические алгоритмы, бустинг, нейронные сети и Transformer. Пет-проект — система кредитного скоринга. Без искусственных задач вроде «обучи свою LLM», только то, с чем реально сталкивается ML-инженер в начале карьеры.
Участникам курса также доступны: 
🔵разбор контеста донабора Т-банк, стажировки в Яндекс, Авито буткемп DS (DS только на мл старт);
🔵mock-собеседования с обратной связью;
🔵закрытый банк вопросов с реальных интервью Яндекса, Т-Банка, Ozon, WB, Авито и других компаний;
🔵банк тестовых заданий и задач из бигтеха;
🔵реферальную рекомендацию в бигтех после успешной защиты пет-проекта.
Курс длится 6 недель. Программа построена так, чтобы успевать осваивать теорию, выполнять домашние задания и постепенно делать пет-проект без перегруза. Все это время рядом преподаватель и куратор, которые помогают разобраться со сложными темами и отвечают на вопросы.
🔊Подробную программу и стоимость курсов смотрите на сайте
Дополнительные скидки: 
-500 ₽, если учились уже у нас на других курсах
-500 ₽, если берете с другом
Действует гарантия: прошел курс, выполнил все рекомендации, но не получил оффер — вернем деньги
📌Для вопросов и записи на курс напишите менеджеру</v>
      </c>
      <c r="I106" s="6" t="str">
        <f>IFERROR(__xludf.DUMMYFUNCTION("""COMPUTED_VALUE"""),"external")</f>
        <v>external</v>
      </c>
      <c r="J106" s="10" t="str">
        <f>IFERROR(__xludf.DUMMYFUNCTION("""COMPUTED_VALUE"""),"https://t.me/codeof_art/297")</f>
        <v>https://t.me/codeof_art/297</v>
      </c>
      <c r="K106" s="6">
        <f>IFERROR(__xludf.DUMMYFUNCTION("""COMPUTED_VALUE"""),796.0)</f>
        <v>796</v>
      </c>
      <c r="L106" s="6">
        <f>IFERROR(__xludf.DUMMYFUNCTION("""COMPUTED_VALUE"""),5.0)</f>
        <v>5</v>
      </c>
      <c r="M106" s="6"/>
      <c r="N106" s="6" t="str">
        <f>IFERROR(__xludf.DUMMYFUNCTION("""COMPUTED_VALUE"""),"Telegram")</f>
        <v>Telegram</v>
      </c>
      <c r="O106" s="6" t="str">
        <f>IFERROR(__xludf.DUMMYFUNCTION("""COMPUTED_VALUE"""),"raw")</f>
        <v>raw</v>
      </c>
      <c r="P106" s="6" t="str">
        <f>IFERROR(__xludf.DUMMYFUNCTION("""COMPUTED_VALUE"""),"Codex")</f>
        <v>Codex</v>
      </c>
      <c r="Q106" s="6" t="str">
        <f>IFERROR(__xludf.DUMMYFUNCTION("""COMPUTED_VALUE"""),"Общий контакт @vice22821; признак связи с проектом")</f>
        <v>Общий контакт @vice22821; признак связи с проектом</v>
      </c>
      <c r="R106" s="6" t="str">
        <f>IFERROR(__xludf.DUMMYFUNCTION("""COMPUTED_VALUE"""),"unknown")</f>
        <v>unknown</v>
      </c>
      <c r="S106" s="6" t="str">
        <f>IFERROR(__xludf.DUMMYFUNCTION("""COMPUTED_VALUE"""),"unknown")</f>
        <v>unknown</v>
      </c>
      <c r="T106" s="6" t="str">
        <f>IFERROR(__xludf.DUMMYFUNCTION("""COMPUTED_VALUE"""),"telegram_external")</f>
        <v>telegram_external</v>
      </c>
      <c r="U106" s="6" t="str">
        <f>IFERROR(__xludf.DUMMYFUNCTION("""COMPUTED_VALUE"""),"Запуск / набор")</f>
        <v>Запуск / набор</v>
      </c>
      <c r="V106" s="6" t="str">
        <f>IFERROR(__xludf.DUMMYFUNCTION("""COMPUTED_VALUE"""),"")</f>
        <v/>
      </c>
      <c r="W106" s="6" t="str">
        <f>IFERROR(__xludf.DUMMYFUNCTION("""COMPUTED_VALUE"""),"")</f>
        <v/>
      </c>
      <c r="X106" s="6" t="str">
        <f>IFERROR(__xludf.DUMMYFUNCTION("""COMPUTED_VALUE"""),"Forwarded from Поступашки - ШАД, Стажировки и Магистратура")</f>
        <v>Forwarded from Поступашки - ШАД, Стажировки и Магистратура</v>
      </c>
      <c r="Y106" s="6" t="str">
        <f>IFERROR(__xludf.DUMMYFUNCTION("""COMPUTED_VALUE"""),"https://t.me/postypashki_old/1757
https://old.postypashki.ru/%D0%BA%D0%B0%D1%80%D1%8C%D0%B5%D1%80%D0%BD%D1%8B%D0%B5-%D0%BA%D1%83%D1%80%D1%81%D1%8B/%D0%B0%D0%BD%D0%B0%D0%BB%D0%B8%D1%82%D0%B8%D0%BA%D0%B0-%D1%81%D1%82%D0%B0%D1%80%D1%82/
https://old.postypash"&amp;"ki.ru/%D0%BA%D0%B0%D1%80%D1%8C%D0%B5%D1%80%D0%BD%D1%8B%D0%B5-%D0%BA%D1%83%D1%80%D1%81%D1%8B/%D0%B0%D0%BB%D0%B3%D0%BE%D1%80%D0%B8%D1%82%D0%BC%D1%8B-%D1%81%D1%82%D0%B0%D1%80%D1%82/
https://old.postypashki.ru/%D0%BA%D0%B0%D1%80%D1%8C%D0%B5%D1%80%D0%BD%D1%8B%"&amp;"D0%B5-%D0%BA%D1%83%D1%80%D1%81%D1%8B/backend-%D1%81%D1%82%D0%B0%D1%80%D1%82/
https://old.postypashki.ru/%D0%BA%D0%B0%D1%80%D1%8C%D0%B5%D1%80%D0%BD%D1%8B%D0%B5-%D0%BA%D1%83%D1%80%D1%81%D1%8B/ml-%D1%81%D1%82%D0%B0%D1%80%D1%82/
https://old.postypashki.ru/%D0"&amp;"%BA%D0%B0%D1%80%D1%8C%D0%B5%D1%80%D0%BD%D1%8B%D0%B5-%D0%BA%D1%83%D1%80%D1%81%D1%8B/
https://t.me/m/p94YcePXNjcy")</f>
        <v>https://t.me/postypashki_old/1757
https://old.postypashki.ru/%D0%BA%D0%B0%D1%80%D1%8C%D0%B5%D1%80%D0%BD%D1%8B%D0%B5-%D0%BA%D1%83%D1%80%D1%81%D1%8B/%D0%B0%D0%BD%D0%B0%D0%BB%D0%B8%D1%82%D0%B8%D0%BA%D0%B0-%D1%81%D1%82%D0%B0%D1%80%D1%82/
https://old.postypashki.ru/%D0%BA%D0%B0%D1%80%D1%8C%D0%B5%D1%80%D0%BD%D1%8B%D0%B5-%D0%BA%D1%83%D1%80%D1%81%D1%8B/%D0%B0%D0%BB%D0%B3%D0%BE%D1%80%D0%B8%D1%82%D0%BC%D1%8B-%D1%81%D1%82%D0%B0%D1%80%D1%82/
https://old.postypashki.ru/%D0%BA%D0%B0%D1%80%D1%8C%D0%B5%D1%80%D0%BD%D1%8B%D0%B5-%D0%BA%D1%83%D1%80%D1%81%D1%8B/backend-%D1%81%D1%82%D0%B0%D1%80%D1%82/
https://old.postypashki.ru/%D0%BA%D0%B0%D1%80%D1%8C%D0%B5%D1%80%D0%BD%D1%8B%D0%B5-%D0%BA%D1%83%D1%80%D1%81%D1%8B/ml-%D1%81%D1%82%D0%B0%D1%80%D1%82/
https://old.postypashki.ru/%D0%BA%D0%B0%D1%80%D1%8C%D0%B5%D1%80%D0%BD%D1%8B%D0%B5-%D0%BA%D1%83%D1%80%D1%81%D1%8B/
https://t.me/m/p94YcePXNjcy</v>
      </c>
      <c r="Z106" s="6" t="b">
        <f>IFERROR(__xludf.DUMMYFUNCTION("""COMPUTED_VALUE"""),TRUE)</f>
        <v>1</v>
      </c>
      <c r="AA106" s="6" t="str">
        <f>IFERROR(__xludf.DUMMYFUNCTION("""COMPUTED_VALUE"""),"")</f>
        <v/>
      </c>
      <c r="AB106" s="6" t="str">
        <f>IFERROR(__xludf.DUMMYFUNCTION("""COMPUTED_VALUE"""),"")</f>
        <v/>
      </c>
      <c r="AC106" s="6" t="str">
        <f>IFERROR(__xludf.DUMMYFUNCTION("""COMPUTED_VALUE"""),"")</f>
        <v/>
      </c>
      <c r="AD106" s="6" t="str">
        <f>IFERROR(__xludf.DUMMYFUNCTION("""COMPUTED_VALUE"""),"")</f>
        <v/>
      </c>
      <c r="AE106" s="6" t="str">
        <f>IFERROR(__xludf.DUMMYFUNCTION("""COMPUTED_VALUE"""),"")</f>
        <v/>
      </c>
      <c r="AF106" s="6" t="str">
        <f>IFERROR(__xludf.DUMMYFUNCTION("""COMPUTED_VALUE"""),"Не подтверждено")</f>
        <v>Не подтверждено</v>
      </c>
      <c r="AG106" s="6" t="str">
        <f>IFERROR(__xludf.DUMMYFUNCTION("""COMPUTED_VALUE"""),"")</f>
        <v/>
      </c>
      <c r="AH106" s="6" t="str">
        <f>IFERROR(__xludf.DUMMYFUNCTION("""COMPUTED_VALUE"""),"2026-09-11T11:47:38.610904+00:00")</f>
        <v>2026-09-11T11:47:38.610904+00:00</v>
      </c>
      <c r="AI106" s="6" t="str">
        <f>IFERROR(__xludf.DUMMYFUNCTION("""COMPUTED_VALUE"""),"raw/codeof_art/page_001.html")</f>
        <v>raw/codeof_art/page_001.html</v>
      </c>
      <c r="AJ106" s="9" t="s">
        <v>223</v>
      </c>
      <c r="AK106" s="9" t="s">
        <v>213</v>
      </c>
      <c r="AL106" s="9" t="s">
        <v>250</v>
      </c>
      <c r="AM106" s="9" t="s">
        <v>237</v>
      </c>
      <c r="AN106" s="4" t="str">
        <f>IFERROR(__xludf.DUMMYFUNCTION("IF(OR(AJ106=""general_brand"",AJ106=""external"",AJ106=""unknown""),"""",IF(AJ106=""product_line"",IF(AK106=""START"",""Аналитика старт | Алгоритмы старт | Backend старт | ML старт"",IF(AK106=""PRO"",""AI-агенты про | Алгоритмы про | Аналитика про | ML пр"&amp;"о | Backend про"",IF(AK106=""START | PRO"",""Аналитика старт | Алгоритмы старт | Backend старт | ML старт | AI-агенты про | Алгоритмы про | Аналитика про | ML про | Backend про"",""""))),TEXTJOIN("" | "",TRUE,IF(REGEXMATCH(LOWER(AL106&amp;"" | ""&amp;E106),""анал"&amp;"итика старт""),""Аналитика старт"",""""),IF(REGEXMATCH(LOWER(AL106&amp;"" | ""&amp;E106),""алгоритмы старт""),""Алгоритмы старт"",""""),IF(REGEXMATCH(LOWER(AL106&amp;"" | ""&amp;E106),""backend старт""),""Backend старт"",""""),IF(REGEXMATCH(LOWER(AL106&amp;"" | ""&amp;E106),""ml"&amp;" старт""),""ML старт"",""""),IF(REGEXMATCH(LOWER(AL106&amp;"" | ""&amp;E106),""ai[ -]?агент""),""AI-агенты про"",""""),IF(REGEXMATCH(LOWER(AL106&amp;"" | ""&amp;E106),""алгоритмы про""),""Алгоритмы про"",""""),IF(REGEXMATCH(LOWER(AL106&amp;"" | ""&amp;E106),""аналитика про""),"""&amp;"Аналитика про"",""""),IF(REGEXMATCH(LOWER(AL106&amp;"" | ""&amp;E106),""ml про""),""ML про"",""""),IF(REGEXMATCH(LOWER(AL106&amp;"" | ""&amp;E106),""backend про""),""Backend про"",""""),IF(REGEXMATCH(LOWER(AL106&amp;"" | ""&amp;E106),""(а/в|ав|а в|ab)[ -]?тест""),""А/В-тесты"","&amp;"""""),IF(REGEXMATCH(LOWER(AL106&amp;"" | ""&amp;E106),""data science""),""Data science"",""""),IF(REGEXMATCH(LOWER(AL106&amp;"" | ""&amp;E106),""data[- ]?инжен""),""Data-инженер"",""""),IF(REGEXMATCH(LOWER(AL106&amp;"" | ""&amp;E106),""frontend""),""Frontend"",""""))))"),"Аналитика старт | Алгоритмы старт | Backend старт | ML старт")</f>
        <v>Аналитика старт | Алгоритмы старт | Backend старт | ML старт</v>
      </c>
    </row>
    <row r="107">
      <c r="A107" s="6" t="str">
        <f>IFERROR(__xludf.DUMMYFUNCTION("""COMPUTED_VALUE"""),"EXT-7")</f>
        <v>EXT-7</v>
      </c>
      <c r="B107" s="6" t="str">
        <f>IFERROR(__xludf.DUMMYFUNCTION("""COMPUTED_VALUE"""),"2026-07-18 15:54:54")</f>
        <v>2026-07-18 15:54:54</v>
      </c>
      <c r="C107" s="6" t="str">
        <f>IFERROR(__xludf.DUMMYFUNCTION("""COMPUTED_VALUE"""),"@postypashki_mems")</f>
        <v>@postypashki_mems</v>
      </c>
      <c r="D107" s="4" t="str">
        <f>IFERROR(__xludf.DUMMYFUNCTION("""COMPUTED_VALUE"""),"Запуск / набор")</f>
        <v>Запуск / набор</v>
      </c>
      <c r="E107" s="6" t="str">
        <f>IFERROR(__xludf.DUMMYFUNCTION("""COMPUTED_VALUE"""),"")</f>
        <v/>
      </c>
      <c r="F107" s="6" t="str">
        <f>IFERROR(__xludf.DUMMYFUNCTION("""COMPUTED_VALUE"""),"")</f>
        <v/>
      </c>
      <c r="G107" s="10" t="str">
        <f>IFERROR(__xludf.DUMMYFUNCTION("""COMPUTED_VALUE"""),"https://t.me/postypashki_mems/1341")</f>
        <v>https://t.me/postypashki_mems/1341</v>
      </c>
      <c r="H107" s="6" t="str">
        <f>IFERROR(__xludf.DUMMYFUNCTION("""COMPUTED_VALUE"""),"Товарищи, мы обновили линейку СТАРТ и открываем новый набор! 🚀
Мы переработали программы: обновили темы, добавили новые кейсы и вопросы с реальных собеседований, усилили практику и запустили полноценный карьерный блок.
Если раньше упор был только на те"&amp;"хнические навыки, то теперь на курсе вы также научитесь:
— составлять сильное резюме;
— презентовать свой опыт, даже если коммерческой работы не было;
— искать вакансии и понимать, куда лучше откликаться;
— проходить HR-этапы и уверенно чувствовать себя н"&amp;"а всех интервью.
Открываем набор сразу на 4 направления:
- Аналитика
- Алгоритмы
- Backend
- Машинное обучение 
📎Кому подойдет СТАРТ?
Тем, кто:
— готовится к первой работе и хочет получить системную базу;
— уже проходит собеседования, но чувствует про"&amp;"белы;
— хочет попробовать направление на практике, прежде чем идти глубже;
— хочет за лето прокачаться и выйти на рынок уже с готовым портфолио.
Что будет на курсах?
➡️Аналитика
Освоим SQL, продуктовые метрики, дашборды и A/B-тесты. В качестве пет-проек"&amp;"та пройдете полный цикл АВ тестирования — от запроса в БД до презентации результатов. Именно так работает аналитик.
➡️Алгоритмы
Разберем всё, что действительно спрашивают на технических интервью: структуры данных, графы, динамическое программирование, де"&amp;"ревья, теория чисел и многое другое. Закроем фундамент для алгособеседований и контестов.
➡️Backend
Изучим архитектуру приложений, базы данных, Docker, gRPC и современные подходы к разработке. Итоговый пет-проект — полноценный сервис аналитики и прогнози"&amp;"рования цен криптовалют.
➡️Machine Learning
Метрики качества, классические алгоритмы, бустинг, нейронные сети и Transformer. Пет-проект — система кредитного скоринга. Без искусственных задач вроде «обучи свою LLM», только то, с чем реально сталкивается M"&amp;"L-инженер в начале карьеры.
Участникам курса также доступны: 
🔵разбор контеста донабора Т-банк, стажировки в Яндекс, Авито буткемп DS (DS только на мл старт);
🔵mock-собеседования с обратной связью;
🔵закрытый банк вопросов с реальных интервью Яндекса, "&amp;"Т-Банка, Ozon, WB, Авито и других компаний;
🔵банк тестовых заданий и задач из бигтеха;
🔵реферальную рекомендацию в бигтех после успешной защиты пет-проекта.
Курс длится 6 недель. Программа построена так, чтобы успевать осваивать теорию, выполнять домашн"&amp;"ие задания и постепенно делать пет-проект без перегруза. Все это время рядом преподаватель и куратор, которые помогают разобраться со сложными темами и отвечают на вопросы.
🔊Подробную программу и стоимость курсов смотрите на сайте
Дополнительные скидки:"&amp;" 
-500 ₽, если учились уже у нас на других курсах
-500 ₽, если берете с другом
Действует гарантия: прошел курс, выполнил все рекомендации, но не получил оффер — вернем деньги
📌Для вопросов и записи на курс напишите менеджеру")</f>
        <v>Товарищи, мы обновили линейку СТАРТ и открываем новый набор! 🚀
Мы переработали программы: обновили темы, добавили новые кейсы и вопросы с реальных собеседований, усилили практику и запустили полноценный карьерный блок.
Если раньше упор был только на технические навыки, то теперь на курсе вы также научитесь:
— составлять сильное резюме;
— презентовать свой опыт, даже если коммерческой работы не было;
— искать вакансии и понимать, куда лучше откликаться;
— проходить HR-этапы и уверенно чувствовать себя на всех интервью.
Открываем набор сразу на 4 направления:
- Аналитика
- Алгоритмы
- Backend
- Машинное обучение 
📎Кому подойдет СТАРТ?
Тем, кто:
— готовится к первой работе и хочет получить системную базу;
— уже проходит собеседования, но чувствует пробелы;
— хочет попробовать направление на практике, прежде чем идти глубже;
— хочет за лето прокачаться и выйти на рынок уже с готовым портфолио.
Что будет на курсах?
➡️Аналитика
Освоим SQL, продуктовые метрики, дашборды и A/B-тесты. В качестве пет-проекта пройдете полный цикл АВ тестирования — от запроса в БД до презентации результатов. Именно так работает аналитик.
➡️Алгоритмы
Разберем всё, что действительно спрашивают на технических интервью: структуры данных, графы, динамическое программирование, деревья, теория чисел и многое другое. Закроем фундамент для алгособеседований и контестов.
➡️Backend
Изучим архитектуру приложений, базы данных, Docker, gRPC и современные подходы к разработке. Итоговый пет-проект — полноценный сервис аналитики и прогнозирования цен криптовалют.
➡️Machine Learning
Метрики качества, классические алгоритмы, бустинг, нейронные сети и Transformer. Пет-проект — система кредитного скоринга. Без искусственных задач вроде «обучи свою LLM», только то, с чем реально сталкивается ML-инженер в начале карьеры.
Участникам курса также доступны: 
🔵разбор контеста донабора Т-банк, стажировки в Яндекс, Авито буткемп DS (DS только на мл старт);
🔵mock-собеседования с обратной связью;
🔵закрытый банк вопросов с реальных интервью Яндекса, Т-Банка, Ozon, WB, Авито и других компаний;
🔵банк тестовых заданий и задач из бигтеха;
🔵реферальную рекомендацию в бигтех после успешной защиты пет-проекта.
Курс длится 6 недель. Программа построена так, чтобы успевать осваивать теорию, выполнять домашние задания и постепенно делать пет-проект без перегруза. Все это время рядом преподаватель и куратор, которые помогают разобраться со сложными темами и отвечают на вопросы.
🔊Подробную программу и стоимость курсов смотрите на сайте
Дополнительные скидки: 
-500 ₽, если учились уже у нас на других курсах
-500 ₽, если берете с другом
Действует гарантия: прошел курс, выполнил все рекомендации, но не получил оффер — вернем деньги
📌Для вопросов и записи на курс напишите менеджеру</v>
      </c>
      <c r="I107" s="6" t="str">
        <f>IFERROR(__xludf.DUMMYFUNCTION("""COMPUTED_VALUE"""),"external")</f>
        <v>external</v>
      </c>
      <c r="J107" s="10" t="str">
        <f>IFERROR(__xludf.DUMMYFUNCTION("""COMPUTED_VALUE"""),"https://t.me/postypashki_mems/1341")</f>
        <v>https://t.me/postypashki_mems/1341</v>
      </c>
      <c r="K107" s="6">
        <f>IFERROR(__xludf.DUMMYFUNCTION("""COMPUTED_VALUE"""),2800.0)</f>
        <v>2800</v>
      </c>
      <c r="L107" s="6">
        <f>IFERROR(__xludf.DUMMYFUNCTION("""COMPUTED_VALUE"""),1.0)</f>
        <v>1</v>
      </c>
      <c r="M107" s="6"/>
      <c r="N107" s="6" t="str">
        <f>IFERROR(__xludf.DUMMYFUNCTION("""COMPUTED_VALUE"""),"Telegram")</f>
        <v>Telegram</v>
      </c>
      <c r="O107" s="6" t="str">
        <f>IFERROR(__xludf.DUMMYFUNCTION("""COMPUTED_VALUE"""),"raw")</f>
        <v>raw</v>
      </c>
      <c r="P107" s="6" t="str">
        <f>IFERROR(__xludf.DUMMYFUNCTION("""COMPUTED_VALUE"""),"Codex")</f>
        <v>Codex</v>
      </c>
      <c r="Q107" s="6" t="str">
        <f>IFERROR(__xludf.DUMMYFUNCTION("""COMPUTED_VALUE"""),"Общий контакт @vice22821; признак связи с проектом")</f>
        <v>Общий контакт @vice22821; признак связи с проектом</v>
      </c>
      <c r="R107" s="6" t="str">
        <f>IFERROR(__xludf.DUMMYFUNCTION("""COMPUTED_VALUE"""),"unknown")</f>
        <v>unknown</v>
      </c>
      <c r="S107" s="6" t="str">
        <f>IFERROR(__xludf.DUMMYFUNCTION("""COMPUTED_VALUE"""),"unknown")</f>
        <v>unknown</v>
      </c>
      <c r="T107" s="6" t="str">
        <f>IFERROR(__xludf.DUMMYFUNCTION("""COMPUTED_VALUE"""),"telegram_external")</f>
        <v>telegram_external</v>
      </c>
      <c r="U107" s="6" t="str">
        <f>IFERROR(__xludf.DUMMYFUNCTION("""COMPUTED_VALUE"""),"Запуск / набор")</f>
        <v>Запуск / набор</v>
      </c>
      <c r="V107" s="6" t="str">
        <f>IFERROR(__xludf.DUMMYFUNCTION("""COMPUTED_VALUE"""),"")</f>
        <v/>
      </c>
      <c r="W107" s="6" t="str">
        <f>IFERROR(__xludf.DUMMYFUNCTION("""COMPUTED_VALUE"""),"")</f>
        <v/>
      </c>
      <c r="X107" s="6" t="str">
        <f>IFERROR(__xludf.DUMMYFUNCTION("""COMPUTED_VALUE"""),"Forwarded from Поступашки - ШАД, Стажировки и Магистратура")</f>
        <v>Forwarded from Поступашки - ШАД, Стажировки и Магистратура</v>
      </c>
      <c r="Y107" s="6" t="str">
        <f>IFERROR(__xludf.DUMMYFUNCTION("""COMPUTED_VALUE"""),"https://t.me/postypashki_old/1757
https://old.postypashki.ru/%D0%BA%D0%B0%D1%80%D1%8C%D0%B5%D1%80%D0%BD%D1%8B%D0%B5-%D0%BA%D1%83%D1%80%D1%81%D1%8B/%D0%B0%D0%BD%D0%B0%D0%BB%D0%B8%D1%82%D0%B8%D0%BA%D0%B0-%D1%81%D1%82%D0%B0%D1%80%D1%82/
https://old.postypash"&amp;"ki.ru/%D0%BA%D0%B0%D1%80%D1%8C%D0%B5%D1%80%D0%BD%D1%8B%D0%B5-%D0%BA%D1%83%D1%80%D1%81%D1%8B/%D0%B0%D0%BB%D0%B3%D0%BE%D1%80%D0%B8%D1%82%D0%BC%D1%8B-%D1%81%D1%82%D0%B0%D1%80%D1%82/
https://old.postypashki.ru/%D0%BA%D0%B0%D1%80%D1%8C%D0%B5%D1%80%D0%BD%D1%8B%"&amp;"D0%B5-%D0%BA%D1%83%D1%80%D1%81%D1%8B/backend-%D1%81%D1%82%D0%B0%D1%80%D1%82/
https://old.postypashki.ru/%D0%BA%D0%B0%D1%80%D1%8C%D0%B5%D1%80%D0%BD%D1%8B%D0%B5-%D0%BA%D1%83%D1%80%D1%81%D1%8B/ml-%D1%81%D1%82%D0%B0%D1%80%D1%82/
https://old.postypashki.ru/%D0"&amp;"%BA%D0%B0%D1%80%D1%8C%D0%B5%D1%80%D0%BD%D1%8B%D0%B5-%D0%BA%D1%83%D1%80%D1%81%D1%8B/
https://t.me/m/p94YcePXNjcy")</f>
        <v>https://t.me/postypashki_old/1757
https://old.postypashki.ru/%D0%BA%D0%B0%D1%80%D1%8C%D0%B5%D1%80%D0%BD%D1%8B%D0%B5-%D0%BA%D1%83%D1%80%D1%81%D1%8B/%D0%B0%D0%BD%D0%B0%D0%BB%D0%B8%D1%82%D0%B8%D0%BA%D0%B0-%D1%81%D1%82%D0%B0%D1%80%D1%82/
https://old.postypashki.ru/%D0%BA%D0%B0%D1%80%D1%8C%D0%B5%D1%80%D0%BD%D1%8B%D0%B5-%D0%BA%D1%83%D1%80%D1%81%D1%8B/%D0%B0%D0%BB%D0%B3%D0%BE%D1%80%D0%B8%D1%82%D0%BC%D1%8B-%D1%81%D1%82%D0%B0%D1%80%D1%82/
https://old.postypashki.ru/%D0%BA%D0%B0%D1%80%D1%8C%D0%B5%D1%80%D0%BD%D1%8B%D0%B5-%D0%BA%D1%83%D1%80%D1%81%D1%8B/backend-%D1%81%D1%82%D0%B0%D1%80%D1%82/
https://old.postypashki.ru/%D0%BA%D0%B0%D1%80%D1%8C%D0%B5%D1%80%D0%BD%D1%8B%D0%B5-%D0%BA%D1%83%D1%80%D1%81%D1%8B/ml-%D1%81%D1%82%D0%B0%D1%80%D1%82/
https://old.postypashki.ru/%D0%BA%D0%B0%D1%80%D1%8C%D0%B5%D1%80%D0%BD%D1%8B%D0%B5-%D0%BA%D1%83%D1%80%D1%81%D1%8B/
https://t.me/m/p94YcePXNjcy</v>
      </c>
      <c r="Z107" s="6" t="b">
        <f>IFERROR(__xludf.DUMMYFUNCTION("""COMPUTED_VALUE"""),TRUE)</f>
        <v>1</v>
      </c>
      <c r="AA107" s="6" t="str">
        <f>IFERROR(__xludf.DUMMYFUNCTION("""COMPUTED_VALUE"""),"")</f>
        <v/>
      </c>
      <c r="AB107" s="6" t="str">
        <f>IFERROR(__xludf.DUMMYFUNCTION("""COMPUTED_VALUE"""),"")</f>
        <v/>
      </c>
      <c r="AC107" s="6" t="str">
        <f>IFERROR(__xludf.DUMMYFUNCTION("""COMPUTED_VALUE"""),"")</f>
        <v/>
      </c>
      <c r="AD107" s="6" t="str">
        <f>IFERROR(__xludf.DUMMYFUNCTION("""COMPUTED_VALUE"""),"")</f>
        <v/>
      </c>
      <c r="AE107" s="6" t="str">
        <f>IFERROR(__xludf.DUMMYFUNCTION("""COMPUTED_VALUE"""),"")</f>
        <v/>
      </c>
      <c r="AF107" s="6" t="str">
        <f>IFERROR(__xludf.DUMMYFUNCTION("""COMPUTED_VALUE"""),"Не подтверждено")</f>
        <v>Не подтверждено</v>
      </c>
      <c r="AG107" s="6" t="str">
        <f>IFERROR(__xludf.DUMMYFUNCTION("""COMPUTED_VALUE"""),"")</f>
        <v/>
      </c>
      <c r="AH107" s="6" t="str">
        <f>IFERROR(__xludf.DUMMYFUNCTION("""COMPUTED_VALUE"""),"2026-09-11T11:48:02.028687+00:00")</f>
        <v>2026-09-11T11:48:02.028687+00:00</v>
      </c>
      <c r="AI107" s="6" t="str">
        <f>IFERROR(__xludf.DUMMYFUNCTION("""COMPUTED_VALUE"""),"raw/postypashki_mems/page_003.html")</f>
        <v>raw/postypashki_mems/page_003.html</v>
      </c>
      <c r="AJ107" s="9" t="s">
        <v>223</v>
      </c>
      <c r="AK107" s="9" t="s">
        <v>213</v>
      </c>
      <c r="AL107" s="9" t="s">
        <v>250</v>
      </c>
      <c r="AM107" s="9" t="s">
        <v>237</v>
      </c>
      <c r="AN107" s="4" t="str">
        <f>IFERROR(__xludf.DUMMYFUNCTION("IF(OR(AJ107=""general_brand"",AJ107=""external"",AJ107=""unknown""),"""",IF(AJ107=""product_line"",IF(AK107=""START"",""Аналитика старт | Алгоритмы старт | Backend старт | ML старт"",IF(AK107=""PRO"",""AI-агенты про | Алгоритмы про | Аналитика про | ML пр"&amp;"о | Backend про"",IF(AK107=""START | PRO"",""Аналитика старт | Алгоритмы старт | Backend старт | ML старт | AI-агенты про | Алгоритмы про | Аналитика про | ML про | Backend про"",""""))),TEXTJOIN("" | "",TRUE,IF(REGEXMATCH(LOWER(AL107&amp;"" | ""&amp;E107),""анал"&amp;"итика старт""),""Аналитика старт"",""""),IF(REGEXMATCH(LOWER(AL107&amp;"" | ""&amp;E107),""алгоритмы старт""),""Алгоритмы старт"",""""),IF(REGEXMATCH(LOWER(AL107&amp;"" | ""&amp;E107),""backend старт""),""Backend старт"",""""),IF(REGEXMATCH(LOWER(AL107&amp;"" | ""&amp;E107),""ml"&amp;" старт""),""ML старт"",""""),IF(REGEXMATCH(LOWER(AL107&amp;"" | ""&amp;E107),""ai[ -]?агент""),""AI-агенты про"",""""),IF(REGEXMATCH(LOWER(AL107&amp;"" | ""&amp;E107),""алгоритмы про""),""Алгоритмы про"",""""),IF(REGEXMATCH(LOWER(AL107&amp;"" | ""&amp;E107),""аналитика про""),"""&amp;"Аналитика про"",""""),IF(REGEXMATCH(LOWER(AL107&amp;"" | ""&amp;E107),""ml про""),""ML про"",""""),IF(REGEXMATCH(LOWER(AL107&amp;"" | ""&amp;E107),""backend про""),""Backend про"",""""),IF(REGEXMATCH(LOWER(AL107&amp;"" | ""&amp;E107),""(а/в|ав|а в|ab)[ -]?тест""),""А/В-тесты"","&amp;"""""),IF(REGEXMATCH(LOWER(AL107&amp;"" | ""&amp;E107),""data science""),""Data science"",""""),IF(REGEXMATCH(LOWER(AL107&amp;"" | ""&amp;E107),""data[- ]?инжен""),""Data-инженер"",""""),IF(REGEXMATCH(LOWER(AL107&amp;"" | ""&amp;E107),""frontend""),""Frontend"",""""))))"),"Аналитика старт | Алгоритмы старт | Backend старт | ML старт")</f>
        <v>Аналитика старт | Алгоритмы старт | Backend старт | ML старт</v>
      </c>
    </row>
    <row r="108">
      <c r="A108" s="6" t="str">
        <f>IFERROR(__xludf.DUMMYFUNCTION("""COMPUTED_VALUE"""),"EXT-8")</f>
        <v>EXT-8</v>
      </c>
      <c r="B108" s="6" t="str">
        <f>IFERROR(__xludf.DUMMYFUNCTION("""COMPUTED_VALUE"""),"2026-07-19 11:47:59")</f>
        <v>2026-07-19 11:47:59</v>
      </c>
      <c r="C108" s="6" t="str">
        <f>IFERROR(__xludf.DUMMYFUNCTION("""COMPUTED_VALUE"""),"@chad_protocol")</f>
        <v>@chad_protocol</v>
      </c>
      <c r="D108" s="4" t="str">
        <f>IFERROR(__xludf.DUMMYFUNCTION("""COMPUTED_VALUE"""),"Бесплатное событие / лид-магнит")</f>
        <v>Бесплатное событие / лид-магнит</v>
      </c>
      <c r="E108" s="6" t="str">
        <f>IFERROR(__xludf.DUMMYFUNCTION("""COMPUTED_VALUE"""),"")</f>
        <v/>
      </c>
      <c r="F108" s="6" t="str">
        <f>IFERROR(__xludf.DUMMYFUNCTION("""COMPUTED_VALUE"""),"")</f>
        <v/>
      </c>
      <c r="G108" s="10" t="str">
        <f>IFERROR(__xludf.DUMMYFUNCTION("""COMPUTED_VALUE"""),"https://t.me/chad_protocol/489")</f>
        <v>https://t.me/chad_protocol/489</v>
      </c>
      <c r="H108" s="6" t="str">
        <f>IFERROR(__xludf.DUMMYFUNCTION("""COMPUTED_VALUE"""),"Компании, куда берут вообще всех
Твое ДНК на 90% совпадает с ДНК банана? У тебя СДВГ, аутизм? Ты готов на все ради работы в айти? В тебе ни капли достоинства? 
Тогда эта подборка - специально для тебя.
Объясню свою градацию: идём от мест с минимальным п"&amp;"орогом входа к тем, куда попасть проще некуда. Хотя, честно говоря, сложностей с трудоустройством я тут не вижу вообще.
Сбер
Попасть легче лёгкого. Твои знания здесь никого не волнуют, и спрашивать о них не станут. Из минусов: удушающая корпкультура и об"&amp;"язательная работа из офиса. Собеседования элементарные: обсуждают, насколько ты безынициативен и готов сидеть в четырёх стенах офиса за самую жирную на рынке премию при самом убогом окладе.
Иннотех
Тоже славится гнилой корпоративной культурой, толпами на"&amp;"рода на бенче, которые сутками протирают штаны и мечтают сбежать. На интервью сверхъестественного не спросят; главное, чтобы ты уложился в бюджет позиции. Раньше ходила байка: если хочешь вернуться в РФ, просто кинь резюме в Иннотех - оффер будет уже к ве"&amp;"черу.
Теперь компании, которые, по моему мнению, нанимают любого, кто просто откликнулся:
АЙ-ТЕКО 
Порог входа отсутствует. Будете работать на проектах Сбера и получать 250 тысяч на руки. Отличный вариант, когда тебя больше вообще никуда не рассматриваю"&amp;"т.
Valiotti Analytics 
Ещё одна международная галера: нанимает тебя на part-time за $1300, а клиенту продаёт за $10к. Берут всех, кто хоть как-то может написал select from, подойдет даже умственноотсталый. Будет тяжко, но это сугубо твои трудности, а не "&amp;"головная боль CEO Valiotti.
Любой аутстафф
Там предложат работу практически без требований к знаниям, им по большей части всё равно. Лишь бы ты что-то поверхностно понимали, а все дальнейшие проблемы лягут на тебя и на клиента, который тебя необдуманно в"&amp;"зял на проект.
Если же ты всё-таки смог одолеть букварь по Python (((советую бесплатный курс от Поступашек))), можно попытать счастья вот в этих организациях, где регулярно открыт набор: ВК, Яндекс, Х5, Магнит, Альфа, МТС, Wildberries, Ozon. 
Подписатьс"&amp;"я: @chad_protocol")</f>
        <v>Компании, куда берут вообще всех
Твое ДНК на 90% совпадает с ДНК банана? У тебя СДВГ, аутизм? Ты готов на все ради работы в айти? В тебе ни капли достоинства? 
Тогда эта подборка - специально для тебя.
Объясню свою градацию: идём от мест с минимальным порогом входа к тем, куда попасть проще некуда. Хотя, честно говоря, сложностей с трудоустройством я тут не вижу вообще.
Сбер
Попасть легче лёгкого. Твои знания здесь никого не волнуют, и спрашивать о них не станут. Из минусов: удушающая корпкультура и обязательная работа из офиса. Собеседования элементарные: обсуждают, насколько ты безынициативен и готов сидеть в четырёх стенах офиса за самую жирную на рынке премию при самом убогом окладе.
Иннотех
Тоже славится гнилой корпоративной культурой, толпами народа на бенче, которые сутками протирают штаны и мечтают сбежать. На интервью сверхъестественного не спросят; главное, чтобы ты уложился в бюджет позиции. Раньше ходила байка: если хочешь вернуться в РФ, просто кинь резюме в Иннотех - оффер будет уже к вечеру.
Теперь компании, которые, по моему мнению, нанимают любого, кто просто откликнулся:
АЙ-ТЕКО 
Порог входа отсутствует. Будете работать на проектах Сбера и получать 250 тысяч на руки. Отличный вариант, когда тебя больше вообще никуда не рассматривают.
Valiotti Analytics 
Ещё одна международная галера: нанимает тебя на part-time за $1300, а клиенту продаёт за $10к. Берут всех, кто хоть как-то может написал select from, подойдет даже умственноотсталый. Будет тяжко, но это сугубо твои трудности, а не головная боль CEO Valiotti.
Любой аутстафф
Там предложат работу практически без требований к знаниям, им по большей части всё равно. Лишь бы ты что-то поверхностно понимали, а все дальнейшие проблемы лягут на тебя и на клиента, который тебя необдуманно взял на проект.
Если же ты всё-таки смог одолеть букварь по Python (((советую бесплатный курс от Поступашек))), можно попытать счастья вот в этих организациях, где регулярно открыт набор: ВК, Яндекс, Х5, Магнит, Альфа, МТС, Wildberries, Ozon. 
Подписаться: @chad_protocol</v>
      </c>
      <c r="I108" s="6" t="str">
        <f>IFERROR(__xludf.DUMMYFUNCTION("""COMPUTED_VALUE"""),"external")</f>
        <v>external</v>
      </c>
      <c r="J108" s="10" t="str">
        <f>IFERROR(__xludf.DUMMYFUNCTION("""COMPUTED_VALUE"""),"https://t.me/chad_protocol/489")</f>
        <v>https://t.me/chad_protocol/489</v>
      </c>
      <c r="K108" s="6">
        <f>IFERROR(__xludf.DUMMYFUNCTION("""COMPUTED_VALUE"""),8450.0)</f>
        <v>8450</v>
      </c>
      <c r="L108" s="6">
        <f>IFERROR(__xludf.DUMMYFUNCTION("""COMPUTED_VALUE"""),20.0)</f>
        <v>20</v>
      </c>
      <c r="M108" s="6"/>
      <c r="N108" s="6" t="str">
        <f>IFERROR(__xludf.DUMMYFUNCTION("""COMPUTED_VALUE"""),"Telegram")</f>
        <v>Telegram</v>
      </c>
      <c r="O108" s="6" t="str">
        <f>IFERROR(__xludf.DUMMYFUNCTION("""COMPUTED_VALUE"""),"raw")</f>
        <v>raw</v>
      </c>
      <c r="P108" s="6" t="str">
        <f>IFERROR(__xludf.DUMMYFUNCTION("""COMPUTED_VALUE"""),"Codex")</f>
        <v>Codex</v>
      </c>
      <c r="Q108" s="6" t="str">
        <f>IFERROR(__xludf.DUMMYFUNCTION("""COMPUTED_VALUE"""),"Общий контакт @vice22821; признак связи с проектом")</f>
        <v>Общий контакт @vice22821; признак связи с проектом</v>
      </c>
      <c r="R108" s="6" t="str">
        <f>IFERROR(__xludf.DUMMYFUNCTION("""COMPUTED_VALUE"""),"unknown")</f>
        <v>unknown</v>
      </c>
      <c r="S108" s="6" t="str">
        <f>IFERROR(__xludf.DUMMYFUNCTION("""COMPUTED_VALUE"""),"unknown")</f>
        <v>unknown</v>
      </c>
      <c r="T108" s="6" t="str">
        <f>IFERROR(__xludf.DUMMYFUNCTION("""COMPUTED_VALUE"""),"telegram_external")</f>
        <v>telegram_external</v>
      </c>
      <c r="U108" s="6" t="str">
        <f>IFERROR(__xludf.DUMMYFUNCTION("""COMPUTED_VALUE"""),"Бесплатное событие / лид-магнит")</f>
        <v>Бесплатное событие / лид-магнит</v>
      </c>
      <c r="V108" s="6" t="str">
        <f>IFERROR(__xludf.DUMMYFUNCTION("""COMPUTED_VALUE"""),"")</f>
        <v/>
      </c>
      <c r="W108" s="6" t="str">
        <f>IFERROR(__xludf.DUMMYFUNCTION("""COMPUTED_VALUE"""),"")</f>
        <v/>
      </c>
      <c r="X108" s="6"/>
      <c r="Y108" s="10" t="str">
        <f>IFERROR(__xludf.DUMMYFUNCTION("""COMPUTED_VALUE"""),"https://t.me/postypashki_old/1789")</f>
        <v>https://t.me/postypashki_old/1789</v>
      </c>
      <c r="Z108" s="6" t="b">
        <f>IFERROR(__xludf.DUMMYFUNCTION("""COMPUTED_VALUE"""),FALSE)</f>
        <v>0</v>
      </c>
      <c r="AA108" s="6" t="str">
        <f>IFERROR(__xludf.DUMMYFUNCTION("""COMPUTED_VALUE"""),"")</f>
        <v/>
      </c>
      <c r="AB108" s="6" t="str">
        <f>IFERROR(__xludf.DUMMYFUNCTION("""COMPUTED_VALUE"""),"")</f>
        <v/>
      </c>
      <c r="AC108" s="6" t="str">
        <f>IFERROR(__xludf.DUMMYFUNCTION("""COMPUTED_VALUE"""),"")</f>
        <v/>
      </c>
      <c r="AD108" s="6" t="str">
        <f>IFERROR(__xludf.DUMMYFUNCTION("""COMPUTED_VALUE"""),"")</f>
        <v/>
      </c>
      <c r="AE108" s="6" t="str">
        <f>IFERROR(__xludf.DUMMYFUNCTION("""COMPUTED_VALUE"""),"")</f>
        <v/>
      </c>
      <c r="AF108" s="6" t="str">
        <f>IFERROR(__xludf.DUMMYFUNCTION("""COMPUTED_VALUE"""),"Не подтверждено")</f>
        <v>Не подтверждено</v>
      </c>
      <c r="AG108" s="6" t="str">
        <f>IFERROR(__xludf.DUMMYFUNCTION("""COMPUTED_VALUE"""),"")</f>
        <v/>
      </c>
      <c r="AH108" s="6" t="str">
        <f>IFERROR(__xludf.DUMMYFUNCTION("""COMPUTED_VALUE"""),"2026-09-11T11:47:54.575643+00:00")</f>
        <v>2026-09-11T11:47:54.575643+00:00</v>
      </c>
      <c r="AI108" s="6" t="str">
        <f>IFERROR(__xludf.DUMMYFUNCTION("""COMPUTED_VALUE"""),"raw/chad_protocol/page_002.html")</f>
        <v>raw/chad_protocol/page_002.html</v>
      </c>
      <c r="AJ108" s="9" t="s">
        <v>233</v>
      </c>
      <c r="AM108" s="9" t="s">
        <v>219</v>
      </c>
      <c r="AN108" s="6" t="str">
        <f>IFERROR(__xludf.DUMMYFUNCTION("IF(OR(AJ108=""general_brand"",AJ108=""external"",AJ108=""unknown""),"""",IF(AJ108=""product_line"",IF(AK108=""START"",""Аналитика старт | Алгоритмы старт | Backend старт | ML старт"",IF(AK108=""PRO"",""AI-агенты про | Алгоритмы про | Аналитика про | ML пр"&amp;"о | Backend про"",IF(AK108=""START | PRO"",""Аналитика старт | Алгоритмы старт | Backend старт | ML старт | AI-агенты про | Алгоритмы про | Аналитика про | ML про | Backend про"",""""))),TEXTJOIN("" | "",TRUE,IF(REGEXMATCH(LOWER(AL108&amp;"" | ""&amp;E108),""анал"&amp;"итика старт""),""Аналитика старт"",""""),IF(REGEXMATCH(LOWER(AL108&amp;"" | ""&amp;E108),""алгоритмы старт""),""Алгоритмы старт"",""""),IF(REGEXMATCH(LOWER(AL108&amp;"" | ""&amp;E108),""backend старт""),""Backend старт"",""""),IF(REGEXMATCH(LOWER(AL108&amp;"" | ""&amp;E108),""ml"&amp;" старт""),""ML старт"",""""),IF(REGEXMATCH(LOWER(AL108&amp;"" | ""&amp;E108),""ai[ -]?агент""),""AI-агенты про"",""""),IF(REGEXMATCH(LOWER(AL108&amp;"" | ""&amp;E108),""алгоритмы про""),""Алгоритмы про"",""""),IF(REGEXMATCH(LOWER(AL108&amp;"" | ""&amp;E108),""аналитика про""),"""&amp;"Аналитика про"",""""),IF(REGEXMATCH(LOWER(AL108&amp;"" | ""&amp;E108),""ml про""),""ML про"",""""),IF(REGEXMATCH(LOWER(AL108&amp;"" | ""&amp;E108),""backend про""),""Backend про"",""""),IF(REGEXMATCH(LOWER(AL108&amp;"" | ""&amp;E108),""(а/в|ав|а в|ab)[ -]?тест""),""А/В-тесты"","&amp;"""""),IF(REGEXMATCH(LOWER(AL108&amp;"" | ""&amp;E108),""data science""),""Data science"",""""),IF(REGEXMATCH(LOWER(AL108&amp;"" | ""&amp;E108),""data[- ]?инжен""),""Data-инженер"",""""),IF(REGEXMATCH(LOWER(AL108&amp;"" | ""&amp;E108),""frontend""),""Frontend"",""""))))"),"")</f>
        <v/>
      </c>
    </row>
    <row r="109">
      <c r="A109" s="6" t="str">
        <f>IFERROR(__xludf.DUMMYFUNCTION("""COMPUTED_VALUE"""),"EXT-9")</f>
        <v>EXT-9</v>
      </c>
      <c r="B109" s="6" t="str">
        <f>IFERROR(__xludf.DUMMYFUNCTION("""COMPUTED_VALUE"""),"2026-07-19 19:01:41")</f>
        <v>2026-07-19 19:01:41</v>
      </c>
      <c r="C109" s="6" t="str">
        <f>IFERROR(__xludf.DUMMYFUNCTION("""COMPUTED_VALUE"""),"@matesha_shad")</f>
        <v>@matesha_shad</v>
      </c>
      <c r="D109" s="4" t="str">
        <f>IFERROR(__xludf.DUMMYFUNCTION("""COMPUTED_VALUE"""),"Запуск / набор")</f>
        <v>Запуск / набор</v>
      </c>
      <c r="E109" s="6" t="str">
        <f>IFERROR(__xludf.DUMMYFUNCTION("""COMPUTED_VALUE"""),"")</f>
        <v/>
      </c>
      <c r="F109" s="6" t="str">
        <f>IFERROR(__xludf.DUMMYFUNCTION("""COMPUTED_VALUE"""),"")</f>
        <v/>
      </c>
      <c r="G109" s="10" t="str">
        <f>IFERROR(__xludf.DUMMYFUNCTION("""COMPUTED_VALUE"""),"https://t.me/matesha_shad/365")</f>
        <v>https://t.me/matesha_shad/365</v>
      </c>
      <c r="H109" s="6" t="str">
        <f>IFERROR(__xludf.DUMMYFUNCTION("""COMPUTED_VALUE"""),"Товарищи, мы обновили линейку СТАРТ и открываем новый набор! 🚀
Мы переработали программы: обновили темы, добавили новые кейсы и вопросы с реальных собеседований, усилили практику и запустили полноценный карьерный блок.
Если раньше упор был только на те"&amp;"хнические навыки, то теперь на курсе вы также научитесь:
— составлять сильное резюме;
— презентовать свой опыт, даже если коммерческой работы не было;
— искать вакансии и понимать, куда лучше откликаться;
— проходить HR-этапы и уверенно чувствовать себя н"&amp;"а всех интервью.
Открываем набор сразу на 4 направления:
- Аналитика
- Алгоритмы
- Backend
- Машинное обучение 
📎Кому подойдет СТАРТ?
Тем, кто:
— готовится к первой работе и хочет получить системную базу;
— уже проходит собеседования, но чувствует про"&amp;"белы;
— хочет попробовать направление на практике, прежде чем идти глубже;
— хочет за лето прокачаться и выйти на рынок уже с готовым портфолио.
Что будет на курсах?
➡️Аналитика
Освоим SQL, продуктовые метрики, дашборды и A/B-тесты. В качестве пет-проек"&amp;"та пройдете полный цикл АВ тестирования — от запроса в БД до презентации результатов. Именно так работает аналитик.
➡️Алгоритмы
Разберем всё, что действительно спрашивают на технических интервью: структуры данных, графы, динамическое программирование, де"&amp;"ревья, теория чисел и многое другое. Закроем фундамент для алгособеседований и контестов.
➡️Backend
Изучим архитектуру приложений, базы данных, Docker, gRPC и современные подходы к разработке. Итоговый пет-проект — полноценный сервис аналитики и прогнози"&amp;"рования цен криптовалют.
➡️Machine Learning
Метрики качества, классические алгоритмы, бустинг, нейронные сети и Transformer. Пет-проект — система кредитного скоринга. Без искусственных задач вроде «обучи свою LLM», только то, с чем реально сталкивается M"&amp;"L-инженер в начале карьеры.
Участникам курса также доступны: 
🔵разбор контеста донабора Т-банк, стажировки в Яндекс, Авито буткемп DS (DS только на мл старт);
🔵mock-собеседования с обратной связью;
🔵закрытый банк вопросов с реальных интервью Яндекса, "&amp;"Т-Банка, Ozon, WB, Авито и других компаний;
🔵банк тестовых заданий и задач из бигтеха;
🔵реферальную рекомендацию в бигтех после успешной защиты пет-проекта.
Курс длится 6 недель. Программа построена так, чтобы успевать осваивать теорию, выполнять домашн"&amp;"ие задания и постепенно делать пет-проект без перегруза. Все это время рядом преподаватель и куратор, которые помогают разобраться со сложными темами и отвечают на вопросы.
🔊Подробную программу и стоимость курсов смотрите на сайте
Дополнительные скидки:"&amp;" 
-500 ₽, если учились уже у нас на других курсах
-500 ₽, если берете с другом
Действует гарантия: прошел курс, выполнил все рекомендации, но не получил оффер — вернем деньги
📌Для вопросов и записи на курс напишите менеджеру")</f>
        <v>Товарищи, мы обновили линейку СТАРТ и открываем новый набор! 🚀
Мы переработали программы: обновили темы, добавили новые кейсы и вопросы с реальных собеседований, усилили практику и запустили полноценный карьерный блок.
Если раньше упор был только на технические навыки, то теперь на курсе вы также научитесь:
— составлять сильное резюме;
— презентовать свой опыт, даже если коммерческой работы не было;
— искать вакансии и понимать, куда лучше откликаться;
— проходить HR-этапы и уверенно чувствовать себя на всех интервью.
Открываем набор сразу на 4 направления:
- Аналитика
- Алгоритмы
- Backend
- Машинное обучение 
📎Кому подойдет СТАРТ?
Тем, кто:
— готовится к первой работе и хочет получить системную базу;
— уже проходит собеседования, но чувствует пробелы;
— хочет попробовать направление на практике, прежде чем идти глубже;
— хочет за лето прокачаться и выйти на рынок уже с готовым портфолио.
Что будет на курсах?
➡️Аналитика
Освоим SQL, продуктовые метрики, дашборды и A/B-тесты. В качестве пет-проекта пройдете полный цикл АВ тестирования — от запроса в БД до презентации результатов. Именно так работает аналитик.
➡️Алгоритмы
Разберем всё, что действительно спрашивают на технических интервью: структуры данных, графы, динамическое программирование, деревья, теория чисел и многое другое. Закроем фундамент для алгособеседований и контестов.
➡️Backend
Изучим архитектуру приложений, базы данных, Docker, gRPC и современные подходы к разработке. Итоговый пет-проект — полноценный сервис аналитики и прогнозирования цен криптовалют.
➡️Machine Learning
Метрики качества, классические алгоритмы, бустинг, нейронные сети и Transformer. Пет-проект — система кредитного скоринга. Без искусственных задач вроде «обучи свою LLM», только то, с чем реально сталкивается ML-инженер в начале карьеры.
Участникам курса также доступны: 
🔵разбор контеста донабора Т-банк, стажировки в Яндекс, Авито буткемп DS (DS только на мл старт);
🔵mock-собеседования с обратной связью;
🔵закрытый банк вопросов с реальных интервью Яндекса, Т-Банка, Ozon, WB, Авито и других компаний;
🔵банк тестовых заданий и задач из бигтеха;
🔵реферальную рекомендацию в бигтех после успешной защиты пет-проекта.
Курс длится 6 недель. Программа построена так, чтобы успевать осваивать теорию, выполнять домашние задания и постепенно делать пет-проект без перегруза. Все это время рядом преподаватель и куратор, которые помогают разобраться со сложными темами и отвечают на вопросы.
🔊Подробную программу и стоимость курсов смотрите на сайте
Дополнительные скидки: 
-500 ₽, если учились уже у нас на других курсах
-500 ₽, если берете с другом
Действует гарантия: прошел курс, выполнил все рекомендации, но не получил оффер — вернем деньги
📌Для вопросов и записи на курс напишите менеджеру</v>
      </c>
      <c r="I109" s="6" t="str">
        <f>IFERROR(__xludf.DUMMYFUNCTION("""COMPUTED_VALUE"""),"external")</f>
        <v>external</v>
      </c>
      <c r="J109" s="10" t="str">
        <f>IFERROR(__xludf.DUMMYFUNCTION("""COMPUTED_VALUE"""),"https://t.me/matesha_shad/365")</f>
        <v>https://t.me/matesha_shad/365</v>
      </c>
      <c r="K109" s="6">
        <f>IFERROR(__xludf.DUMMYFUNCTION("""COMPUTED_VALUE"""),3720.0)</f>
        <v>3720</v>
      </c>
      <c r="L109" s="6">
        <f>IFERROR(__xludf.DUMMYFUNCTION("""COMPUTED_VALUE"""),2.0)</f>
        <v>2</v>
      </c>
      <c r="M109" s="6"/>
      <c r="N109" s="6" t="str">
        <f>IFERROR(__xludf.DUMMYFUNCTION("""COMPUTED_VALUE"""),"Telegram")</f>
        <v>Telegram</v>
      </c>
      <c r="O109" s="6" t="str">
        <f>IFERROR(__xludf.DUMMYFUNCTION("""COMPUTED_VALUE"""),"raw")</f>
        <v>raw</v>
      </c>
      <c r="P109" s="6" t="str">
        <f>IFERROR(__xludf.DUMMYFUNCTION("""COMPUTED_VALUE"""),"Codex")</f>
        <v>Codex</v>
      </c>
      <c r="Q109" s="6" t="str">
        <f>IFERROR(__xludf.DUMMYFUNCTION("""COMPUTED_VALUE"""),"Общий контакт @vice22821; признак связи с проектом")</f>
        <v>Общий контакт @vice22821; признак связи с проектом</v>
      </c>
      <c r="R109" s="6" t="str">
        <f>IFERROR(__xludf.DUMMYFUNCTION("""COMPUTED_VALUE"""),"unknown")</f>
        <v>unknown</v>
      </c>
      <c r="S109" s="6" t="str">
        <f>IFERROR(__xludf.DUMMYFUNCTION("""COMPUTED_VALUE"""),"unknown")</f>
        <v>unknown</v>
      </c>
      <c r="T109" s="6" t="str">
        <f>IFERROR(__xludf.DUMMYFUNCTION("""COMPUTED_VALUE"""),"telegram_external")</f>
        <v>telegram_external</v>
      </c>
      <c r="U109" s="6" t="str">
        <f>IFERROR(__xludf.DUMMYFUNCTION("""COMPUTED_VALUE"""),"Запуск / набор")</f>
        <v>Запуск / набор</v>
      </c>
      <c r="V109" s="6" t="str">
        <f>IFERROR(__xludf.DUMMYFUNCTION("""COMPUTED_VALUE"""),"")</f>
        <v/>
      </c>
      <c r="W109" s="6" t="str">
        <f>IFERROR(__xludf.DUMMYFUNCTION("""COMPUTED_VALUE"""),"")</f>
        <v/>
      </c>
      <c r="X109" s="6" t="str">
        <f>IFERROR(__xludf.DUMMYFUNCTION("""COMPUTED_VALUE"""),"Forwarded from Поступашки - ШАД, Стажировки и Магистратура")</f>
        <v>Forwarded from Поступашки - ШАД, Стажировки и Магистратура</v>
      </c>
      <c r="Y109" s="6" t="str">
        <f>IFERROR(__xludf.DUMMYFUNCTION("""COMPUTED_VALUE"""),"https://t.me/postypashki_old/1757
https://old.postypashki.ru/%D0%BA%D0%B0%D1%80%D1%8C%D0%B5%D1%80%D0%BD%D1%8B%D0%B5-%D0%BA%D1%83%D1%80%D1%81%D1%8B/%D0%B0%D0%BD%D0%B0%D0%BB%D0%B8%D1%82%D0%B8%D0%BA%D0%B0-%D1%81%D1%82%D0%B0%D1%80%D1%82/
https://old.postypash"&amp;"ki.ru/%D0%BA%D0%B0%D1%80%D1%8C%D0%B5%D1%80%D0%BD%D1%8B%D0%B5-%D0%BA%D1%83%D1%80%D1%81%D1%8B/%D0%B0%D0%BB%D0%B3%D0%BE%D1%80%D0%B8%D1%82%D0%BC%D1%8B-%D1%81%D1%82%D0%B0%D1%80%D1%82/
https://old.postypashki.ru/%D0%BA%D0%B0%D1%80%D1%8C%D0%B5%D1%80%D0%BD%D1%8B%"&amp;"D0%B5-%D0%BA%D1%83%D1%80%D1%81%D1%8B/backend-%D1%81%D1%82%D0%B0%D1%80%D1%82/
https://old.postypashki.ru/%D0%BA%D0%B0%D1%80%D1%8C%D0%B5%D1%80%D0%BD%D1%8B%D0%B5-%D0%BA%D1%83%D1%80%D1%81%D1%8B/ml-%D1%81%D1%82%D0%B0%D1%80%D1%82/
https://old.postypashki.ru/%D0"&amp;"%BA%D0%B0%D1%80%D1%8C%D0%B5%D1%80%D0%BD%D1%8B%D0%B5-%D0%BA%D1%83%D1%80%D1%81%D1%8B/
https://t.me/m/p94YcePXNjcy")</f>
        <v>https://t.me/postypashki_old/1757
https://old.postypashki.ru/%D0%BA%D0%B0%D1%80%D1%8C%D0%B5%D1%80%D0%BD%D1%8B%D0%B5-%D0%BA%D1%83%D1%80%D1%81%D1%8B/%D0%B0%D0%BD%D0%B0%D0%BB%D0%B8%D1%82%D0%B8%D0%BA%D0%B0-%D1%81%D1%82%D0%B0%D1%80%D1%82/
https://old.postypashki.ru/%D0%BA%D0%B0%D1%80%D1%8C%D0%B5%D1%80%D0%BD%D1%8B%D0%B5-%D0%BA%D1%83%D1%80%D1%81%D1%8B/%D0%B0%D0%BB%D0%B3%D0%BE%D1%80%D0%B8%D1%82%D0%BC%D1%8B-%D1%81%D1%82%D0%B0%D1%80%D1%82/
https://old.postypashki.ru/%D0%BA%D0%B0%D1%80%D1%8C%D0%B5%D1%80%D0%BD%D1%8B%D0%B5-%D0%BA%D1%83%D1%80%D1%81%D1%8B/backend-%D1%81%D1%82%D0%B0%D1%80%D1%82/
https://old.postypashki.ru/%D0%BA%D0%B0%D1%80%D1%8C%D0%B5%D1%80%D0%BD%D1%8B%D0%B5-%D0%BA%D1%83%D1%80%D1%81%D1%8B/ml-%D1%81%D1%82%D0%B0%D1%80%D1%82/
https://old.postypashki.ru/%D0%BA%D0%B0%D1%80%D1%8C%D0%B5%D1%80%D0%BD%D1%8B%D0%B5-%D0%BA%D1%83%D1%80%D1%81%D1%8B/
https://t.me/m/p94YcePXNjcy</v>
      </c>
      <c r="Z109" s="6" t="b">
        <f>IFERROR(__xludf.DUMMYFUNCTION("""COMPUTED_VALUE"""),TRUE)</f>
        <v>1</v>
      </c>
      <c r="AA109" s="6" t="str">
        <f>IFERROR(__xludf.DUMMYFUNCTION("""COMPUTED_VALUE"""),"")</f>
        <v/>
      </c>
      <c r="AB109" s="6" t="str">
        <f>IFERROR(__xludf.DUMMYFUNCTION("""COMPUTED_VALUE"""),"")</f>
        <v/>
      </c>
      <c r="AC109" s="6" t="str">
        <f>IFERROR(__xludf.DUMMYFUNCTION("""COMPUTED_VALUE"""),"")</f>
        <v/>
      </c>
      <c r="AD109" s="6" t="str">
        <f>IFERROR(__xludf.DUMMYFUNCTION("""COMPUTED_VALUE"""),"")</f>
        <v/>
      </c>
      <c r="AE109" s="6" t="str">
        <f>IFERROR(__xludf.DUMMYFUNCTION("""COMPUTED_VALUE"""),"")</f>
        <v/>
      </c>
      <c r="AF109" s="6" t="str">
        <f>IFERROR(__xludf.DUMMYFUNCTION("""COMPUTED_VALUE"""),"Не подтверждено")</f>
        <v>Не подтверждено</v>
      </c>
      <c r="AG109" s="6" t="str">
        <f>IFERROR(__xludf.DUMMYFUNCTION("""COMPUTED_VALUE"""),"")</f>
        <v/>
      </c>
      <c r="AH109" s="6" t="str">
        <f>IFERROR(__xludf.DUMMYFUNCTION("""COMPUTED_VALUE"""),"2026-09-11T11:47:49.888731+00:00")</f>
        <v>2026-09-11T11:47:49.888731+00:00</v>
      </c>
      <c r="AI109" s="6" t="str">
        <f>IFERROR(__xludf.DUMMYFUNCTION("""COMPUTED_VALUE"""),"raw/matesha_shad/page_001.html")</f>
        <v>raw/matesha_shad/page_001.html</v>
      </c>
      <c r="AJ109" s="9" t="s">
        <v>223</v>
      </c>
      <c r="AK109" s="9" t="s">
        <v>213</v>
      </c>
      <c r="AL109" s="9" t="s">
        <v>250</v>
      </c>
      <c r="AM109" s="9" t="s">
        <v>237</v>
      </c>
      <c r="AN109" s="4" t="str">
        <f>IFERROR(__xludf.DUMMYFUNCTION("IF(OR(AJ109=""general_brand"",AJ109=""external"",AJ109=""unknown""),"""",IF(AJ109=""product_line"",IF(AK109=""START"",""Аналитика старт | Алгоритмы старт | Backend старт | ML старт"",IF(AK109=""PRO"",""AI-агенты про | Алгоритмы про | Аналитика про | ML пр"&amp;"о | Backend про"",IF(AK109=""START | PRO"",""Аналитика старт | Алгоритмы старт | Backend старт | ML старт | AI-агенты про | Алгоритмы про | Аналитика про | ML про | Backend про"",""""))),TEXTJOIN("" | "",TRUE,IF(REGEXMATCH(LOWER(AL109&amp;"" | ""&amp;E109),""анал"&amp;"итика старт""),""Аналитика старт"",""""),IF(REGEXMATCH(LOWER(AL109&amp;"" | ""&amp;E109),""алгоритмы старт""),""Алгоритмы старт"",""""),IF(REGEXMATCH(LOWER(AL109&amp;"" | ""&amp;E109),""backend старт""),""Backend старт"",""""),IF(REGEXMATCH(LOWER(AL109&amp;"" | ""&amp;E109),""ml"&amp;" старт""),""ML старт"",""""),IF(REGEXMATCH(LOWER(AL109&amp;"" | ""&amp;E109),""ai[ -]?агент""),""AI-агенты про"",""""),IF(REGEXMATCH(LOWER(AL109&amp;"" | ""&amp;E109),""алгоритмы про""),""Алгоритмы про"",""""),IF(REGEXMATCH(LOWER(AL109&amp;"" | ""&amp;E109),""аналитика про""),"""&amp;"Аналитика про"",""""),IF(REGEXMATCH(LOWER(AL109&amp;"" | ""&amp;E109),""ml про""),""ML про"",""""),IF(REGEXMATCH(LOWER(AL109&amp;"" | ""&amp;E109),""backend про""),""Backend про"",""""),IF(REGEXMATCH(LOWER(AL109&amp;"" | ""&amp;E109),""(а/в|ав|а в|ab)[ -]?тест""),""А/В-тесты"","&amp;"""""),IF(REGEXMATCH(LOWER(AL109&amp;"" | ""&amp;E109),""data science""),""Data science"",""""),IF(REGEXMATCH(LOWER(AL109&amp;"" | ""&amp;E109),""data[- ]?инжен""),""Data-инженер"",""""),IF(REGEXMATCH(LOWER(AL109&amp;"" | ""&amp;E109),""frontend""),""Frontend"",""""))))"),"Аналитика старт | Алгоритмы старт | Backend старт | ML старт")</f>
        <v>Аналитика старт | Алгоритмы старт | Backend старт | ML старт</v>
      </c>
    </row>
    <row r="110">
      <c r="A110" s="6" t="str">
        <f>IFERROR(__xludf.DUMMYFUNCTION("""COMPUTED_VALUE"""),"EXT-10")</f>
        <v>EXT-10</v>
      </c>
      <c r="B110" s="6" t="str">
        <f>IFERROR(__xludf.DUMMYFUNCTION("""COMPUTED_VALUE"""),"2026-07-20 20:05:25")</f>
        <v>2026-07-20 20:05:25</v>
      </c>
      <c r="C110" s="6" t="str">
        <f>IFERROR(__xludf.DUMMYFUNCTION("""COMPUTED_VALUE"""),"@chad_protocol")</f>
        <v>@chad_protocol</v>
      </c>
      <c r="D110" s="4" t="str">
        <f>IFERROR(__xludf.DUMMYFUNCTION("""COMPUTED_VALUE"""),"Запуск / набор")</f>
        <v>Запуск / набор</v>
      </c>
      <c r="E110" s="6" t="str">
        <f>IFERROR(__xludf.DUMMYFUNCTION("""COMPUTED_VALUE"""),"")</f>
        <v/>
      </c>
      <c r="F110" s="6" t="str">
        <f>IFERROR(__xludf.DUMMYFUNCTION("""COMPUTED_VALUE"""),"")</f>
        <v/>
      </c>
      <c r="G110" s="10" t="str">
        <f>IFERROR(__xludf.DUMMYFUNCTION("""COMPUTED_VALUE"""),"https://t.me/chad_protocol/490")</f>
        <v>https://t.me/chad_protocol/490</v>
      </c>
      <c r="H110" s="6" t="str">
        <f>IFERROR(__xludf.DUMMYFUNCTION("""COMPUTED_VALUE"""),"Товарищи, мы обновили линейку СТАРТ и открываем новый набор! 🚀
Мы переработали программы: обновили темы, добавили новые кейсы и вопросы с реальных собеседований, усилили практику и запустили полноценный карьерный блок.
Если раньше упор был только на те"&amp;"хнические навыки, то теперь на курсе вы также научитесь:
— составлять сильное резюме;
— презентовать свой опыт, даже если коммерческой работы не было;
— искать вакансии и понимать, куда лучше откликаться;
— проходить HR-этапы и уверенно чувствовать себя н"&amp;"а всех интервью.
Открываем набор сразу на 4 направления:
- Аналитика
- Алгоритмы
- Backend
- Машинное обучение 
📎Кому подойдет СТАРТ?
Тем, кто:
— готовится к первой работе и хочет получить системную базу;
— уже проходит собеседования, но чувствует про"&amp;"белы;
— хочет попробовать направление на практике, прежде чем идти глубже;
— хочет за лето прокачаться и выйти на рынок уже с готовым портфолио.
Что будет на курсах?
➡️Аналитика
Освоим SQL, продуктовые метрики, дашборды и A/B-тесты. В качестве пет-проек"&amp;"та пройдете полный цикл АВ тестирования — от запроса в БД до презентации результатов. Именно так работает аналитик.
➡️Алгоритмы
Разберем всё, что действительно спрашивают на технических интервью: структуры данных, графы, динамическое программирование, де"&amp;"ревья, теория чисел и многое другое. Закроем фундамент для алгособеседований и контестов.
➡️Backend
Изучим архитектуру приложений, базы данных, Docker, gRPC и современные подходы к разработке. Итоговый пет-проект — полноценный сервис аналитики и прогнози"&amp;"рования цен криптовалют.
➡️Machine Learning
Метрики качества, классические алгоритмы, бустинг, нейронные сети и Transformer. Пет-проект — система кредитного скоринга. Без искусственных задач вроде «обучи свою LLM», только то, с чем реально сталкивается M"&amp;"L-инженер в начале карьеры.
Участникам курса также доступны: 
🔵разбор контеста донабора Т-банк, стажировки в Яндекс, Авито буткемп DS (DS только на мл старт);
🔵mock-собеседования с обратной связью;
🔵закрытый банк вопросов с реальных интервью Яндекса, "&amp;"Т-Банка, Ozon, WB, Авито и других компаний;
🔵банк тестовых заданий и задач из бигтеха;
🔵реферальную рекомендацию в бигтех после успешной защиты пет-проекта.
Курс длится 6 недель. Программа построена так, чтобы успевать осваивать теорию, выполнять домашн"&amp;"ие задания и постепенно делать пет-проект без перегруза. Все это время рядом преподаватель и куратор, которые помогают разобраться со сложными темами и отвечают на вопросы.
🔊Подробную программу и стоимость курсов смотрите на сайте
Дополнительные скидки:"&amp;" 
-500 ₽, если учились уже у нас на других курсах
-500 ₽, если берете с другом
Действует гарантия: прошел курс, выполнил все рекомендации, но не получил оффер — вернем деньги
📌Для вопросов и записи на курс напишите менеджеру")</f>
        <v>Товарищи, мы обновили линейку СТАРТ и открываем новый набор! 🚀
Мы переработали программы: обновили темы, добавили новые кейсы и вопросы с реальных собеседований, усилили практику и запустили полноценный карьерный блок.
Если раньше упор был только на технические навыки, то теперь на курсе вы также научитесь:
— составлять сильное резюме;
— презентовать свой опыт, даже если коммерческой работы не было;
— искать вакансии и понимать, куда лучше откликаться;
— проходить HR-этапы и уверенно чувствовать себя на всех интервью.
Открываем набор сразу на 4 направления:
- Аналитика
- Алгоритмы
- Backend
- Машинное обучение 
📎Кому подойдет СТАРТ?
Тем, кто:
— готовится к первой работе и хочет получить системную базу;
— уже проходит собеседования, но чувствует пробелы;
— хочет попробовать направление на практике, прежде чем идти глубже;
— хочет за лето прокачаться и выйти на рынок уже с готовым портфолио.
Что будет на курсах?
➡️Аналитика
Освоим SQL, продуктовые метрики, дашборды и A/B-тесты. В качестве пет-проекта пройдете полный цикл АВ тестирования — от запроса в БД до презентации результатов. Именно так работает аналитик.
➡️Алгоритмы
Разберем всё, что действительно спрашивают на технических интервью: структуры данных, графы, динамическое программирование, деревья, теория чисел и многое другое. Закроем фундамент для алгособеседований и контестов.
➡️Backend
Изучим архитектуру приложений, базы данных, Docker, gRPC и современные подходы к разработке. Итоговый пет-проект — полноценный сервис аналитики и прогнозирования цен криптовалют.
➡️Machine Learning
Метрики качества, классические алгоритмы, бустинг, нейронные сети и Transformer. Пет-проект — система кредитного скоринга. Без искусственных задач вроде «обучи свою LLM», только то, с чем реально сталкивается ML-инженер в начале карьеры.
Участникам курса также доступны: 
🔵разбор контеста донабора Т-банк, стажировки в Яндекс, Авито буткемп DS (DS только на мл старт);
🔵mock-собеседования с обратной связью;
🔵закрытый банк вопросов с реальных интервью Яндекса, Т-Банка, Ozon, WB, Авито и других компаний;
🔵банк тестовых заданий и задач из бигтеха;
🔵реферальную рекомендацию в бигтех после успешной защиты пет-проекта.
Курс длится 6 недель. Программа построена так, чтобы успевать осваивать теорию, выполнять домашние задания и постепенно делать пет-проект без перегруза. Все это время рядом преподаватель и куратор, которые помогают разобраться со сложными темами и отвечают на вопросы.
🔊Подробную программу и стоимость курсов смотрите на сайте
Дополнительные скидки: 
-500 ₽, если учились уже у нас на других курсах
-500 ₽, если берете с другом
Действует гарантия: прошел курс, выполнил все рекомендации, но не получил оффер — вернем деньги
📌Для вопросов и записи на курс напишите менеджеру</v>
      </c>
      <c r="I110" s="6" t="str">
        <f>IFERROR(__xludf.DUMMYFUNCTION("""COMPUTED_VALUE"""),"external")</f>
        <v>external</v>
      </c>
      <c r="J110" s="10" t="str">
        <f>IFERROR(__xludf.DUMMYFUNCTION("""COMPUTED_VALUE"""),"https://t.me/chad_protocol/490")</f>
        <v>https://t.me/chad_protocol/490</v>
      </c>
      <c r="K110" s="6">
        <f>IFERROR(__xludf.DUMMYFUNCTION("""COMPUTED_VALUE"""),4920.0)</f>
        <v>4920</v>
      </c>
      <c r="L110" s="6">
        <f>IFERROR(__xludf.DUMMYFUNCTION("""COMPUTED_VALUE"""),7.0)</f>
        <v>7</v>
      </c>
      <c r="M110" s="6"/>
      <c r="N110" s="6" t="str">
        <f>IFERROR(__xludf.DUMMYFUNCTION("""COMPUTED_VALUE"""),"Telegram")</f>
        <v>Telegram</v>
      </c>
      <c r="O110" s="6" t="str">
        <f>IFERROR(__xludf.DUMMYFUNCTION("""COMPUTED_VALUE"""),"raw")</f>
        <v>raw</v>
      </c>
      <c r="P110" s="6" t="str">
        <f>IFERROR(__xludf.DUMMYFUNCTION("""COMPUTED_VALUE"""),"Codex")</f>
        <v>Codex</v>
      </c>
      <c r="Q110" s="6" t="str">
        <f>IFERROR(__xludf.DUMMYFUNCTION("""COMPUTED_VALUE"""),"Общий контакт @vice22821; признак связи с проектом")</f>
        <v>Общий контакт @vice22821; признак связи с проектом</v>
      </c>
      <c r="R110" s="6" t="str">
        <f>IFERROR(__xludf.DUMMYFUNCTION("""COMPUTED_VALUE"""),"unknown")</f>
        <v>unknown</v>
      </c>
      <c r="S110" s="6" t="str">
        <f>IFERROR(__xludf.DUMMYFUNCTION("""COMPUTED_VALUE"""),"unknown")</f>
        <v>unknown</v>
      </c>
      <c r="T110" s="6" t="str">
        <f>IFERROR(__xludf.DUMMYFUNCTION("""COMPUTED_VALUE"""),"telegram_external")</f>
        <v>telegram_external</v>
      </c>
      <c r="U110" s="6" t="str">
        <f>IFERROR(__xludf.DUMMYFUNCTION("""COMPUTED_VALUE"""),"Запуск / набор")</f>
        <v>Запуск / набор</v>
      </c>
      <c r="V110" s="6" t="str">
        <f>IFERROR(__xludf.DUMMYFUNCTION("""COMPUTED_VALUE"""),"")</f>
        <v/>
      </c>
      <c r="W110" s="6" t="str">
        <f>IFERROR(__xludf.DUMMYFUNCTION("""COMPUTED_VALUE"""),"")</f>
        <v/>
      </c>
      <c r="X110" s="6" t="str">
        <f>IFERROR(__xludf.DUMMYFUNCTION("""COMPUTED_VALUE"""),"Forwarded from Поступашки - ШАД, Стажировки и Магистратура")</f>
        <v>Forwarded from Поступашки - ШАД, Стажировки и Магистратура</v>
      </c>
      <c r="Y110" s="6" t="str">
        <f>IFERROR(__xludf.DUMMYFUNCTION("""COMPUTED_VALUE"""),"https://t.me/postypashki_old/1757
https://old.postypashki.ru/%D0%BA%D0%B0%D1%80%D1%8C%D0%B5%D1%80%D0%BD%D1%8B%D0%B5-%D0%BA%D1%83%D1%80%D1%81%D1%8B/%D0%B0%D0%BD%D0%B0%D0%BB%D0%B8%D1%82%D0%B8%D0%BA%D0%B0-%D1%81%D1%82%D0%B0%D1%80%D1%82/
https://old.postypash"&amp;"ki.ru/%D0%BA%D0%B0%D1%80%D1%8C%D0%B5%D1%80%D0%BD%D1%8B%D0%B5-%D0%BA%D1%83%D1%80%D1%81%D1%8B/%D0%B0%D0%BB%D0%B3%D0%BE%D1%80%D0%B8%D1%82%D0%BC%D1%8B-%D1%81%D1%82%D0%B0%D1%80%D1%82/
https://old.postypashki.ru/%D0%BA%D0%B0%D1%80%D1%8C%D0%B5%D1%80%D0%BD%D1%8B%"&amp;"D0%B5-%D0%BA%D1%83%D1%80%D1%81%D1%8B/backend-%D1%81%D1%82%D0%B0%D1%80%D1%82/
https://old.postypashki.ru/%D0%BA%D0%B0%D1%80%D1%8C%D0%B5%D1%80%D0%BD%D1%8B%D0%B5-%D0%BA%D1%83%D1%80%D1%81%D1%8B/ml-%D1%81%D1%82%D0%B0%D1%80%D1%82/
https://old.postypashki.ru/%D0"&amp;"%BA%D0%B0%D1%80%D1%8C%D0%B5%D1%80%D0%BD%D1%8B%D0%B5-%D0%BA%D1%83%D1%80%D1%81%D1%8B/
https://t.me/m/p94YcePXNjcy")</f>
        <v>https://t.me/postypashki_old/1757
https://old.postypashki.ru/%D0%BA%D0%B0%D1%80%D1%8C%D0%B5%D1%80%D0%BD%D1%8B%D0%B5-%D0%BA%D1%83%D1%80%D1%81%D1%8B/%D0%B0%D0%BD%D0%B0%D0%BB%D0%B8%D1%82%D0%B8%D0%BA%D0%B0-%D1%81%D1%82%D0%B0%D1%80%D1%82/
https://old.postypashki.ru/%D0%BA%D0%B0%D1%80%D1%8C%D0%B5%D1%80%D0%BD%D1%8B%D0%B5-%D0%BA%D1%83%D1%80%D1%81%D1%8B/%D0%B0%D0%BB%D0%B3%D0%BE%D1%80%D0%B8%D1%82%D0%BC%D1%8B-%D1%81%D1%82%D0%B0%D1%80%D1%82/
https://old.postypashki.ru/%D0%BA%D0%B0%D1%80%D1%8C%D0%B5%D1%80%D0%BD%D1%8B%D0%B5-%D0%BA%D1%83%D1%80%D1%81%D1%8B/backend-%D1%81%D1%82%D0%B0%D1%80%D1%82/
https://old.postypashki.ru/%D0%BA%D0%B0%D1%80%D1%8C%D0%B5%D1%80%D0%BD%D1%8B%D0%B5-%D0%BA%D1%83%D1%80%D1%81%D1%8B/ml-%D1%81%D1%82%D0%B0%D1%80%D1%82/
https://old.postypashki.ru/%D0%BA%D0%B0%D1%80%D1%8C%D0%B5%D1%80%D0%BD%D1%8B%D0%B5-%D0%BA%D1%83%D1%80%D1%81%D1%8B/
https://t.me/m/p94YcePXNjcy</v>
      </c>
      <c r="Z110" s="6" t="b">
        <f>IFERROR(__xludf.DUMMYFUNCTION("""COMPUTED_VALUE"""),TRUE)</f>
        <v>1</v>
      </c>
      <c r="AA110" s="6" t="str">
        <f>IFERROR(__xludf.DUMMYFUNCTION("""COMPUTED_VALUE"""),"")</f>
        <v/>
      </c>
      <c r="AB110" s="6" t="str">
        <f>IFERROR(__xludf.DUMMYFUNCTION("""COMPUTED_VALUE"""),"")</f>
        <v/>
      </c>
      <c r="AC110" s="6" t="str">
        <f>IFERROR(__xludf.DUMMYFUNCTION("""COMPUTED_VALUE"""),"")</f>
        <v/>
      </c>
      <c r="AD110" s="6" t="str">
        <f>IFERROR(__xludf.DUMMYFUNCTION("""COMPUTED_VALUE"""),"")</f>
        <v/>
      </c>
      <c r="AE110" s="6" t="str">
        <f>IFERROR(__xludf.DUMMYFUNCTION("""COMPUTED_VALUE"""),"")</f>
        <v/>
      </c>
      <c r="AF110" s="6" t="str">
        <f>IFERROR(__xludf.DUMMYFUNCTION("""COMPUTED_VALUE"""),"Не подтверждено")</f>
        <v>Не подтверждено</v>
      </c>
      <c r="AG110" s="6" t="str">
        <f>IFERROR(__xludf.DUMMYFUNCTION("""COMPUTED_VALUE"""),"")</f>
        <v/>
      </c>
      <c r="AH110" s="6" t="str">
        <f>IFERROR(__xludf.DUMMYFUNCTION("""COMPUTED_VALUE"""),"2026-09-11T11:47:54.575643+00:00")</f>
        <v>2026-09-11T11:47:54.575643+00:00</v>
      </c>
      <c r="AI110" s="6" t="str">
        <f>IFERROR(__xludf.DUMMYFUNCTION("""COMPUTED_VALUE"""),"raw/chad_protocol/page_002.html")</f>
        <v>raw/chad_protocol/page_002.html</v>
      </c>
      <c r="AJ110" s="9" t="s">
        <v>223</v>
      </c>
      <c r="AK110" s="9" t="s">
        <v>213</v>
      </c>
      <c r="AL110" s="9" t="s">
        <v>250</v>
      </c>
      <c r="AM110" s="9" t="s">
        <v>237</v>
      </c>
      <c r="AN110" s="4" t="str">
        <f>IFERROR(__xludf.DUMMYFUNCTION("IF(OR(AJ110=""general_brand"",AJ110=""external"",AJ110=""unknown""),"""",IF(AJ110=""product_line"",IF(AK110=""START"",""Аналитика старт | Алгоритмы старт | Backend старт | ML старт"",IF(AK110=""PRO"",""AI-агенты про | Алгоритмы про | Аналитика про | ML пр"&amp;"о | Backend про"",IF(AK110=""START | PRO"",""Аналитика старт | Алгоритмы старт | Backend старт | ML старт | AI-агенты про | Алгоритмы про | Аналитика про | ML про | Backend про"",""""))),TEXTJOIN("" | "",TRUE,IF(REGEXMATCH(LOWER(AL110&amp;"" | ""&amp;E110),""анал"&amp;"итика старт""),""Аналитика старт"",""""),IF(REGEXMATCH(LOWER(AL110&amp;"" | ""&amp;E110),""алгоритмы старт""),""Алгоритмы старт"",""""),IF(REGEXMATCH(LOWER(AL110&amp;"" | ""&amp;E110),""backend старт""),""Backend старт"",""""),IF(REGEXMATCH(LOWER(AL110&amp;"" | ""&amp;E110),""ml"&amp;" старт""),""ML старт"",""""),IF(REGEXMATCH(LOWER(AL110&amp;"" | ""&amp;E110),""ai[ -]?агент""),""AI-агенты про"",""""),IF(REGEXMATCH(LOWER(AL110&amp;"" | ""&amp;E110),""алгоритмы про""),""Алгоритмы про"",""""),IF(REGEXMATCH(LOWER(AL110&amp;"" | ""&amp;E110),""аналитика про""),"""&amp;"Аналитика про"",""""),IF(REGEXMATCH(LOWER(AL110&amp;"" | ""&amp;E110),""ml про""),""ML про"",""""),IF(REGEXMATCH(LOWER(AL110&amp;"" | ""&amp;E110),""backend про""),""Backend про"",""""),IF(REGEXMATCH(LOWER(AL110&amp;"" | ""&amp;E110),""(а/в|ав|а в|ab)[ -]?тест""),""А/В-тесты"","&amp;"""""),IF(REGEXMATCH(LOWER(AL110&amp;"" | ""&amp;E110),""data science""),""Data science"",""""),IF(REGEXMATCH(LOWER(AL110&amp;"" | ""&amp;E110),""data[- ]?инжен""),""Data-инженер"",""""),IF(REGEXMATCH(LOWER(AL110&amp;"" | ""&amp;E110),""frontend""),""Frontend"",""""))))"),"Аналитика старт | Алгоритмы старт | Backend старт | ML старт")</f>
        <v>Аналитика старт | Алгоритмы старт | Backend старт | ML старт</v>
      </c>
    </row>
    <row r="111">
      <c r="A111" s="6" t="str">
        <f>IFERROR(__xludf.DUMMYFUNCTION("""COMPUTED_VALUE"""),"EXT-11")</f>
        <v>EXT-11</v>
      </c>
      <c r="B111" s="6" t="str">
        <f>IFERROR(__xludf.DUMMYFUNCTION("""COMPUTED_VALUE"""),"2026-07-20 18:55:12")</f>
        <v>2026-07-20 18:55:12</v>
      </c>
      <c r="C111" s="6" t="str">
        <f>IFERROR(__xludf.DUMMYFUNCTION("""COMPUTED_VALUE"""),"@zadachi_ds")</f>
        <v>@zadachi_ds</v>
      </c>
      <c r="D111" s="4" t="str">
        <f>IFERROR(__xludf.DUMMYFUNCTION("""COMPUTED_VALUE"""),"Контент с предложением курсов")</f>
        <v>Контент с предложением курсов</v>
      </c>
      <c r="E111" s="6" t="str">
        <f>IFERROR(__xludf.DUMMYFUNCTION("""COMPUTED_VALUE"""),"")</f>
        <v/>
      </c>
      <c r="F111" s="6" t="str">
        <f>IFERROR(__xludf.DUMMYFUNCTION("""COMPUTED_VALUE"""),"")</f>
        <v/>
      </c>
      <c r="G111" s="10" t="str">
        <f>IFERROR(__xludf.DUMMYFUNCTION("""COMPUTED_VALUE"""),"https://t.me/zadachi_ds/371")</f>
        <v>https://t.me/zadachi_ds/371</v>
      </c>
      <c r="H111" s="6" t="str">
        <f>IFERROR(__xludf.DUMMYFUNCTION("""COMPUTED_VALUE"""),"Слив собеседования на ML-разработчика в WB
Выкладываем запись мок-собеседования с курса ML СТАРТ. Если вы готовитесь к стажировкам или первой работе, рекомендую посмотреть! 
https://youtu.be/gKafz8pXto4
В записи собес с практикующим MLOps-инженером из "&amp;"WB.
Что спрашивают на собеседовании? 
— Python: почему set работает быстрее списка;
— классический ML: L1/L2-регуляризация, корреляция признаков, выбор модели;
— NLP: transfer learning и fine-tuning;
— продуктовые вопросы: как проверить, что новая модель "&amp;"действительно стала лучше.
Почти после каждого ответа интервьюер задаёт уточнение. Важно вспомнить определение, проверяют, насколько глубоко кандидат понимает тему и может объяснить свои рассуждения.
Такие мок-собеседования — обязательная часть ML СТАРТ"&amp;" и других карьерных курсов. После того как студенты проходят все основные темы, они тренируются проходить технические интервью с практикующими инженерами и получают подробную обратную связь.
Ждём на наших карьерных курсах. Вместе подготовимся к реальным "&amp;"собеседованиям и станем на шаг ближе к офферу 😎
📌Для вопросов и записи на курс напишите менеджеру")</f>
        <v>Слив собеседования на ML-разработчика в WB
Выкладываем запись мок-собеседования с курса ML СТАРТ. Если вы готовитесь к стажировкам или первой работе, рекомендую посмотреть! 
https://youtu.be/gKafz8pXto4
В записи собес с практикующим MLOps-инженером из WB.
Что спрашивают на собеседовании? 
— Python: почему set работает быстрее списка;
— классический ML: L1/L2-регуляризация, корреляция признаков, выбор модели;
— NLP: transfer learning и fine-tuning;
— продуктовые вопросы: как проверить, что новая модель действительно стала лучше.
Почти после каждого ответа интервьюер задаёт уточнение. Важно вспомнить определение, проверяют, насколько глубоко кандидат понимает тему и может объяснить свои рассуждения.
Такие мок-собеседования — обязательная часть ML СТАРТ и других карьерных курсов. После того как студенты проходят все основные темы, они тренируются проходить технические интервью с практикующими инженерами и получают подробную обратную связь.
Ждём на наших карьерных курсах. Вместе подготовимся к реальным собеседованиям и станем на шаг ближе к офферу 😎
📌Для вопросов и записи на курс напишите менеджеру</v>
      </c>
      <c r="I111" s="6" t="str">
        <f>IFERROR(__xludf.DUMMYFUNCTION("""COMPUTED_VALUE"""),"external")</f>
        <v>external</v>
      </c>
      <c r="J111" s="10" t="str">
        <f>IFERROR(__xludf.DUMMYFUNCTION("""COMPUTED_VALUE"""),"https://t.me/zadachi_ds/371")</f>
        <v>https://t.me/zadachi_ds/371</v>
      </c>
      <c r="K111" s="6">
        <f>IFERROR(__xludf.DUMMYFUNCTION("""COMPUTED_VALUE"""),4690.0)</f>
        <v>4690</v>
      </c>
      <c r="L111" s="6">
        <f>IFERROR(__xludf.DUMMYFUNCTION("""COMPUTED_VALUE"""),1.0)</f>
        <v>1</v>
      </c>
      <c r="M111" s="6"/>
      <c r="N111" s="6" t="str">
        <f>IFERROR(__xludf.DUMMYFUNCTION("""COMPUTED_VALUE"""),"Telegram")</f>
        <v>Telegram</v>
      </c>
      <c r="O111" s="6" t="str">
        <f>IFERROR(__xludf.DUMMYFUNCTION("""COMPUTED_VALUE"""),"raw")</f>
        <v>raw</v>
      </c>
      <c r="P111" s="6" t="str">
        <f>IFERROR(__xludf.DUMMYFUNCTION("""COMPUTED_VALUE"""),"Codex")</f>
        <v>Codex</v>
      </c>
      <c r="Q111" s="6" t="str">
        <f>IFERROR(__xludf.DUMMYFUNCTION("""COMPUTED_VALUE"""),"Общий контакт @vice22821; признак связи с проектом")</f>
        <v>Общий контакт @vice22821; признак связи с проектом</v>
      </c>
      <c r="R111" s="6" t="str">
        <f>IFERROR(__xludf.DUMMYFUNCTION("""COMPUTED_VALUE"""),"unknown")</f>
        <v>unknown</v>
      </c>
      <c r="S111" s="6" t="str">
        <f>IFERROR(__xludf.DUMMYFUNCTION("""COMPUTED_VALUE"""),"unknown")</f>
        <v>unknown</v>
      </c>
      <c r="T111" s="6" t="str">
        <f>IFERROR(__xludf.DUMMYFUNCTION("""COMPUTED_VALUE"""),"telegram_external")</f>
        <v>telegram_external</v>
      </c>
      <c r="U111" s="6" t="str">
        <f>IFERROR(__xludf.DUMMYFUNCTION("""COMPUTED_VALUE"""),"Контент с предложением курсов")</f>
        <v>Контент с предложением курсов</v>
      </c>
      <c r="V111" s="6" t="str">
        <f>IFERROR(__xludf.DUMMYFUNCTION("""COMPUTED_VALUE"""),"")</f>
        <v/>
      </c>
      <c r="W111" s="6" t="str">
        <f>IFERROR(__xludf.DUMMYFUNCTION("""COMPUTED_VALUE"""),"")</f>
        <v/>
      </c>
      <c r="X111" s="6"/>
      <c r="Y111" s="6" t="str">
        <f>IFERROR(__xludf.DUMMYFUNCTION("""COMPUTED_VALUE"""),"https://old.postypashki.ru/%D0%BA%D0%B0%D1%80%D1%8C%D0%B5%D1%80%D0%BD%D1%8B%D0%B5-%D0%BA%D1%83%D1%80%D1%81%D1%8B/ml-%D1%81%D1%82%D0%B0%D1%80%D1%82/
https://t.me/postypashki_old/1757
https://t.me/m/p94YcePXNjcy")</f>
        <v>https://old.postypashki.ru/%D0%BA%D0%B0%D1%80%D1%8C%D0%B5%D1%80%D0%BD%D1%8B%D0%B5-%D0%BA%D1%83%D1%80%D1%81%D1%8B/ml-%D1%81%D1%82%D0%B0%D1%80%D1%82/
https://t.me/postypashki_old/1757
https://t.me/m/p94YcePXNjcy</v>
      </c>
      <c r="Z111" s="6" t="b">
        <f>IFERROR(__xludf.DUMMYFUNCTION("""COMPUTED_VALUE"""),TRUE)</f>
        <v>1</v>
      </c>
      <c r="AA111" s="6" t="str">
        <f>IFERROR(__xludf.DUMMYFUNCTION("""COMPUTED_VALUE"""),"")</f>
        <v/>
      </c>
      <c r="AB111" s="6" t="str">
        <f>IFERROR(__xludf.DUMMYFUNCTION("""COMPUTED_VALUE"""),"")</f>
        <v/>
      </c>
      <c r="AC111" s="6" t="str">
        <f>IFERROR(__xludf.DUMMYFUNCTION("""COMPUTED_VALUE"""),"")</f>
        <v/>
      </c>
      <c r="AD111" s="6" t="str">
        <f>IFERROR(__xludf.DUMMYFUNCTION("""COMPUTED_VALUE"""),"")</f>
        <v/>
      </c>
      <c r="AE111" s="6" t="str">
        <f>IFERROR(__xludf.DUMMYFUNCTION("""COMPUTED_VALUE"""),"")</f>
        <v/>
      </c>
      <c r="AF111" s="6" t="str">
        <f>IFERROR(__xludf.DUMMYFUNCTION("""COMPUTED_VALUE"""),"Не подтверждено")</f>
        <v>Не подтверждено</v>
      </c>
      <c r="AG111" s="6" t="str">
        <f>IFERROR(__xludf.DUMMYFUNCTION("""COMPUTED_VALUE"""),"")</f>
        <v/>
      </c>
      <c r="AH111" s="6" t="str">
        <f>IFERROR(__xludf.DUMMYFUNCTION("""COMPUTED_VALUE"""),"2026-09-11T11:47:41.193466+00:00")</f>
        <v>2026-09-11T11:47:41.193466+00:00</v>
      </c>
      <c r="AI111" s="6" t="str">
        <f>IFERROR(__xludf.DUMMYFUNCTION("""COMPUTED_VALUE"""),"raw/zadachi_ds/page_001.html")</f>
        <v>raw/zadachi_ds/page_001.html</v>
      </c>
      <c r="AJ111" s="9" t="s">
        <v>224</v>
      </c>
      <c r="AK111" s="9" t="s">
        <v>213</v>
      </c>
      <c r="AL111" s="9" t="s">
        <v>225</v>
      </c>
      <c r="AM111" s="9" t="s">
        <v>226</v>
      </c>
      <c r="AN111" s="4" t="str">
        <f>IFERROR(__xludf.DUMMYFUNCTION("IF(OR(AJ111=""general_brand"",AJ111=""external"",AJ111=""unknown""),"""",IF(AJ111=""product_line"",IF(AK111=""START"",""Аналитика старт | Алгоритмы старт | Backend старт | ML старт"",IF(AK111=""PRO"",""AI-агенты про | Алгоритмы про | Аналитика про | ML пр"&amp;"о | Backend про"",IF(AK111=""START | PRO"",""Аналитика старт | Алгоритмы старт | Backend старт | ML старт | AI-агенты про | Алгоритмы про | Аналитика про | ML про | Backend про"",""""))),TEXTJOIN("" | "",TRUE,IF(REGEXMATCH(LOWER(AL111&amp;"" | ""&amp;E111),""анал"&amp;"итика старт""),""Аналитика старт"",""""),IF(REGEXMATCH(LOWER(AL111&amp;"" | ""&amp;E111),""алгоритмы старт""),""Алгоритмы старт"",""""),IF(REGEXMATCH(LOWER(AL111&amp;"" | ""&amp;E111),""backend старт""),""Backend старт"",""""),IF(REGEXMATCH(LOWER(AL111&amp;"" | ""&amp;E111),""ml"&amp;" старт""),""ML старт"",""""),IF(REGEXMATCH(LOWER(AL111&amp;"" | ""&amp;E111),""ai[ -]?агент""),""AI-агенты про"",""""),IF(REGEXMATCH(LOWER(AL111&amp;"" | ""&amp;E111),""алгоритмы про""),""Алгоритмы про"",""""),IF(REGEXMATCH(LOWER(AL111&amp;"" | ""&amp;E111),""аналитика про""),"""&amp;"Аналитика про"",""""),IF(REGEXMATCH(LOWER(AL111&amp;"" | ""&amp;E111),""ml про""),""ML про"",""""),IF(REGEXMATCH(LOWER(AL111&amp;"" | ""&amp;E111),""backend про""),""Backend про"",""""),IF(REGEXMATCH(LOWER(AL111&amp;"" | ""&amp;E111),""(а/в|ав|а в|ab)[ -]?тест""),""А/В-тесты"","&amp;"""""),IF(REGEXMATCH(LOWER(AL111&amp;"" | ""&amp;E111),""data science""),""Data science"",""""),IF(REGEXMATCH(LOWER(AL111&amp;"" | ""&amp;E111),""data[- ]?инжен""),""Data-инженер"",""""),IF(REGEXMATCH(LOWER(AL111&amp;"" | ""&amp;E111),""frontend""),""Frontend"",""""))))"),"ML старт")</f>
        <v>ML старт</v>
      </c>
    </row>
    <row r="112">
      <c r="A112" s="6" t="str">
        <f>IFERROR(__xludf.DUMMYFUNCTION("""COMPUTED_VALUE"""),"EXT-12")</f>
        <v>EXT-12</v>
      </c>
      <c r="B112" s="6" t="str">
        <f>IFERROR(__xludf.DUMMYFUNCTION("""COMPUTED_VALUE"""),"2026-07-22 19:05:34")</f>
        <v>2026-07-22 19:05:34</v>
      </c>
      <c r="C112" s="6" t="str">
        <f>IFERROR(__xludf.DUMMYFUNCTION("""COMPUTED_VALUE"""),"@algoses")</f>
        <v>@algoses</v>
      </c>
      <c r="D112" s="4" t="str">
        <f>IFERROR(__xludf.DUMMYFUNCTION("""COMPUTED_VALUE"""),"Прочий контент")</f>
        <v>Прочий контент</v>
      </c>
      <c r="E112" s="6" t="str">
        <f>IFERROR(__xludf.DUMMYFUNCTION("""COMPUTED_VALUE"""),"")</f>
        <v/>
      </c>
      <c r="F112" s="6" t="str">
        <f>IFERROR(__xludf.DUMMYFUNCTION("""COMPUTED_VALUE"""),"")</f>
        <v/>
      </c>
      <c r="G112" s="10" t="str">
        <f>IFERROR(__xludf.DUMMYFUNCTION("""COMPUTED_VALUE"""),"https://t.me/algoses/579")</f>
        <v>https://t.me/algoses/579</v>
      </c>
      <c r="H112" s="6" t="str">
        <f>IFERROR(__xludf.DUMMYFUNCTION("""COMPUTED_VALUE"""),"Скоро начнутся отборы на осенние стажировки. Самое время обсудить на какие программы обратить свое внимание в первую очередь и как гарантировано пройти отбор! Смотрим! Смотрим!
https://www.youtube.com/watch?v=8QxduqUBn3g")</f>
        <v>Скоро начнутся отборы на осенние стажировки. Самое время обсудить на какие программы обратить свое внимание в первую очередь и как гарантировано пройти отбор! Смотрим! Смотрим!
https://www.youtube.com/watch?v=8QxduqUBn3g</v>
      </c>
      <c r="I112" s="6" t="str">
        <f>IFERROR(__xludf.DUMMYFUNCTION("""COMPUTED_VALUE"""),"external")</f>
        <v>external</v>
      </c>
      <c r="J112" s="10" t="str">
        <f>IFERROR(__xludf.DUMMYFUNCTION("""COMPUTED_VALUE"""),"https://t.me/algoses/579")</f>
        <v>https://t.me/algoses/579</v>
      </c>
      <c r="K112" s="6">
        <f>IFERROR(__xludf.DUMMYFUNCTION("""COMPUTED_VALUE"""),2150.0)</f>
        <v>2150</v>
      </c>
      <c r="L112" s="6">
        <f>IFERROR(__xludf.DUMMYFUNCTION("""COMPUTED_VALUE"""),2.0)</f>
        <v>2</v>
      </c>
      <c r="M112" s="6"/>
      <c r="N112" s="6" t="str">
        <f>IFERROR(__xludf.DUMMYFUNCTION("""COMPUTED_VALUE"""),"Telegram")</f>
        <v>Telegram</v>
      </c>
      <c r="O112" s="6" t="str">
        <f>IFERROR(__xludf.DUMMYFUNCTION("""COMPUTED_VALUE"""),"raw")</f>
        <v>raw</v>
      </c>
      <c r="P112" s="6" t="str">
        <f>IFERROR(__xludf.DUMMYFUNCTION("""COMPUTED_VALUE"""),"Codex")</f>
        <v>Codex</v>
      </c>
      <c r="Q112" s="6" t="str">
        <f>IFERROR(__xludf.DUMMYFUNCTION("""COMPUTED_VALUE"""),"Общий контакт @vice22821; признак связи с проектом")</f>
        <v>Общий контакт @vice22821; признак связи с проектом</v>
      </c>
      <c r="R112" s="6" t="str">
        <f>IFERROR(__xludf.DUMMYFUNCTION("""COMPUTED_VALUE"""),"unknown")</f>
        <v>unknown</v>
      </c>
      <c r="S112" s="6" t="str">
        <f>IFERROR(__xludf.DUMMYFUNCTION("""COMPUTED_VALUE"""),"unknown")</f>
        <v>unknown</v>
      </c>
      <c r="T112" s="6" t="str">
        <f>IFERROR(__xludf.DUMMYFUNCTION("""COMPUTED_VALUE"""),"telegram_external")</f>
        <v>telegram_external</v>
      </c>
      <c r="U112" s="6" t="str">
        <f>IFERROR(__xludf.DUMMYFUNCTION("""COMPUTED_VALUE"""),"Прочий контент")</f>
        <v>Прочий контент</v>
      </c>
      <c r="V112" s="6" t="str">
        <f>IFERROR(__xludf.DUMMYFUNCTION("""COMPUTED_VALUE"""),"")</f>
        <v/>
      </c>
      <c r="W112" s="6" t="str">
        <f>IFERROR(__xludf.DUMMYFUNCTION("""COMPUTED_VALUE"""),"")</f>
        <v/>
      </c>
      <c r="X112" s="6" t="str">
        <f>IFERROR(__xludf.DUMMYFUNCTION("""COMPUTED_VALUE"""),"Forwarded from Поступашки - ШАД, Стажировки и Магистратура")</f>
        <v>Forwarded from Поступашки - ШАД, Стажировки и Магистратура</v>
      </c>
      <c r="Y112" s="10" t="str">
        <f>IFERROR(__xludf.DUMMYFUNCTION("""COMPUTED_VALUE"""),"https://t.me/postypashki_old/1805")</f>
        <v>https://t.me/postypashki_old/1805</v>
      </c>
      <c r="Z112" s="6" t="b">
        <f>IFERROR(__xludf.DUMMYFUNCTION("""COMPUTED_VALUE"""),FALSE)</f>
        <v>0</v>
      </c>
      <c r="AA112" s="6" t="str">
        <f>IFERROR(__xludf.DUMMYFUNCTION("""COMPUTED_VALUE"""),"")</f>
        <v/>
      </c>
      <c r="AB112" s="6" t="str">
        <f>IFERROR(__xludf.DUMMYFUNCTION("""COMPUTED_VALUE"""),"")</f>
        <v/>
      </c>
      <c r="AC112" s="6" t="str">
        <f>IFERROR(__xludf.DUMMYFUNCTION("""COMPUTED_VALUE"""),"")</f>
        <v/>
      </c>
      <c r="AD112" s="6" t="str">
        <f>IFERROR(__xludf.DUMMYFUNCTION("""COMPUTED_VALUE"""),"")</f>
        <v/>
      </c>
      <c r="AE112" s="6" t="str">
        <f>IFERROR(__xludf.DUMMYFUNCTION("""COMPUTED_VALUE"""),"")</f>
        <v/>
      </c>
      <c r="AF112" s="6" t="str">
        <f>IFERROR(__xludf.DUMMYFUNCTION("""COMPUTED_VALUE"""),"Не подтверждено")</f>
        <v>Не подтверждено</v>
      </c>
      <c r="AG112" s="6" t="str">
        <f>IFERROR(__xludf.DUMMYFUNCTION("""COMPUTED_VALUE"""),"")</f>
        <v/>
      </c>
      <c r="AH112" s="6" t="str">
        <f>IFERROR(__xludf.DUMMYFUNCTION("""COMPUTED_VALUE"""),"2026-09-11T11:47:47.300991+00:00")</f>
        <v>2026-09-11T11:47:47.300991+00:00</v>
      </c>
      <c r="AI112" s="6" t="str">
        <f>IFERROR(__xludf.DUMMYFUNCTION("""COMPUTED_VALUE"""),"raw/algoses/page_002.html")</f>
        <v>raw/algoses/page_002.html</v>
      </c>
      <c r="AJ112" s="9" t="s">
        <v>208</v>
      </c>
      <c r="AM112" s="9" t="s">
        <v>219</v>
      </c>
      <c r="AN112" s="6" t="str">
        <f>IFERROR(__xludf.DUMMYFUNCTION("IF(OR(AJ112=""general_brand"",AJ112=""external"",AJ112=""unknown""),"""",IF(AJ112=""product_line"",IF(AK112=""START"",""Аналитика старт | Алгоритмы старт | Backend старт | ML старт"",IF(AK112=""PRO"",""AI-агенты про | Алгоритмы про | Аналитика про | ML пр"&amp;"о | Backend про"",IF(AK112=""START | PRO"",""Аналитика старт | Алгоритмы старт | Backend старт | ML старт | AI-агенты про | Алгоритмы про | Аналитика про | ML про | Backend про"",""""))),TEXTJOIN("" | "",TRUE,IF(REGEXMATCH(LOWER(AL112&amp;"" | ""&amp;E112),""анал"&amp;"итика старт""),""Аналитика старт"",""""),IF(REGEXMATCH(LOWER(AL112&amp;"" | ""&amp;E112),""алгоритмы старт""),""Алгоритмы старт"",""""),IF(REGEXMATCH(LOWER(AL112&amp;"" | ""&amp;E112),""backend старт""),""Backend старт"",""""),IF(REGEXMATCH(LOWER(AL112&amp;"" | ""&amp;E112),""ml"&amp;" старт""),""ML старт"",""""),IF(REGEXMATCH(LOWER(AL112&amp;"" | ""&amp;E112),""ai[ -]?агент""),""AI-агенты про"",""""),IF(REGEXMATCH(LOWER(AL112&amp;"" | ""&amp;E112),""алгоритмы про""),""Алгоритмы про"",""""),IF(REGEXMATCH(LOWER(AL112&amp;"" | ""&amp;E112),""аналитика про""),"""&amp;"Аналитика про"",""""),IF(REGEXMATCH(LOWER(AL112&amp;"" | ""&amp;E112),""ml про""),""ML про"",""""),IF(REGEXMATCH(LOWER(AL112&amp;"" | ""&amp;E112),""backend про""),""Backend про"",""""),IF(REGEXMATCH(LOWER(AL112&amp;"" | ""&amp;E112),""(а/в|ав|а в|ab)[ -]?тест""),""А/В-тесты"","&amp;"""""),IF(REGEXMATCH(LOWER(AL112&amp;"" | ""&amp;E112),""data science""),""Data science"",""""),IF(REGEXMATCH(LOWER(AL112&amp;"" | ""&amp;E112),""data[- ]?инжен""),""Data-инженер"",""""),IF(REGEXMATCH(LOWER(AL112&amp;"" | ""&amp;E112),""frontend""),""Frontend"",""""))))"),"")</f>
        <v/>
      </c>
    </row>
    <row r="113">
      <c r="A113" s="6" t="str">
        <f>IFERROR(__xludf.DUMMYFUNCTION("""COMPUTED_VALUE"""),"EXT-13")</f>
        <v>EXT-13</v>
      </c>
      <c r="B113" s="6" t="str">
        <f>IFERROR(__xludf.DUMMYFUNCTION("""COMPUTED_VALUE"""),"2026-07-23 20:35:24")</f>
        <v>2026-07-23 20:35:24</v>
      </c>
      <c r="C113" s="6" t="str">
        <f>IFERROR(__xludf.DUMMYFUNCTION("""COMPUTED_VALUE"""),"@chad_protocol")</f>
        <v>@chad_protocol</v>
      </c>
      <c r="D113" s="4" t="str">
        <f>IFERROR(__xludf.DUMMYFUNCTION("""COMPUTED_VALUE"""),"Бесплатное событие / лид-магнит")</f>
        <v>Бесплатное событие / лид-магнит</v>
      </c>
      <c r="E113" s="6" t="str">
        <f>IFERROR(__xludf.DUMMYFUNCTION("""COMPUTED_VALUE"""),"")</f>
        <v/>
      </c>
      <c r="F113" s="6" t="str">
        <f>IFERROR(__xludf.DUMMYFUNCTION("""COMPUTED_VALUE"""),"")</f>
        <v/>
      </c>
      <c r="G113" s="10" t="str">
        <f>IFERROR(__xludf.DUMMYFUNCTION("""COMPUTED_VALUE"""),"https://t.me/chad_protocol/495")</f>
        <v>https://t.me/chad_protocol/495</v>
      </c>
      <c r="H113" s="6" t="str">
        <f>IFERROR(__xludf.DUMMYFUNCTION("""COMPUTED_VALUE"""),"ИИ ВСЕХ ЗАМЕНИТ! ЧТО ДЕЛАТЬ?
По результатам нашего опроса, 50% считает, что первые с рынка уйдут бэкендеры. Ещё 39% голосуют за аналитиков, а ML-специалисты пока чувствуют себя увереннее всех — за них отдали всего 11%.
Но кто на самом деле находится под"&amp;" угрозой?
В эту субботу в 19:00 устроим дебаты про ИИ. Преподаватели наших направлений по ML, аналитике и backend попробуют доказать, почему именно их профессия переживёт развитие нейросетей, а работа коллег изменится первой.
Обсудим:
— какие задачи ИИ "&amp;"уже забирает у специалистов;
— где нейросети пока не могут заменить человека;
— какие навыки скоро станут бесполезными;
— чему учиться сейчас, чтобы не остаться без работы через пару лет.
Будет жаркий спор трёх специалистов с большим опытом, но с  разным"&amp;"и взглядами на будущее рынка.
Ну а ведущий эфира - легендарный Михаил Абрамович 😎
📅 Суббота, 19:00
🔗 Ссылка будет за 2 часа до эфира и в нашем боте @Postupashkianalitycsbot")</f>
        <v>ИИ ВСЕХ ЗАМЕНИТ! ЧТО ДЕЛАТЬ?
По результатам нашего опроса, 50% считает, что первые с рынка уйдут бэкендеры. Ещё 39% голосуют за аналитиков, а ML-специалисты пока чувствуют себя увереннее всех — за них отдали всего 11%.
Но кто на самом деле находится под угрозой?
В эту субботу в 19:00 устроим дебаты про ИИ. Преподаватели наших направлений по ML, аналитике и backend попробуют доказать, почему именно их профессия переживёт развитие нейросетей, а работа коллег изменится первой.
Обсудим:
— какие задачи ИИ уже забирает у специалистов;
— где нейросети пока не могут заменить человека;
— какие навыки скоро станут бесполезными;
— чему учиться сейчас, чтобы не остаться без работы через пару лет.
Будет жаркий спор трёх специалистов с большим опытом, но с  разными взглядами на будущее рынка.
Ну а ведущий эфира - легендарный Михаил Абрамович 😎
📅 Суббота, 19:00
🔗 Ссылка будет за 2 часа до эфира и в нашем боте @Postupashkianalitycsbot</v>
      </c>
      <c r="I113" s="6" t="str">
        <f>IFERROR(__xludf.DUMMYFUNCTION("""COMPUTED_VALUE"""),"external")</f>
        <v>external</v>
      </c>
      <c r="J113" s="10" t="str">
        <f>IFERROR(__xludf.DUMMYFUNCTION("""COMPUTED_VALUE"""),"https://t.me/chad_protocol/495")</f>
        <v>https://t.me/chad_protocol/495</v>
      </c>
      <c r="K113" s="6">
        <f>IFERROR(__xludf.DUMMYFUNCTION("""COMPUTED_VALUE"""),3930.0)</f>
        <v>3930</v>
      </c>
      <c r="L113" s="6">
        <f>IFERROR(__xludf.DUMMYFUNCTION("""COMPUTED_VALUE"""),14.0)</f>
        <v>14</v>
      </c>
      <c r="M113" s="6"/>
      <c r="N113" s="6" t="str">
        <f>IFERROR(__xludf.DUMMYFUNCTION("""COMPUTED_VALUE"""),"Telegram")</f>
        <v>Telegram</v>
      </c>
      <c r="O113" s="6" t="str">
        <f>IFERROR(__xludf.DUMMYFUNCTION("""COMPUTED_VALUE"""),"raw")</f>
        <v>raw</v>
      </c>
      <c r="P113" s="6" t="str">
        <f>IFERROR(__xludf.DUMMYFUNCTION("""COMPUTED_VALUE"""),"Codex")</f>
        <v>Codex</v>
      </c>
      <c r="Q113" s="6" t="str">
        <f>IFERROR(__xludf.DUMMYFUNCTION("""COMPUTED_VALUE"""),"Общий контакт @vice22821; признак связи с проектом")</f>
        <v>Общий контакт @vice22821; признак связи с проектом</v>
      </c>
      <c r="R113" s="6" t="str">
        <f>IFERROR(__xludf.DUMMYFUNCTION("""COMPUTED_VALUE"""),"unknown")</f>
        <v>unknown</v>
      </c>
      <c r="S113" s="6" t="str">
        <f>IFERROR(__xludf.DUMMYFUNCTION("""COMPUTED_VALUE"""),"unknown")</f>
        <v>unknown</v>
      </c>
      <c r="T113" s="6" t="str">
        <f>IFERROR(__xludf.DUMMYFUNCTION("""COMPUTED_VALUE"""),"telegram_external")</f>
        <v>telegram_external</v>
      </c>
      <c r="U113" s="6" t="str">
        <f>IFERROR(__xludf.DUMMYFUNCTION("""COMPUTED_VALUE"""),"Бесплатное событие / лид-магнит")</f>
        <v>Бесплатное событие / лид-магнит</v>
      </c>
      <c r="V113" s="6" t="str">
        <f>IFERROR(__xludf.DUMMYFUNCTION("""COMPUTED_VALUE"""),"")</f>
        <v/>
      </c>
      <c r="W113" s="6" t="str">
        <f>IFERROR(__xludf.DUMMYFUNCTION("""COMPUTED_VALUE"""),"")</f>
        <v/>
      </c>
      <c r="X113" s="6" t="str">
        <f>IFERROR(__xludf.DUMMYFUNCTION("""COMPUTED_VALUE"""),"Forwarded from Поступашки - ШАД, Стажировки и Магистратура")</f>
        <v>Forwarded from Поступашки - ШАД, Стажировки и Магистратура</v>
      </c>
      <c r="Y113" s="6" t="str">
        <f>IFERROR(__xludf.DUMMYFUNCTION("""COMPUTED_VALUE"""),"https://t.me/postypashki_old/1808
https://old.postypashki.ru/%D0%BA%D0%B0%D1%80%D1%8C%D0%B5%D1%80%D0%BD%D1%8B%D0%B5-%D0%BA%D1%83%D1%80%D1%81%D1%8B/ml-%D1%81%D1%82%D0%B0%D1%80%D1%82/
https://old.postypashki.ru/%D0%BA%D0%B0%D1%80%D1%8C%D0%B5%D1%80%D0%BD%D1%"&amp;"8B%D0%B5-%D0%BA%D1%83%D1%80%D1%81%D1%8B/%D0%B0%D0%BD%D0%B0%D0%BB%D0%B8%D1%82%D0%B8%D0%BA%D0%B0-%D1%81%D1%82%D0%B0%D1%80%D1%82/
https://old.postypashki.ru/%D0%BA%D0%B0%D1%80%D1%8C%D0%B5%D1%80%D0%BD%D1%8B%D0%B5-%D0%BA%D1%83%D1%80%D1%81%D1%8B/backend-%D1%81%"&amp;"D1%82%D0%B0%D1%80%D1%82/")</f>
        <v>https://t.me/postypashki_old/1808
https://old.postypashki.ru/%D0%BA%D0%B0%D1%80%D1%8C%D0%B5%D1%80%D0%BD%D1%8B%D0%B5-%D0%BA%D1%83%D1%80%D1%81%D1%8B/ml-%D1%81%D1%82%D0%B0%D1%80%D1%82/
https://old.postypashki.ru/%D0%BA%D0%B0%D1%80%D1%8C%D0%B5%D1%80%D0%BD%D1%8B%D0%B5-%D0%BA%D1%83%D1%80%D1%81%D1%8B/%D0%B0%D0%BD%D0%B0%D0%BB%D0%B8%D1%82%D0%B8%D0%BA%D0%B0-%D1%81%D1%82%D0%B0%D1%80%D1%82/
https://old.postypashki.ru/%D0%BA%D0%B0%D1%80%D1%8C%D0%B5%D1%80%D0%BD%D1%8B%D0%B5-%D0%BA%D1%83%D1%80%D1%81%D1%8B/backend-%D1%81%D1%82%D0%B0%D1%80%D1%82/</v>
      </c>
      <c r="Z113" s="6" t="b">
        <f>IFERROR(__xludf.DUMMYFUNCTION("""COMPUTED_VALUE"""),TRUE)</f>
        <v>1</v>
      </c>
      <c r="AA113" s="6" t="str">
        <f>IFERROR(__xludf.DUMMYFUNCTION("""COMPUTED_VALUE"""),"")</f>
        <v/>
      </c>
      <c r="AB113" s="6" t="str">
        <f>IFERROR(__xludf.DUMMYFUNCTION("""COMPUTED_VALUE"""),"")</f>
        <v/>
      </c>
      <c r="AC113" s="6" t="str">
        <f>IFERROR(__xludf.DUMMYFUNCTION("""COMPUTED_VALUE"""),"")</f>
        <v/>
      </c>
      <c r="AD113" s="6" t="str">
        <f>IFERROR(__xludf.DUMMYFUNCTION("""COMPUTED_VALUE"""),"")</f>
        <v/>
      </c>
      <c r="AE113" s="6" t="str">
        <f>IFERROR(__xludf.DUMMYFUNCTION("""COMPUTED_VALUE"""),"")</f>
        <v/>
      </c>
      <c r="AF113" s="6" t="str">
        <f>IFERROR(__xludf.DUMMYFUNCTION("""COMPUTED_VALUE"""),"Не подтверждено")</f>
        <v>Не подтверждено</v>
      </c>
      <c r="AG113" s="6" t="str">
        <f>IFERROR(__xludf.DUMMYFUNCTION("""COMPUTED_VALUE"""),"")</f>
        <v/>
      </c>
      <c r="AH113" s="6" t="str">
        <f>IFERROR(__xludf.DUMMYFUNCTION("""COMPUTED_VALUE"""),"2026-09-11T11:47:52.658878+00:00")</f>
        <v>2026-09-11T11:47:52.658878+00:00</v>
      </c>
      <c r="AI113" s="6" t="str">
        <f>IFERROR(__xludf.DUMMYFUNCTION("""COMPUTED_VALUE"""),"raw/chad_protocol/page_001.html")</f>
        <v>raw/chad_protocol/page_001.html</v>
      </c>
      <c r="AJ113" s="9" t="s">
        <v>208</v>
      </c>
      <c r="AM113" s="9" t="s">
        <v>229</v>
      </c>
      <c r="AN113" s="6" t="str">
        <f>IFERROR(__xludf.DUMMYFUNCTION("IF(OR(AJ113=""general_brand"",AJ113=""external"",AJ113=""unknown""),"""",IF(AJ113=""product_line"",IF(AK113=""START"",""Аналитика старт | Алгоритмы старт | Backend старт | ML старт"",IF(AK113=""PRO"",""AI-агенты про | Алгоритмы про | Аналитика про | ML пр"&amp;"о | Backend про"",IF(AK113=""START | PRO"",""Аналитика старт | Алгоритмы старт | Backend старт | ML старт | AI-агенты про | Алгоритмы про | Аналитика про | ML про | Backend про"",""""))),TEXTJOIN("" | "",TRUE,IF(REGEXMATCH(LOWER(AL113&amp;"" | ""&amp;E113),""анал"&amp;"итика старт""),""Аналитика старт"",""""),IF(REGEXMATCH(LOWER(AL113&amp;"" | ""&amp;E113),""алгоритмы старт""),""Алгоритмы старт"",""""),IF(REGEXMATCH(LOWER(AL113&amp;"" | ""&amp;E113),""backend старт""),""Backend старт"",""""),IF(REGEXMATCH(LOWER(AL113&amp;"" | ""&amp;E113),""ml"&amp;" старт""),""ML старт"",""""),IF(REGEXMATCH(LOWER(AL113&amp;"" | ""&amp;E113),""ai[ -]?агент""),""AI-агенты про"",""""),IF(REGEXMATCH(LOWER(AL113&amp;"" | ""&amp;E113),""алгоритмы про""),""Алгоритмы про"",""""),IF(REGEXMATCH(LOWER(AL113&amp;"" | ""&amp;E113),""аналитика про""),"""&amp;"Аналитика про"",""""),IF(REGEXMATCH(LOWER(AL113&amp;"" | ""&amp;E113),""ml про""),""ML про"",""""),IF(REGEXMATCH(LOWER(AL113&amp;"" | ""&amp;E113),""backend про""),""Backend про"",""""),IF(REGEXMATCH(LOWER(AL113&amp;"" | ""&amp;E113),""(а/в|ав|а в|ab)[ -]?тест""),""А/В-тесты"","&amp;"""""),IF(REGEXMATCH(LOWER(AL113&amp;"" | ""&amp;E113),""data science""),""Data science"",""""),IF(REGEXMATCH(LOWER(AL113&amp;"" | ""&amp;E113),""data[- ]?инжен""),""Data-инженер"",""""),IF(REGEXMATCH(LOWER(AL113&amp;"" | ""&amp;E113),""frontend""),""Frontend"",""""))))"),"")</f>
        <v/>
      </c>
    </row>
    <row r="114">
      <c r="A114" s="6" t="str">
        <f>IFERROR(__xludf.DUMMYFUNCTION("""COMPUTED_VALUE"""),"EXT-14")</f>
        <v>EXT-14</v>
      </c>
      <c r="B114" s="6" t="str">
        <f>IFERROR(__xludf.DUMMYFUNCTION("""COMPUTED_VALUE"""),"2026-07-24 12:35:22")</f>
        <v>2026-07-24 12:35:22</v>
      </c>
      <c r="C114" s="6" t="str">
        <f>IFERROR(__xludf.DUMMYFUNCTION("""COMPUTED_VALUE"""),"@codeof_art")</f>
        <v>@codeof_art</v>
      </c>
      <c r="D114" s="4" t="str">
        <f>IFERROR(__xludf.DUMMYFUNCTION("""COMPUTED_VALUE"""),"Бесплатное событие / лид-магнит")</f>
        <v>Бесплатное событие / лид-магнит</v>
      </c>
      <c r="E114" s="6" t="str">
        <f>IFERROR(__xludf.DUMMYFUNCTION("""COMPUTED_VALUE"""),"")</f>
        <v/>
      </c>
      <c r="F114" s="6" t="str">
        <f>IFERROR(__xludf.DUMMYFUNCTION("""COMPUTED_VALUE"""),"")</f>
        <v/>
      </c>
      <c r="G114" s="10" t="str">
        <f>IFERROR(__xludf.DUMMYFUNCTION("""COMPUTED_VALUE"""),"https://t.me/codeof_art/298")</f>
        <v>https://t.me/codeof_art/298</v>
      </c>
      <c r="H114" s="6" t="str">
        <f>IFERROR(__xludf.DUMMYFUNCTION("""COMPUTED_VALUE"""),"ИИ ВСЕХ ЗАМЕНИТ! ЧТО ДЕЛАТЬ?
По результатам нашего опроса, 50% считает, что первые с рынка уйдут бэкендеры. Ещё 39% голосуют за аналитиков, а ML-специалисты пока чувствуют себя увереннее всех — за них отдали всего 11%.
Но кто на самом деле находится под"&amp;" угрозой?
В эту субботу в 19:00 устроим дебаты про ИИ. Преподаватели наших направлений по ML, аналитике и backend попробуют доказать, почему именно их профессия переживёт развитие нейросетей, а работа коллег изменится первой.
Обсудим:
— какие задачи ИИ "&amp;"уже забирает у специалистов;
— где нейросети пока не могут заменить человека;
— какие навыки скоро станут бесполезными;
— чему учиться сейчас, чтобы не остаться без работы через пару лет.
Будет жаркий спор трёх специалистов с большим опытом, но с  разным"&amp;"и взглядами на будущее рынка.
Ну а ведущий эфира - легендарный Михаил Абрамович 😎
📅 Суббота, 19:00
🔗 Ссылка будет за 2 часа до эфира и в нашем боте @Postupashkianalitycsbot")</f>
        <v>ИИ ВСЕХ ЗАМЕНИТ! ЧТО ДЕЛАТЬ?
По результатам нашего опроса, 50% считает, что первые с рынка уйдут бэкендеры. Ещё 39% голосуют за аналитиков, а ML-специалисты пока чувствуют себя увереннее всех — за них отдали всего 11%.
Но кто на самом деле находится под угрозой?
В эту субботу в 19:00 устроим дебаты про ИИ. Преподаватели наших направлений по ML, аналитике и backend попробуют доказать, почему именно их профессия переживёт развитие нейросетей, а работа коллег изменится первой.
Обсудим:
— какие задачи ИИ уже забирает у специалистов;
— где нейросети пока не могут заменить человека;
— какие навыки скоро станут бесполезными;
— чему учиться сейчас, чтобы не остаться без работы через пару лет.
Будет жаркий спор трёх специалистов с большим опытом, но с  разными взглядами на будущее рынка.
Ну а ведущий эфира - легендарный Михаил Абрамович 😎
📅 Суббота, 19:00
🔗 Ссылка будет за 2 часа до эфира и в нашем боте @Postupashkianalitycsbot</v>
      </c>
      <c r="I114" s="6" t="str">
        <f>IFERROR(__xludf.DUMMYFUNCTION("""COMPUTED_VALUE"""),"external")</f>
        <v>external</v>
      </c>
      <c r="J114" s="10" t="str">
        <f>IFERROR(__xludf.DUMMYFUNCTION("""COMPUTED_VALUE"""),"https://t.me/codeof_art/298")</f>
        <v>https://t.me/codeof_art/298</v>
      </c>
      <c r="K114" s="6">
        <f>IFERROR(__xludf.DUMMYFUNCTION("""COMPUTED_VALUE"""),745.0)</f>
        <v>745</v>
      </c>
      <c r="L114" s="6">
        <f>IFERROR(__xludf.DUMMYFUNCTION("""COMPUTED_VALUE"""),4.0)</f>
        <v>4</v>
      </c>
      <c r="M114" s="6"/>
      <c r="N114" s="6" t="str">
        <f>IFERROR(__xludf.DUMMYFUNCTION("""COMPUTED_VALUE"""),"Telegram")</f>
        <v>Telegram</v>
      </c>
      <c r="O114" s="6" t="str">
        <f>IFERROR(__xludf.DUMMYFUNCTION("""COMPUTED_VALUE"""),"raw")</f>
        <v>raw</v>
      </c>
      <c r="P114" s="6" t="str">
        <f>IFERROR(__xludf.DUMMYFUNCTION("""COMPUTED_VALUE"""),"Codex")</f>
        <v>Codex</v>
      </c>
      <c r="Q114" s="6" t="str">
        <f>IFERROR(__xludf.DUMMYFUNCTION("""COMPUTED_VALUE"""),"Общий контакт @vice22821; признак связи с проектом")</f>
        <v>Общий контакт @vice22821; признак связи с проектом</v>
      </c>
      <c r="R114" s="6" t="str">
        <f>IFERROR(__xludf.DUMMYFUNCTION("""COMPUTED_VALUE"""),"unknown")</f>
        <v>unknown</v>
      </c>
      <c r="S114" s="6" t="str">
        <f>IFERROR(__xludf.DUMMYFUNCTION("""COMPUTED_VALUE"""),"unknown")</f>
        <v>unknown</v>
      </c>
      <c r="T114" s="6" t="str">
        <f>IFERROR(__xludf.DUMMYFUNCTION("""COMPUTED_VALUE"""),"telegram_external")</f>
        <v>telegram_external</v>
      </c>
      <c r="U114" s="6" t="str">
        <f>IFERROR(__xludf.DUMMYFUNCTION("""COMPUTED_VALUE"""),"Бесплатное событие / лид-магнит")</f>
        <v>Бесплатное событие / лид-магнит</v>
      </c>
      <c r="V114" s="6" t="str">
        <f>IFERROR(__xludf.DUMMYFUNCTION("""COMPUTED_VALUE"""),"")</f>
        <v/>
      </c>
      <c r="W114" s="6" t="str">
        <f>IFERROR(__xludf.DUMMYFUNCTION("""COMPUTED_VALUE"""),"")</f>
        <v/>
      </c>
      <c r="X114" s="6" t="str">
        <f>IFERROR(__xludf.DUMMYFUNCTION("""COMPUTED_VALUE"""),"Forwarded from Поступашки - ШАД, Стажировки и Магистратура")</f>
        <v>Forwarded from Поступашки - ШАД, Стажировки и Магистратура</v>
      </c>
      <c r="Y114" s="6" t="str">
        <f>IFERROR(__xludf.DUMMYFUNCTION("""COMPUTED_VALUE"""),"https://t.me/postypashki_old/1808
https://old.postypashki.ru/%D0%BA%D0%B0%D1%80%D1%8C%D0%B5%D1%80%D0%BD%D1%8B%D0%B5-%D0%BA%D1%83%D1%80%D1%81%D1%8B/ml-%D1%81%D1%82%D0%B0%D1%80%D1%82/
https://old.postypashki.ru/%D0%BA%D0%B0%D1%80%D1%8C%D0%B5%D1%80%D0%BD%D1%"&amp;"8B%D0%B5-%D0%BA%D1%83%D1%80%D1%81%D1%8B/%D0%B0%D0%BD%D0%B0%D0%BB%D0%B8%D1%82%D0%B8%D0%BA%D0%B0-%D1%81%D1%82%D0%B0%D1%80%D1%82/
https://old.postypashki.ru/%D0%BA%D0%B0%D1%80%D1%8C%D0%B5%D1%80%D0%BD%D1%8B%D0%B5-%D0%BA%D1%83%D1%80%D1%81%D1%8B/backend-%D1%81%"&amp;"D1%82%D0%B0%D1%80%D1%82/")</f>
        <v>https://t.me/postypashki_old/1808
https://old.postypashki.ru/%D0%BA%D0%B0%D1%80%D1%8C%D0%B5%D1%80%D0%BD%D1%8B%D0%B5-%D0%BA%D1%83%D1%80%D1%81%D1%8B/ml-%D1%81%D1%82%D0%B0%D1%80%D1%82/
https://old.postypashki.ru/%D0%BA%D0%B0%D1%80%D1%8C%D0%B5%D1%80%D0%BD%D1%8B%D0%B5-%D0%BA%D1%83%D1%80%D1%81%D1%8B/%D0%B0%D0%BD%D0%B0%D0%BB%D0%B8%D1%82%D0%B8%D0%BA%D0%B0-%D1%81%D1%82%D0%B0%D1%80%D1%82/
https://old.postypashki.ru/%D0%BA%D0%B0%D1%80%D1%8C%D0%B5%D1%80%D0%BD%D1%8B%D0%B5-%D0%BA%D1%83%D1%80%D1%81%D1%8B/backend-%D1%81%D1%82%D0%B0%D1%80%D1%82/</v>
      </c>
      <c r="Z114" s="6" t="b">
        <f>IFERROR(__xludf.DUMMYFUNCTION("""COMPUTED_VALUE"""),TRUE)</f>
        <v>1</v>
      </c>
      <c r="AA114" s="6" t="str">
        <f>IFERROR(__xludf.DUMMYFUNCTION("""COMPUTED_VALUE"""),"")</f>
        <v/>
      </c>
      <c r="AB114" s="6" t="str">
        <f>IFERROR(__xludf.DUMMYFUNCTION("""COMPUTED_VALUE"""),"")</f>
        <v/>
      </c>
      <c r="AC114" s="6" t="str">
        <f>IFERROR(__xludf.DUMMYFUNCTION("""COMPUTED_VALUE"""),"")</f>
        <v/>
      </c>
      <c r="AD114" s="6" t="str">
        <f>IFERROR(__xludf.DUMMYFUNCTION("""COMPUTED_VALUE"""),"")</f>
        <v/>
      </c>
      <c r="AE114" s="6" t="str">
        <f>IFERROR(__xludf.DUMMYFUNCTION("""COMPUTED_VALUE"""),"")</f>
        <v/>
      </c>
      <c r="AF114" s="6" t="str">
        <f>IFERROR(__xludf.DUMMYFUNCTION("""COMPUTED_VALUE"""),"Не подтверждено")</f>
        <v>Не подтверждено</v>
      </c>
      <c r="AG114" s="6" t="str">
        <f>IFERROR(__xludf.DUMMYFUNCTION("""COMPUTED_VALUE"""),"")</f>
        <v/>
      </c>
      <c r="AH114" s="6" t="str">
        <f>IFERROR(__xludf.DUMMYFUNCTION("""COMPUTED_VALUE"""),"2026-09-11T11:47:38.610904+00:00")</f>
        <v>2026-09-11T11:47:38.610904+00:00</v>
      </c>
      <c r="AI114" s="6" t="str">
        <f>IFERROR(__xludf.DUMMYFUNCTION("""COMPUTED_VALUE"""),"raw/codeof_art/page_001.html")</f>
        <v>raw/codeof_art/page_001.html</v>
      </c>
      <c r="AJ114" s="9" t="s">
        <v>233</v>
      </c>
      <c r="AM114" s="9" t="s">
        <v>229</v>
      </c>
      <c r="AN114" s="6" t="str">
        <f>IFERROR(__xludf.DUMMYFUNCTION("IF(OR(AJ114=""general_brand"",AJ114=""external"",AJ114=""unknown""),"""",IF(AJ114=""product_line"",IF(AK114=""START"",""Аналитика старт | Алгоритмы старт | Backend старт | ML старт"",IF(AK114=""PRO"",""AI-агенты про | Алгоритмы про | Аналитика про | ML пр"&amp;"о | Backend про"",IF(AK114=""START | PRO"",""Аналитика старт | Алгоритмы старт | Backend старт | ML старт | AI-агенты про | Алгоритмы про | Аналитика про | ML про | Backend про"",""""))),TEXTJOIN("" | "",TRUE,IF(REGEXMATCH(LOWER(AL114&amp;"" | ""&amp;E114),""анал"&amp;"итика старт""),""Аналитика старт"",""""),IF(REGEXMATCH(LOWER(AL114&amp;"" | ""&amp;E114),""алгоритмы старт""),""Алгоритмы старт"",""""),IF(REGEXMATCH(LOWER(AL114&amp;"" | ""&amp;E114),""backend старт""),""Backend старт"",""""),IF(REGEXMATCH(LOWER(AL114&amp;"" | ""&amp;E114),""ml"&amp;" старт""),""ML старт"",""""),IF(REGEXMATCH(LOWER(AL114&amp;"" | ""&amp;E114),""ai[ -]?агент""),""AI-агенты про"",""""),IF(REGEXMATCH(LOWER(AL114&amp;"" | ""&amp;E114),""алгоритмы про""),""Алгоритмы про"",""""),IF(REGEXMATCH(LOWER(AL114&amp;"" | ""&amp;E114),""аналитика про""),"""&amp;"Аналитика про"",""""),IF(REGEXMATCH(LOWER(AL114&amp;"" | ""&amp;E114),""ml про""),""ML про"",""""),IF(REGEXMATCH(LOWER(AL114&amp;"" | ""&amp;E114),""backend про""),""Backend про"",""""),IF(REGEXMATCH(LOWER(AL114&amp;"" | ""&amp;E114),""(а/в|ав|а в|ab)[ -]?тест""),""А/В-тесты"","&amp;"""""),IF(REGEXMATCH(LOWER(AL114&amp;"" | ""&amp;E114),""data science""),""Data science"",""""),IF(REGEXMATCH(LOWER(AL114&amp;"" | ""&amp;E114),""data[- ]?инжен""),""Data-инженер"",""""),IF(REGEXMATCH(LOWER(AL114&amp;"" | ""&amp;E114),""frontend""),""Frontend"",""""))))"),"")</f>
        <v/>
      </c>
    </row>
    <row r="115">
      <c r="A115" s="6" t="str">
        <f>IFERROR(__xludf.DUMMYFUNCTION("""COMPUTED_VALUE"""),"EXT-15")</f>
        <v>EXT-15</v>
      </c>
      <c r="B115" s="6" t="str">
        <f>IFERROR(__xludf.DUMMYFUNCTION("""COMPUTED_VALUE"""),"2026-07-24 13:36:17")</f>
        <v>2026-07-24 13:36:17</v>
      </c>
      <c r="C115" s="6" t="str">
        <f>IFERROR(__xludf.DUMMYFUNCTION("""COMPUTED_VALUE"""),"@postypashki_mems")</f>
        <v>@postypashki_mems</v>
      </c>
      <c r="D115" s="4" t="str">
        <f>IFERROR(__xludf.DUMMYFUNCTION("""COMPUTED_VALUE"""),"Бесплатное событие / лид-магнит")</f>
        <v>Бесплатное событие / лид-магнит</v>
      </c>
      <c r="E115" s="6" t="str">
        <f>IFERROR(__xludf.DUMMYFUNCTION("""COMPUTED_VALUE"""),"")</f>
        <v/>
      </c>
      <c r="F115" s="6" t="str">
        <f>IFERROR(__xludf.DUMMYFUNCTION("""COMPUTED_VALUE"""),"")</f>
        <v/>
      </c>
      <c r="G115" s="10" t="str">
        <f>IFERROR(__xludf.DUMMYFUNCTION("""COMPUTED_VALUE"""),"https://t.me/postypashki_mems/1347")</f>
        <v>https://t.me/postypashki_mems/1347</v>
      </c>
      <c r="H115" s="6" t="str">
        <f>IFERROR(__xludf.DUMMYFUNCTION("""COMPUTED_VALUE"""),"ИИ ВСЕХ ЗАМЕНИТ! ЧТО ДЕЛАТЬ?
По результатам нашего опроса, 50% считает, что первые с рынка уйдут бэкендеры. Ещё 39% голосуют за аналитиков, а ML-специалисты пока чувствуют себя увереннее всех — за них отдали всего 11%.
Но кто на самом деле находится под"&amp;" угрозой?
В эту субботу в 19:00 устроим дебаты про ИИ. Преподаватели наших направлений по ML, аналитике и backend попробуют доказать, почему именно их профессия переживёт развитие нейросетей, а работа коллег изменится первой.
Обсудим:
— какие задачи ИИ "&amp;"уже забирает у специалистов;
— где нейросети пока не могут заменить человека;
— какие навыки скоро станут бесполезными;
— чему учиться сейчас, чтобы не остаться без работы через пару лет.
Будет жаркий спор трёх специалистов с большим опытом, но с  разным"&amp;"и взглядами на будущее рынка.
Ну а ведущий эфира - легендарный Михаил Абрамович 😎
📅 Суббота, 19:00
🔗 Ссылка будет за 2 часа до эфира и в нашем боте @Postupashkianalitycsbot")</f>
        <v>ИИ ВСЕХ ЗАМЕНИТ! ЧТО ДЕЛАТЬ?
По результатам нашего опроса, 50% считает, что первые с рынка уйдут бэкендеры. Ещё 39% голосуют за аналитиков, а ML-специалисты пока чувствуют себя увереннее всех — за них отдали всего 11%.
Но кто на самом деле находится под угрозой?
В эту субботу в 19:00 устроим дебаты про ИИ. Преподаватели наших направлений по ML, аналитике и backend попробуют доказать, почему именно их профессия переживёт развитие нейросетей, а работа коллег изменится первой.
Обсудим:
— какие задачи ИИ уже забирает у специалистов;
— где нейросети пока не могут заменить человека;
— какие навыки скоро станут бесполезными;
— чему учиться сейчас, чтобы не остаться без работы через пару лет.
Будет жаркий спор трёх специалистов с большим опытом, но с  разными взглядами на будущее рынка.
Ну а ведущий эфира - легендарный Михаил Абрамович 😎
📅 Суббота, 19:00
🔗 Ссылка будет за 2 часа до эфира и в нашем боте @Postupashkianalitycsbot</v>
      </c>
      <c r="I115" s="6" t="str">
        <f>IFERROR(__xludf.DUMMYFUNCTION("""COMPUTED_VALUE"""),"external")</f>
        <v>external</v>
      </c>
      <c r="J115" s="10" t="str">
        <f>IFERROR(__xludf.DUMMYFUNCTION("""COMPUTED_VALUE"""),"https://t.me/postypashki_mems/1347")</f>
        <v>https://t.me/postypashki_mems/1347</v>
      </c>
      <c r="K115" s="6">
        <f>IFERROR(__xludf.DUMMYFUNCTION("""COMPUTED_VALUE"""),2210.0)</f>
        <v>2210</v>
      </c>
      <c r="L115" s="6">
        <f>IFERROR(__xludf.DUMMYFUNCTION("""COMPUTED_VALUE"""),9.0)</f>
        <v>9</v>
      </c>
      <c r="M115" s="6"/>
      <c r="N115" s="6" t="str">
        <f>IFERROR(__xludf.DUMMYFUNCTION("""COMPUTED_VALUE"""),"Telegram")</f>
        <v>Telegram</v>
      </c>
      <c r="O115" s="6" t="str">
        <f>IFERROR(__xludf.DUMMYFUNCTION("""COMPUTED_VALUE"""),"raw")</f>
        <v>raw</v>
      </c>
      <c r="P115" s="6" t="str">
        <f>IFERROR(__xludf.DUMMYFUNCTION("""COMPUTED_VALUE"""),"Codex")</f>
        <v>Codex</v>
      </c>
      <c r="Q115" s="6" t="str">
        <f>IFERROR(__xludf.DUMMYFUNCTION("""COMPUTED_VALUE"""),"Общий контакт @vice22821; признак связи с проектом")</f>
        <v>Общий контакт @vice22821; признак связи с проектом</v>
      </c>
      <c r="R115" s="6" t="str">
        <f>IFERROR(__xludf.DUMMYFUNCTION("""COMPUTED_VALUE"""),"unknown")</f>
        <v>unknown</v>
      </c>
      <c r="S115" s="6" t="str">
        <f>IFERROR(__xludf.DUMMYFUNCTION("""COMPUTED_VALUE"""),"unknown")</f>
        <v>unknown</v>
      </c>
      <c r="T115" s="6" t="str">
        <f>IFERROR(__xludf.DUMMYFUNCTION("""COMPUTED_VALUE"""),"telegram_external")</f>
        <v>telegram_external</v>
      </c>
      <c r="U115" s="6" t="str">
        <f>IFERROR(__xludf.DUMMYFUNCTION("""COMPUTED_VALUE"""),"Бесплатное событие / лид-магнит")</f>
        <v>Бесплатное событие / лид-магнит</v>
      </c>
      <c r="V115" s="6" t="str">
        <f>IFERROR(__xludf.DUMMYFUNCTION("""COMPUTED_VALUE"""),"")</f>
        <v/>
      </c>
      <c r="W115" s="6" t="str">
        <f>IFERROR(__xludf.DUMMYFUNCTION("""COMPUTED_VALUE"""),"")</f>
        <v/>
      </c>
      <c r="X115" s="6" t="str">
        <f>IFERROR(__xludf.DUMMYFUNCTION("""COMPUTED_VALUE"""),"Forwarded from Поступашки - ШАД, Стажировки и Магистратура")</f>
        <v>Forwarded from Поступашки - ШАД, Стажировки и Магистратура</v>
      </c>
      <c r="Y115" s="6" t="str">
        <f>IFERROR(__xludf.DUMMYFUNCTION("""COMPUTED_VALUE"""),"https://t.me/postypashki_old/1808
https://old.postypashki.ru/%D0%BA%D0%B0%D1%80%D1%8C%D0%B5%D1%80%D0%BD%D1%8B%D0%B5-%D0%BA%D1%83%D1%80%D1%81%D1%8B/ml-%D1%81%D1%82%D0%B0%D1%80%D1%82/
https://old.postypashki.ru/%D0%BA%D0%B0%D1%80%D1%8C%D0%B5%D1%80%D0%BD%D1%"&amp;"8B%D0%B5-%D0%BA%D1%83%D1%80%D1%81%D1%8B/%D0%B0%D0%BD%D0%B0%D0%BB%D0%B8%D1%82%D0%B8%D0%BA%D0%B0-%D1%81%D1%82%D0%B0%D1%80%D1%82/
https://old.postypashki.ru/%D0%BA%D0%B0%D1%80%D1%8C%D0%B5%D1%80%D0%BD%D1%8B%D0%B5-%D0%BA%D1%83%D1%80%D1%81%D1%8B/backend-%D1%81%"&amp;"D1%82%D0%B0%D1%80%D1%82/")</f>
        <v>https://t.me/postypashki_old/1808
https://old.postypashki.ru/%D0%BA%D0%B0%D1%80%D1%8C%D0%B5%D1%80%D0%BD%D1%8B%D0%B5-%D0%BA%D1%83%D1%80%D1%81%D1%8B/ml-%D1%81%D1%82%D0%B0%D1%80%D1%82/
https://old.postypashki.ru/%D0%BA%D0%B0%D1%80%D1%8C%D0%B5%D1%80%D0%BD%D1%8B%D0%B5-%D0%BA%D1%83%D1%80%D1%81%D1%8B/%D0%B0%D0%BD%D0%B0%D0%BB%D0%B8%D1%82%D0%B8%D0%BA%D0%B0-%D1%81%D1%82%D0%B0%D1%80%D1%82/
https://old.postypashki.ru/%D0%BA%D0%B0%D1%80%D1%8C%D0%B5%D1%80%D0%BD%D1%8B%D0%B5-%D0%BA%D1%83%D1%80%D1%81%D1%8B/backend-%D1%81%D1%82%D0%B0%D1%80%D1%82/</v>
      </c>
      <c r="Z115" s="6" t="b">
        <f>IFERROR(__xludf.DUMMYFUNCTION("""COMPUTED_VALUE"""),TRUE)</f>
        <v>1</v>
      </c>
      <c r="AA115" s="6" t="str">
        <f>IFERROR(__xludf.DUMMYFUNCTION("""COMPUTED_VALUE"""),"")</f>
        <v/>
      </c>
      <c r="AB115" s="6" t="str">
        <f>IFERROR(__xludf.DUMMYFUNCTION("""COMPUTED_VALUE"""),"")</f>
        <v/>
      </c>
      <c r="AC115" s="6" t="str">
        <f>IFERROR(__xludf.DUMMYFUNCTION("""COMPUTED_VALUE"""),"")</f>
        <v/>
      </c>
      <c r="AD115" s="6" t="str">
        <f>IFERROR(__xludf.DUMMYFUNCTION("""COMPUTED_VALUE"""),"")</f>
        <v/>
      </c>
      <c r="AE115" s="6" t="str">
        <f>IFERROR(__xludf.DUMMYFUNCTION("""COMPUTED_VALUE"""),"")</f>
        <v/>
      </c>
      <c r="AF115" s="6" t="str">
        <f>IFERROR(__xludf.DUMMYFUNCTION("""COMPUTED_VALUE"""),"Не подтверждено")</f>
        <v>Не подтверждено</v>
      </c>
      <c r="AG115" s="6" t="str">
        <f>IFERROR(__xludf.DUMMYFUNCTION("""COMPUTED_VALUE"""),"")</f>
        <v/>
      </c>
      <c r="AH115" s="6" t="str">
        <f>IFERROR(__xludf.DUMMYFUNCTION("""COMPUTED_VALUE"""),"2026-09-11T11:48:02.028687+00:00")</f>
        <v>2026-09-11T11:48:02.028687+00:00</v>
      </c>
      <c r="AI115" s="6" t="str">
        <f>IFERROR(__xludf.DUMMYFUNCTION("""COMPUTED_VALUE"""),"raw/postypashki_mems/page_003.html")</f>
        <v>raw/postypashki_mems/page_003.html</v>
      </c>
      <c r="AJ115" s="9" t="s">
        <v>208</v>
      </c>
      <c r="AM115" s="9" t="s">
        <v>229</v>
      </c>
      <c r="AN115" s="6" t="str">
        <f>IFERROR(__xludf.DUMMYFUNCTION("IF(OR(AJ115=""general_brand"",AJ115=""external"",AJ115=""unknown""),"""",IF(AJ115=""product_line"",IF(AK115=""START"",""Аналитика старт | Алгоритмы старт | Backend старт | ML старт"",IF(AK115=""PRO"",""AI-агенты про | Алгоритмы про | Аналитика про | ML пр"&amp;"о | Backend про"",IF(AK115=""START | PRO"",""Аналитика старт | Алгоритмы старт | Backend старт | ML старт | AI-агенты про | Алгоритмы про | Аналитика про | ML про | Backend про"",""""))),TEXTJOIN("" | "",TRUE,IF(REGEXMATCH(LOWER(AL115&amp;"" | ""&amp;E115),""анал"&amp;"итика старт""),""Аналитика старт"",""""),IF(REGEXMATCH(LOWER(AL115&amp;"" | ""&amp;E115),""алгоритмы старт""),""Алгоритмы старт"",""""),IF(REGEXMATCH(LOWER(AL115&amp;"" | ""&amp;E115),""backend старт""),""Backend старт"",""""),IF(REGEXMATCH(LOWER(AL115&amp;"" | ""&amp;E115),""ml"&amp;" старт""),""ML старт"",""""),IF(REGEXMATCH(LOWER(AL115&amp;"" | ""&amp;E115),""ai[ -]?агент""),""AI-агенты про"",""""),IF(REGEXMATCH(LOWER(AL115&amp;"" | ""&amp;E115),""алгоритмы про""),""Алгоритмы про"",""""),IF(REGEXMATCH(LOWER(AL115&amp;"" | ""&amp;E115),""аналитика про""),"""&amp;"Аналитика про"",""""),IF(REGEXMATCH(LOWER(AL115&amp;"" | ""&amp;E115),""ml про""),""ML про"",""""),IF(REGEXMATCH(LOWER(AL115&amp;"" | ""&amp;E115),""backend про""),""Backend про"",""""),IF(REGEXMATCH(LOWER(AL115&amp;"" | ""&amp;E115),""(а/в|ав|а в|ab)[ -]?тест""),""А/В-тесты"","&amp;"""""),IF(REGEXMATCH(LOWER(AL115&amp;"" | ""&amp;E115),""data science""),""Data science"",""""),IF(REGEXMATCH(LOWER(AL115&amp;"" | ""&amp;E115),""data[- ]?инжен""),""Data-инженер"",""""),IF(REGEXMATCH(LOWER(AL115&amp;"" | ""&amp;E115),""frontend""),""Frontend"",""""))))"),"")</f>
        <v/>
      </c>
    </row>
    <row r="116">
      <c r="A116" s="6" t="str">
        <f>IFERROR(__xludf.DUMMYFUNCTION("""COMPUTED_VALUE"""),"EXT-16")</f>
        <v>EXT-16</v>
      </c>
      <c r="B116" s="6" t="str">
        <f>IFERROR(__xludf.DUMMYFUNCTION("""COMPUTED_VALUE"""),"2026-07-25 16:55:00")</f>
        <v>2026-07-25 16:55:00</v>
      </c>
      <c r="C116" s="6" t="str">
        <f>IFERROR(__xludf.DUMMYFUNCTION("""COMPUTED_VALUE"""),"@ProdAnalysis")</f>
        <v>@ProdAnalysis</v>
      </c>
      <c r="D116" s="4" t="str">
        <f>IFERROR(__xludf.DUMMYFUNCTION("""COMPUTED_VALUE"""),"Бесплатное событие / лид-магнит")</f>
        <v>Бесплатное событие / лид-магнит</v>
      </c>
      <c r="E116" s="6" t="str">
        <f>IFERROR(__xludf.DUMMYFUNCTION("""COMPUTED_VALUE"""),"")</f>
        <v/>
      </c>
      <c r="F116" s="6" t="str">
        <f>IFERROR(__xludf.DUMMYFUNCTION("""COMPUTED_VALUE"""),"")</f>
        <v/>
      </c>
      <c r="G116" s="10" t="str">
        <f>IFERROR(__xludf.DUMMYFUNCTION("""COMPUTED_VALUE"""),"https://t.me/ProdAnalysis/133")</f>
        <v>https://t.me/ProdAnalysis/133</v>
      </c>
      <c r="H116" s="6" t="str">
        <f>IFERROR(__xludf.DUMMYFUNCTION("""COMPUTED_VALUE"""),"Друзья, привет!
Тут коллеги из backend и ML уже решили между собой, что аналитиков скоро заменит ChatGPT.
Только почему-то каждый раз, когда падает конверсия или нужно понять, что вообще происходит с продуктом, бегут именно к аналитикам 🙂
Сегодня обсу"&amp;"дим, кого ИИ действительно затронет первым, а кто ещё долго останется незаменимым.
Приходите на наши онлайн дебаты в 19:00
ссылка на стрим: https://telemost.yandex.ru/live/c92193cedc9a4713ac3320a145e96006")</f>
        <v>Друзья, привет!
Тут коллеги из backend и ML уже решили между собой, что аналитиков скоро заменит ChatGPT.
Только почему-то каждый раз, когда падает конверсия или нужно понять, что вообще происходит с продуктом, бегут именно к аналитикам 🙂
Сегодня обсудим, кого ИИ действительно затронет первым, а кто ещё долго останется незаменимым.
Приходите на наши онлайн дебаты в 19:00
ссылка на стрим: https://telemost.yandex.ru/live/c92193cedc9a4713ac3320a145e96006</v>
      </c>
      <c r="I116" s="6" t="str">
        <f>IFERROR(__xludf.DUMMYFUNCTION("""COMPUTED_VALUE"""),"external")</f>
        <v>external</v>
      </c>
      <c r="J116" s="10" t="str">
        <f>IFERROR(__xludf.DUMMYFUNCTION("""COMPUTED_VALUE"""),"https://t.me/ProdAnalysis/133")</f>
        <v>https://t.me/ProdAnalysis/133</v>
      </c>
      <c r="K116" s="6">
        <f>IFERROR(__xludf.DUMMYFUNCTION("""COMPUTED_VALUE"""),1210.0)</f>
        <v>1210</v>
      </c>
      <c r="L116" s="6">
        <f>IFERROR(__xludf.DUMMYFUNCTION("""COMPUTED_VALUE"""),2.0)</f>
        <v>2</v>
      </c>
      <c r="M116" s="6"/>
      <c r="N116" s="6" t="str">
        <f>IFERROR(__xludf.DUMMYFUNCTION("""COMPUTED_VALUE"""),"Telegram")</f>
        <v>Telegram</v>
      </c>
      <c r="O116" s="6" t="str">
        <f>IFERROR(__xludf.DUMMYFUNCTION("""COMPUTED_VALUE"""),"raw")</f>
        <v>raw</v>
      </c>
      <c r="P116" s="6" t="str">
        <f>IFERROR(__xludf.DUMMYFUNCTION("""COMPUTED_VALUE"""),"Codex")</f>
        <v>Codex</v>
      </c>
      <c r="Q116" s="6" t="str">
        <f>IFERROR(__xludf.DUMMYFUNCTION("""COMPUTED_VALUE"""),"Общий контакт @vice22821; признак связи с проектом")</f>
        <v>Общий контакт @vice22821; признак связи с проектом</v>
      </c>
      <c r="R116" s="6" t="str">
        <f>IFERROR(__xludf.DUMMYFUNCTION("""COMPUTED_VALUE"""),"unknown")</f>
        <v>unknown</v>
      </c>
      <c r="S116" s="6" t="str">
        <f>IFERROR(__xludf.DUMMYFUNCTION("""COMPUTED_VALUE"""),"unknown")</f>
        <v>unknown</v>
      </c>
      <c r="T116" s="6" t="str">
        <f>IFERROR(__xludf.DUMMYFUNCTION("""COMPUTED_VALUE"""),"telegram_external")</f>
        <v>telegram_external</v>
      </c>
      <c r="U116" s="6" t="str">
        <f>IFERROR(__xludf.DUMMYFUNCTION("""COMPUTED_VALUE"""),"Бесплатное событие / лид-магнит")</f>
        <v>Бесплатное событие / лид-магнит</v>
      </c>
      <c r="V116" s="6" t="str">
        <f>IFERROR(__xludf.DUMMYFUNCTION("""COMPUTED_VALUE"""),"")</f>
        <v/>
      </c>
      <c r="W116" s="6" t="str">
        <f>IFERROR(__xludf.DUMMYFUNCTION("""COMPUTED_VALUE"""),"")</f>
        <v/>
      </c>
      <c r="X116" s="6"/>
      <c r="Y116" s="10" t="str">
        <f>IFERROR(__xludf.DUMMYFUNCTION("""COMPUTED_VALUE"""),"https://t.me/postypashki_old/1808")</f>
        <v>https://t.me/postypashki_old/1808</v>
      </c>
      <c r="Z116" s="6" t="b">
        <f>IFERROR(__xludf.DUMMYFUNCTION("""COMPUTED_VALUE"""),FALSE)</f>
        <v>0</v>
      </c>
      <c r="AA116" s="6" t="str">
        <f>IFERROR(__xludf.DUMMYFUNCTION("""COMPUTED_VALUE"""),"")</f>
        <v/>
      </c>
      <c r="AB116" s="6" t="str">
        <f>IFERROR(__xludf.DUMMYFUNCTION("""COMPUTED_VALUE"""),"")</f>
        <v/>
      </c>
      <c r="AC116" s="6" t="str">
        <f>IFERROR(__xludf.DUMMYFUNCTION("""COMPUTED_VALUE"""),"")</f>
        <v/>
      </c>
      <c r="AD116" s="6" t="str">
        <f>IFERROR(__xludf.DUMMYFUNCTION("""COMPUTED_VALUE"""),"")</f>
        <v/>
      </c>
      <c r="AE116" s="6" t="str">
        <f>IFERROR(__xludf.DUMMYFUNCTION("""COMPUTED_VALUE"""),"")</f>
        <v/>
      </c>
      <c r="AF116" s="6" t="str">
        <f>IFERROR(__xludf.DUMMYFUNCTION("""COMPUTED_VALUE"""),"Не подтверждено")</f>
        <v>Не подтверждено</v>
      </c>
      <c r="AG116" s="6" t="str">
        <f>IFERROR(__xludf.DUMMYFUNCTION("""COMPUTED_VALUE"""),"")</f>
        <v/>
      </c>
      <c r="AH116" s="6" t="str">
        <f>IFERROR(__xludf.DUMMYFUNCTION("""COMPUTED_VALUE"""),"2026-09-11T11:47:35.971287+00:00")</f>
        <v>2026-09-11T11:47:35.971287+00:00</v>
      </c>
      <c r="AI116" s="6" t="str">
        <f>IFERROR(__xludf.DUMMYFUNCTION("""COMPUTED_VALUE"""),"raw/ProdAnalysis/page_001.html")</f>
        <v>raw/ProdAnalysis/page_001.html</v>
      </c>
      <c r="AJ116" s="9" t="s">
        <v>208</v>
      </c>
      <c r="AM116" s="9" t="s">
        <v>228</v>
      </c>
      <c r="AN116" s="6" t="str">
        <f>IFERROR(__xludf.DUMMYFUNCTION("IF(OR(AJ116=""general_brand"",AJ116=""external"",AJ116=""unknown""),"""",IF(AJ116=""product_line"",IF(AK116=""START"",""Аналитика старт | Алгоритмы старт | Backend старт | ML старт"",IF(AK116=""PRO"",""AI-агенты про | Алгоритмы про | Аналитика про | ML пр"&amp;"о | Backend про"",IF(AK116=""START | PRO"",""Аналитика старт | Алгоритмы старт | Backend старт | ML старт | AI-агенты про | Алгоритмы про | Аналитика про | ML про | Backend про"",""""))),TEXTJOIN("" | "",TRUE,IF(REGEXMATCH(LOWER(AL116&amp;"" | ""&amp;E116),""анал"&amp;"итика старт""),""Аналитика старт"",""""),IF(REGEXMATCH(LOWER(AL116&amp;"" | ""&amp;E116),""алгоритмы старт""),""Алгоритмы старт"",""""),IF(REGEXMATCH(LOWER(AL116&amp;"" | ""&amp;E116),""backend старт""),""Backend старт"",""""),IF(REGEXMATCH(LOWER(AL116&amp;"" | ""&amp;E116),""ml"&amp;" старт""),""ML старт"",""""),IF(REGEXMATCH(LOWER(AL116&amp;"" | ""&amp;E116),""ai[ -]?агент""),""AI-агенты про"",""""),IF(REGEXMATCH(LOWER(AL116&amp;"" | ""&amp;E116),""алгоритмы про""),""Алгоритмы про"",""""),IF(REGEXMATCH(LOWER(AL116&amp;"" | ""&amp;E116),""аналитика про""),"""&amp;"Аналитика про"",""""),IF(REGEXMATCH(LOWER(AL116&amp;"" | ""&amp;E116),""ml про""),""ML про"",""""),IF(REGEXMATCH(LOWER(AL116&amp;"" | ""&amp;E116),""backend про""),""Backend про"",""""),IF(REGEXMATCH(LOWER(AL116&amp;"" | ""&amp;E116),""(а/в|ав|а в|ab)[ -]?тест""),""А/В-тесты"","&amp;"""""),IF(REGEXMATCH(LOWER(AL116&amp;"" | ""&amp;E116),""data science""),""Data science"",""""),IF(REGEXMATCH(LOWER(AL116&amp;"" | ""&amp;E116),""data[- ]?инжен""),""Data-инженер"",""""),IF(REGEXMATCH(LOWER(AL116&amp;"" | ""&amp;E116),""frontend""),""Frontend"",""""))))"),"")</f>
        <v/>
      </c>
    </row>
    <row r="117">
      <c r="A117" s="6" t="str">
        <f>IFERROR(__xludf.DUMMYFUNCTION("""COMPUTED_VALUE"""),"EXT-17")</f>
        <v>EXT-17</v>
      </c>
      <c r="B117" s="6" t="str">
        <f>IFERROR(__xludf.DUMMYFUNCTION("""COMPUTED_VALUE"""),"2026-07-25 12:10:19")</f>
        <v>2026-07-25 12:10:19</v>
      </c>
      <c r="C117" s="6" t="str">
        <f>IFERROR(__xludf.DUMMYFUNCTION("""COMPUTED_VALUE"""),"@algoses")</f>
        <v>@algoses</v>
      </c>
      <c r="D117" s="4" t="str">
        <f>IFERROR(__xludf.DUMMYFUNCTION("""COMPUTED_VALUE"""),"Контент с упоминанием")</f>
        <v>Контент с упоминанием</v>
      </c>
      <c r="E117" s="6" t="str">
        <f>IFERROR(__xludf.DUMMYFUNCTION("""COMPUTED_VALUE"""),"")</f>
        <v/>
      </c>
      <c r="F117" s="6" t="str">
        <f>IFERROR(__xludf.DUMMYFUNCTION("""COMPUTED_VALUE"""),"")</f>
        <v/>
      </c>
      <c r="G117" s="10" t="str">
        <f>IFERROR(__xludf.DUMMYFUNCTION("""COMPUTED_VALUE"""),"https://t.me/algoses/581")</f>
        <v>https://t.me/algoses/581</v>
      </c>
      <c r="H117" s="6" t="str">
        <f>IFERROR(__xludf.DUMMYFUNCTION("""COMPUTED_VALUE"""),"Выкладываем задания Т-Академии и Т-Интенсива
Товарищи, прямо сейчас Т-Банк набирает участников на программы по аналитике и разработке. Задания уже выложены здесь. 
Мы разберём вступительные испытания на карьерных курсах — выбирайте направление и смотрите"&amp;", какой курс поможет подготовиться:
⭐️Т-Академия
— Разработка ПО: программирование
Разбор экзамена будет на  «Бэкенд Старт» и «Алгоритмы Старт»
Дедлайн: 31 июля
— Продуктовая аналитика: математика и SQL
Разбор экзамена будет на «Аналитика Старт»
Дедлайн"&amp;": 31 июля
⭐️Т-Интенсив
— Риск-аналитика: математика и программирование
Разбор экзамена будет на «ML Старт»
Дедлайн: 26 июля
— Бизнес-аналитика: математика, SQL и аналитический кейс
Разбор экзамена будет на «Аналитика Старт»
Дедлайн: 8 августа
Программы"&amp;" дают возможность поработать над реальными задачами со специалистами Т-Банка, а финалисты могут получить фаст-трек на стажировку или джуновскую позицию. Но сначала нужно пройти отбор. Делимся мини-гайдом с неочевидными нюансами, которые помогут повысить ш"&amp;"ансы на поступление.
Подписаться: @algoses")</f>
        <v>Выкладываем задания Т-Академии и Т-Интенсива
Товарищи, прямо сейчас Т-Банк набирает участников на программы по аналитике и разработке. Задания уже выложены здесь. 
Мы разберём вступительные испытания на карьерных курсах — выбирайте направление и смотрите, какой курс поможет подготовиться:
⭐️Т-Академия
— Разработка ПО: программирование
Разбор экзамена будет на  «Бэкенд Старт» и «Алгоритмы Старт»
Дедлайн: 31 июля
— Продуктовая аналитика: математика и SQL
Разбор экзамена будет на «Аналитика Старт»
Дедлайн: 31 июля
⭐️Т-Интенсив
— Риск-аналитика: математика и программирование
Разбор экзамена будет на «ML Старт»
Дедлайн: 26 июля
— Бизнес-аналитика: математика, SQL и аналитический кейс
Разбор экзамена будет на «Аналитика Старт»
Дедлайн: 8 августа
Программы дают возможность поработать над реальными задачами со специалистами Т-Банка, а финалисты могут получить фаст-трек на стажировку или джуновскую позицию. Но сначала нужно пройти отбор. Делимся мини-гайдом с неочевидными нюансами, которые помогут повысить шансы на поступление.
Подписаться: @algoses</v>
      </c>
      <c r="I117" s="6" t="str">
        <f>IFERROR(__xludf.DUMMYFUNCTION("""COMPUTED_VALUE"""),"external")</f>
        <v>external</v>
      </c>
      <c r="J117" s="10" t="str">
        <f>IFERROR(__xludf.DUMMYFUNCTION("""COMPUTED_VALUE"""),"https://t.me/algoses/581")</f>
        <v>https://t.me/algoses/581</v>
      </c>
      <c r="K117" s="6">
        <f>IFERROR(__xludf.DUMMYFUNCTION("""COMPUTED_VALUE"""),6020.0)</f>
        <v>6020</v>
      </c>
      <c r="L117" s="6">
        <f>IFERROR(__xludf.DUMMYFUNCTION("""COMPUTED_VALUE"""),4.0)</f>
        <v>4</v>
      </c>
      <c r="M117" s="6"/>
      <c r="N117" s="6" t="str">
        <f>IFERROR(__xludf.DUMMYFUNCTION("""COMPUTED_VALUE"""),"Telegram")</f>
        <v>Telegram</v>
      </c>
      <c r="O117" s="6" t="str">
        <f>IFERROR(__xludf.DUMMYFUNCTION("""COMPUTED_VALUE"""),"raw")</f>
        <v>raw</v>
      </c>
      <c r="P117" s="6" t="str">
        <f>IFERROR(__xludf.DUMMYFUNCTION("""COMPUTED_VALUE"""),"Codex")</f>
        <v>Codex</v>
      </c>
      <c r="Q117" s="6" t="str">
        <f>IFERROR(__xludf.DUMMYFUNCTION("""COMPUTED_VALUE"""),"Общий контакт @vice22821; признак связи с проектом")</f>
        <v>Общий контакт @vice22821; признак связи с проектом</v>
      </c>
      <c r="R117" s="6" t="str">
        <f>IFERROR(__xludf.DUMMYFUNCTION("""COMPUTED_VALUE"""),"unknown")</f>
        <v>unknown</v>
      </c>
      <c r="S117" s="6" t="str">
        <f>IFERROR(__xludf.DUMMYFUNCTION("""COMPUTED_VALUE"""),"unknown")</f>
        <v>unknown</v>
      </c>
      <c r="T117" s="6" t="str">
        <f>IFERROR(__xludf.DUMMYFUNCTION("""COMPUTED_VALUE"""),"telegram_external")</f>
        <v>telegram_external</v>
      </c>
      <c r="U117" s="6" t="str">
        <f>IFERROR(__xludf.DUMMYFUNCTION("""COMPUTED_VALUE"""),"Контент с упоминанием")</f>
        <v>Контент с упоминанием</v>
      </c>
      <c r="V117" s="6" t="str">
        <f>IFERROR(__xludf.DUMMYFUNCTION("""COMPUTED_VALUE"""),"")</f>
        <v/>
      </c>
      <c r="W117" s="6" t="str">
        <f>IFERROR(__xludf.DUMMYFUNCTION("""COMPUTED_VALUE"""),"")</f>
        <v/>
      </c>
      <c r="X117" s="6"/>
      <c r="Y117" s="6" t="str">
        <f>IFERROR(__xludf.DUMMYFUNCTION("""COMPUTED_VALUE"""),"https://t.me/postypashki_old/1757
https://old.postypashki.ru/%D0%BA%D0%B0%D1%80%D1%8C%D0%B5%D1%80%D0%BD%D1%8B%D0%B5-%D0%BA%D1%83%D1%80%D1%81%D1%8B/backend-%D1%81%D1%82%D0%B0%D1%80%D1%82/
https://old.postypashki.ru/%D0%BA%D0%B0%D1%80%D1%8C%D0%B5%D1%80%D0%B"&amp;"D%D1%8B%D0%B5-%D0%BA%D1%83%D1%80%D1%81%D1%8B/%D0%B0%D0%BB%D0%B3%D0%BE%D1%80%D0%B8%D1%82%D0%BC%D1%8B-%D1%81%D1%82%D0%B0%D1%80%D1%82/
https://old.postypashki.ru/%D0%BA%D0%B0%D1%80%D1%8C%D0%B5%D1%80%D0%BD%D1%8B%D0%B5-%D0%BA%D1%83%D1%80%D1%81%D1%8B/%D0%B0%D0%"&amp;"BD%D0%B0%D0%BB%D0%B8%D1%82%D0%B8%D0%BA%D0%B0-%D1%81%D1%82%D0%B0%D1%80%D1%82/
https://old.postypashki.ru/%D0%BA%D0%B0%D1%80%D1%8C%D0%B5%D1%80%D0%BD%D1%8B%D0%B5-%D0%BA%D1%83%D1%80%D1%81%D1%8B/ml-%D1%81%D1%82%D0%B0%D1%80%D1%82/")</f>
        <v>https://t.me/postypashki_old/1757
https://old.postypashki.ru/%D0%BA%D0%B0%D1%80%D1%8C%D0%B5%D1%80%D0%BD%D1%8B%D0%B5-%D0%BA%D1%83%D1%80%D1%81%D1%8B/backend-%D1%81%D1%82%D0%B0%D1%80%D1%82/
https://old.postypashki.ru/%D0%BA%D0%B0%D1%80%D1%8C%D0%B5%D1%80%D0%BD%D1%8B%D0%B5-%D0%BA%D1%83%D1%80%D1%81%D1%8B/%D0%B0%D0%BB%D0%B3%D0%BE%D1%80%D0%B8%D1%82%D0%BC%D1%8B-%D1%81%D1%82%D0%B0%D1%80%D1%82/
https://old.postypashki.ru/%D0%BA%D0%B0%D1%80%D1%8C%D0%B5%D1%80%D0%BD%D1%8B%D0%B5-%D0%BA%D1%83%D1%80%D1%81%D1%8B/%D0%B0%D0%BD%D0%B0%D0%BB%D0%B8%D1%82%D0%B8%D0%BA%D0%B0-%D1%81%D1%82%D0%B0%D1%80%D1%82/
https://old.postypashki.ru/%D0%BA%D0%B0%D1%80%D1%8C%D0%B5%D1%80%D0%BD%D1%8B%D0%B5-%D0%BA%D1%83%D1%80%D1%81%D1%8B/ml-%D1%81%D1%82%D0%B0%D1%80%D1%82/</v>
      </c>
      <c r="Z117" s="6" t="b">
        <f>IFERROR(__xludf.DUMMYFUNCTION("""COMPUTED_VALUE"""),TRUE)</f>
        <v>1</v>
      </c>
      <c r="AA117" s="6" t="str">
        <f>IFERROR(__xludf.DUMMYFUNCTION("""COMPUTED_VALUE"""),"")</f>
        <v/>
      </c>
      <c r="AB117" s="6" t="str">
        <f>IFERROR(__xludf.DUMMYFUNCTION("""COMPUTED_VALUE"""),"")</f>
        <v/>
      </c>
      <c r="AC117" s="6" t="str">
        <f>IFERROR(__xludf.DUMMYFUNCTION("""COMPUTED_VALUE"""),"")</f>
        <v/>
      </c>
      <c r="AD117" s="6" t="str">
        <f>IFERROR(__xludf.DUMMYFUNCTION("""COMPUTED_VALUE"""),"")</f>
        <v/>
      </c>
      <c r="AE117" s="6" t="str">
        <f>IFERROR(__xludf.DUMMYFUNCTION("""COMPUTED_VALUE"""),"")</f>
        <v/>
      </c>
      <c r="AF117" s="6" t="str">
        <f>IFERROR(__xludf.DUMMYFUNCTION("""COMPUTED_VALUE"""),"Не подтверждено")</f>
        <v>Не подтверждено</v>
      </c>
      <c r="AG117" s="6" t="str">
        <f>IFERROR(__xludf.DUMMYFUNCTION("""COMPUTED_VALUE"""),"")</f>
        <v/>
      </c>
      <c r="AH117" s="6" t="str">
        <f>IFERROR(__xludf.DUMMYFUNCTION("""COMPUTED_VALUE"""),"2026-09-11T11:47:45.461461+00:00")</f>
        <v>2026-09-11T11:47:45.461461+00:00</v>
      </c>
      <c r="AI117" s="6" t="str">
        <f>IFERROR(__xludf.DUMMYFUNCTION("""COMPUTED_VALUE"""),"raw/algoses/page_001.html")</f>
        <v>raw/algoses/page_001.html</v>
      </c>
      <c r="AJ117" s="9" t="s">
        <v>223</v>
      </c>
      <c r="AK117" s="9" t="s">
        <v>213</v>
      </c>
      <c r="AL117" s="9" t="s">
        <v>239</v>
      </c>
      <c r="AM117" s="9" t="s">
        <v>219</v>
      </c>
      <c r="AN117" s="4" t="str">
        <f>IFERROR(__xludf.DUMMYFUNCTION("IF(OR(AJ117=""general_brand"",AJ117=""external"",AJ117=""unknown""),"""",IF(AJ117=""product_line"",IF(AK117=""START"",""Аналитика старт | Алгоритмы старт | Backend старт | ML старт"",IF(AK117=""PRO"",""AI-агенты про | Алгоритмы про | Аналитика про | ML пр"&amp;"о | Backend про"",IF(AK117=""START | PRO"",""Аналитика старт | Алгоритмы старт | Backend старт | ML старт | AI-агенты про | Алгоритмы про | Аналитика про | ML про | Backend про"",""""))),TEXTJOIN("" | "",TRUE,IF(REGEXMATCH(LOWER(AL117&amp;"" | ""&amp;E117),""анал"&amp;"итика старт""),""Аналитика старт"",""""),IF(REGEXMATCH(LOWER(AL117&amp;"" | ""&amp;E117),""алгоритмы старт""),""Алгоритмы старт"",""""),IF(REGEXMATCH(LOWER(AL117&amp;"" | ""&amp;E117),""backend старт""),""Backend старт"",""""),IF(REGEXMATCH(LOWER(AL117&amp;"" | ""&amp;E117),""ml"&amp;" старт""),""ML старт"",""""),IF(REGEXMATCH(LOWER(AL117&amp;"" | ""&amp;E117),""ai[ -]?агент""),""AI-агенты про"",""""),IF(REGEXMATCH(LOWER(AL117&amp;"" | ""&amp;E117),""алгоритмы про""),""Алгоритмы про"",""""),IF(REGEXMATCH(LOWER(AL117&amp;"" | ""&amp;E117),""аналитика про""),"""&amp;"Аналитика про"",""""),IF(REGEXMATCH(LOWER(AL117&amp;"" | ""&amp;E117),""ml про""),""ML про"",""""),IF(REGEXMATCH(LOWER(AL117&amp;"" | ""&amp;E117),""backend про""),""Backend про"",""""),IF(REGEXMATCH(LOWER(AL117&amp;"" | ""&amp;E117),""(а/в|ав|а в|ab)[ -]?тест""),""А/В-тесты"","&amp;"""""),IF(REGEXMATCH(LOWER(AL117&amp;"" | ""&amp;E117),""data science""),""Data science"",""""),IF(REGEXMATCH(LOWER(AL117&amp;"" | ""&amp;E117),""data[- ]?инжен""),""Data-инженер"",""""),IF(REGEXMATCH(LOWER(AL117&amp;"" | ""&amp;E117),""frontend""),""Frontend"",""""))))"),"Аналитика старт | Алгоритмы старт | Backend старт | ML старт")</f>
        <v>Аналитика старт | Алгоритмы старт | Backend старт | ML старт</v>
      </c>
    </row>
    <row r="118">
      <c r="A118" s="6" t="str">
        <f>IFERROR(__xludf.DUMMYFUNCTION("""COMPUTED_VALUE"""),"EXT-18")</f>
        <v>EXT-18</v>
      </c>
      <c r="B118" s="6" t="str">
        <f>IFERROR(__xludf.DUMMYFUNCTION("""COMPUTED_VALUE"""),"2026-07-25 11:56:14")</f>
        <v>2026-07-25 11:56:14</v>
      </c>
      <c r="C118" s="6" t="str">
        <f>IFERROR(__xludf.DUMMYFUNCTION("""COMPUTED_VALUE"""),"@chad_protocol")</f>
        <v>@chad_protocol</v>
      </c>
      <c r="D118" s="4" t="str">
        <f>IFERROR(__xludf.DUMMYFUNCTION("""COMPUTED_VALUE"""),"Контент с упоминанием")</f>
        <v>Контент с упоминанием</v>
      </c>
      <c r="E118" s="6" t="str">
        <f>IFERROR(__xludf.DUMMYFUNCTION("""COMPUTED_VALUE"""),"")</f>
        <v/>
      </c>
      <c r="F118" s="6" t="str">
        <f>IFERROR(__xludf.DUMMYFUNCTION("""COMPUTED_VALUE"""),"")</f>
        <v/>
      </c>
      <c r="G118" s="10" t="str">
        <f>IFERROR(__xludf.DUMMYFUNCTION("""COMPUTED_VALUE"""),"https://t.me/chad_protocol/497")</f>
        <v>https://t.me/chad_protocol/497</v>
      </c>
      <c r="H118" s="6" t="str">
        <f>IFERROR(__xludf.DUMMYFUNCTION("""COMPUTED_VALUE"""),"Сокращения Сокращения Сокращения 
Собрал слухи, интриги и расследования в айти и смежных отраслях за последние два месяца. Поддержите там реакцией, если нравится такой контент и хотите больше инсайдов/анализа. 
Wildberries
Вчера начал отзывать офферы, п"&amp;"ереносит даты выхода на работу (оффер как всегда ничего не гарантирует). У компании большие проблемы: мега склады расфигачили, их банки попали в санкционный список, скоро будут сносить приложения. Советую с осторожностью относится к маркет плейсам в плане"&amp;" места работы, для них ожидаются тяжелые времена. 
Касаемо WB в начале мая попрощались с частью руководителей Data Science. Официально - оптимизация, неофициально - замена на более управляемых людей. Часть тимлидов ушла сама, без выходных пособий. Рядовых"&amp;" разработчиков не трогали, точечно отсеивают лишь тех, кто провалил перформанс-ревью. У WB очень много денег, руководству всегда насыпали щедро, но похоже сейчас пытаются обойтись точечными сокращениями - держим руку на пульсе! 
Есть стойкое ощущение, что"&amp;" многие ""вечно открытые"" вакансии WB с мгновенным автоотказом - бутафория. Их разбирают только когда действительно нужно, в остальное время просто собирают базу резюме.
Райффайзенбанк
Классическая стратегия ""мягкого выдавливания"". С прошлого года при"&amp;" уходе сотрудника из некритичных направлений замену не нанимали - просто замораживали позицию. С конца 2025 начали целиком расформировывать отделы, которые перестали быть нужны и генерировали только косты. 
С начала года убрали несколько платформенных IT-"&amp;"команд, чью пользу посчитали необязательной. Позже сократили персонал в рознице, финансах и рисках. При официальном увольнении обещают два оклада.
Параллельно банк обязывает сотрудников подписать допсоглашение о трёх днях в офисе - расчёт на то, что часть"&amp;" людей уйдёт сама. Также практикуют заморозку зарплат и отказ в индексации ""из-за отсутствия бюджета"", что тоже подталкивает к увольнению по собственному. 
Postgres Professional
Планируют сократить до 30% штата. Причина: падение чистой прибыли с 7 до 3"&amp;" млрд. Забавно, что компания остаётся глубоко прибыльной, но режет людей. Похоже, готовятся к затяжному снижению спроса или просто решили увеличить маржу за счёт персонала.
Яндекс Маркет (и ""Поисковые сервисы и ИИ"")
Главная волна затронет направление "&amp;"""Поиск и ИИ"". Здесь собираются ужать коммерческий департамент и отдельные продукты, включая сервис маркетинговых исследований ""Яндекс Взгляд"". Активные увольнения уже идут, во вторую фазу попадут те, у кого плохие метрики эффективности.
Почему: в 2025"&amp;" году это направление показало рост выручки всего на 10% - намного хуже других сегментов, хотя на него приходится 34% всей выручки Яндекса. Хотят уволить до 15% сотрудников.
Схема такая: людей не выгоняют сразу, а предлагают заново пройти собеседования в "&amp;"другие команды. Не прошёл - покидаешь компанию.
Общая идеология Яндекса сейчас - ""Найм 2.0"": берут Middle-разработчиков, владеющих AI-инструментами, и ожидают, что они закроют задачи уровня Senior. Это как всегда откровенный демпинг зарплатных ожиданий."&amp;"
Сбер
Готовятся к сокращению до 20% сотрудников в ряде департаментов к концу Q3.
Формальный повод - ""огромные успехи"" GigaChat. Топ-менеджеров убедили, что с помощью ИИ люди могут делать гораздо больше. Нарисованные метрики использования AI уже демонст"&amp;"рируют невероятный рост эффективности, и руководство верит в это.
Для IT-подразделений повысили KPI на 50%, объяснив это внедрением ИИ. Вводят строгий контроль: метрики использования AI-инструментов и запрет дробить крупные задачи на мелкие (чтобы не накр"&amp;"учивать ""количество выполненных задач"").
Цель: сократив людей, сохранить продуктивность за счёт новых AI-практик. Основной удар придётся на роли, которые решили упразднить, и на сотрудников с рутинной работой, которую можно автоматизировать связкой ""Ju"&amp;"nior + GigaChat"". Вместо дорогостоящих специалистов будут нанимать дешёвую рабочую силу.
Первая волна намечена на конец Q2. Всё это нужно, чтобы оправдать огромные вливания в ИИ-проекты.
X5 Group
Сообщают о сокращении 20–30% персонала. Причина: недополу"&amp;"ченная в 2026 году прибыль (минус 20 млрд к уровню 2025) и рост налоговой нагрузки. Бюджеты на проекты серьёзно порезали.
Пока всё на стадии встреч 1-на-1, конкретики мало. Скорее всего, будут давить на добровольный уход. Внешних подрядчиков (аутстафф) уж"&amp;"е сократили.
Интересные штрихи: весной заморозили индексацию зарплат, а прямо сейчас проводят опросы лояльности - при том, что людей предупреждают о сокращениях. Так же было и перед отменой индексации. После прихода менеджеров из Авито и Яндекса внедрили "&amp;"перф-ревью и оценку 360. На общих встречах до последнего уверяли, что сокращений не будет. Сейчас говорят, что постараются найти места внутри компании, но насколько это реально непонятно.
Официальный аргумент на all hands: борьба с теми, кто не отрабатыва"&amp;"ет 8 часов. Похоже, смена управленческой команды запустила переоценку эффективности и раздутости штата.
Наш карьерный чат
Ну а про сокращения в Т-банке, Туту, Авито, Альфа, Skyeng, ecom . tech и Купер вы уже слышали. Мои кандидаты на следующие массовые "&amp;"сокращения в ближайшие месяцы: Альфа, Ламода, НЛМК, X5, Лента, ОККО, Сравни, Ozon, Точка, МТС, а также Авито. Причина общая: набрали слишком много людей в сытые времена, сейчас будут ""оптимизировать""
Главный вывод, что нужно всегда быть готовым к любым"&amp;" ударам судьбы, поэтому советую курсы Поступашек. Для начинающих специалистов линейку СТАРТ. А для продвинутых линейку ПРО. На курсах ботают не только харды, но и качают навыки нужные для построения и развития карьеры.  
Подписатсья: @chad_protocol")</f>
        <v>Сокращения Сокращения Сокращения 
Собрал слухи, интриги и расследования в айти и смежных отраслях за последние два месяца. Поддержите там реакцией, если нравится такой контент и хотите больше инсайдов/анализа. 
Wildberries
Вчера начал отзывать офферы, переносит даты выхода на работу (оффер как всегда ничего не гарантирует). У компании большие проблемы: мега склады расфигачили, их банки попали в санкционный список, скоро будут сносить приложения. Советую с осторожностью относится к маркет плейсам в плане места работы, для них ожидаются тяжелые времена. 
Касаемо WB в начале мая попрощались с частью руководителей Data Science. Официально - оптимизация, неофициально - замена на более управляемых людей. Часть тимлидов ушла сама, без выходных пособий. Рядовых разработчиков не трогали, точечно отсеивают лишь тех, кто провалил перформанс-ревью. У WB очень много денег, руководству всегда насыпали щедро, но похоже сейчас пытаются обойтись точечными сокращениями - держим руку на пульсе! 
Есть стойкое ощущение, что многие "вечно открытые" вакансии WB с мгновенным автоотказом - бутафория. Их разбирают только когда действительно нужно, в остальное время просто собирают базу резюме.
Райффайзенбанк
Классическая стратегия "мягкого выдавливания". С прошлого года при уходе сотрудника из некритичных направлений замену не нанимали - просто замораживали позицию. С конца 2025 начали целиком расформировывать отделы, которые перестали быть нужны и генерировали только косты. 
С начала года убрали несколько платформенных IT-команд, чью пользу посчитали необязательной. Позже сократили персонал в рознице, финансах и рисках. При официальном увольнении обещают два оклада.
Параллельно банк обязывает сотрудников подписать допсоглашение о трёх днях в офисе - расчёт на то, что часть людей уйдёт сама. Также практикуют заморозку зарплат и отказ в индексации "из-за отсутствия бюджета", что тоже подталкивает к увольнению по собственному. 
Postgres Professional
Планируют сократить до 30% штата. Причина: падение чистой прибыли с 7 до 3 млрд. Забавно, что компания остаётся глубоко прибыльной, но режет людей. Похоже, готовятся к затяжному снижению спроса или просто решили увеличить маржу за счёт персонала.
Яндекс Маркет (и "Поисковые сервисы и ИИ")
Главная волна затронет направление "Поиск и ИИ". Здесь собираются ужать коммерческий департамент и отдельные продукты, включая сервис маркетинговых исследований "Яндекс Взгляд". Активные увольнения уже идут, во вторую фазу попадут те, у кого плохие метрики эффективности.
Почему: в 2025 году это направление показало рост выручки всего на 10% - намного хуже других сегментов, хотя на него приходится 34% всей выручки Яндекса. Хотят уволить до 15% сотрудников.
Схема такая: людей не выгоняют сразу, а предлагают заново пройти собеседования в другие команды. Не прошёл - покидаешь компанию.
Общая идеология Яндекса сейчас - "Найм 2.0": берут Middle-разработчиков, владеющих AI-инструментами, и ожидают, что они закроют задачи уровня Senior. Это как всегда откровенный демпинг зарплатных ожиданий.
Сбер
Готовятся к сокращению до 20% сотрудников в ряде департаментов к концу Q3.
Формальный повод - "огромные успехи" GigaChat. Топ-менеджеров убедили, что с помощью ИИ люди могут делать гораздо больше. Нарисованные метрики использования AI уже демонстрируют невероятный рост эффективности, и руководство верит в это.
Для IT-подразделений повысили KPI на 50%, объяснив это внедрением ИИ. Вводят строгий контроль: метрики использования AI-инструментов и запрет дробить крупные задачи на мелкие (чтобы не накручивать "количество выполненных задач").
Цель: сократив людей, сохранить продуктивность за счёт новых AI-практик. Основной удар придётся на роли, которые решили упразднить, и на сотрудников с рутинной работой, которую можно автоматизировать связкой "Junior + GigaChat". Вместо дорогостоящих специалистов будут нанимать дешёвую рабочую силу.
Первая волна намечена на конец Q2. Всё это нужно, чтобы оправдать огромные вливания в ИИ-проекты.
X5 Group
Сообщают о сокращении 20–30% персонала. Причина: недополученная в 2026 году прибыль (минус 20 млрд к уровню 2025) и рост налоговой нагрузки. Бюджеты на проекты серьёзно порезали.
Пока всё на стадии встреч 1-на-1, конкретики мало. Скорее всего, будут давить на добровольный уход. Внешних подрядчиков (аутстафф) уже сократили.
Интересные штрихи: весной заморозили индексацию зарплат, а прямо сейчас проводят опросы лояльности - при том, что людей предупреждают о сокращениях. Так же было и перед отменой индексации. После прихода менеджеров из Авито и Яндекса внедрили перф-ревью и оценку 360. На общих встречах до последнего уверяли, что сокращений не будет. Сейчас говорят, что постараются найти места внутри компании, но насколько это реально непонятно.
Официальный аргумент на all hands: борьба с теми, кто не отрабатывает 8 часов. Похоже, смена управленческой команды запустила переоценку эффективности и раздутости штата.
Наш карьерный чат
Ну а про сокращения в Т-банке, Туту, Авито, Альфа, Skyeng, ecom . tech и Купер вы уже слышали. Мои кандидаты на следующие массовые сокращения в ближайшие месяцы: Альфа, Ламода, НЛМК, X5, Лента, ОККО, Сравни, Ozon, Точка, МТС, а также Авито. Причина общая: набрали слишком много людей в сытые времена, сейчас будут "оптимизировать"
Главный вывод, что нужно всегда быть готовым к любым ударам судьбы, поэтому советую курсы Поступашек. Для начинающих специалистов линейку СТАРТ. А для продвинутых линейку ПРО. На курсах ботают не только харды, но и качают навыки нужные для построения и развития карьеры.  
Подписатсья: @chad_protocol</v>
      </c>
      <c r="I118" s="6" t="str">
        <f>IFERROR(__xludf.DUMMYFUNCTION("""COMPUTED_VALUE"""),"external")</f>
        <v>external</v>
      </c>
      <c r="J118" s="10" t="str">
        <f>IFERROR(__xludf.DUMMYFUNCTION("""COMPUTED_VALUE"""),"https://t.me/chad_protocol/497")</f>
        <v>https://t.me/chad_protocol/497</v>
      </c>
      <c r="K118" s="6">
        <f>IFERROR(__xludf.DUMMYFUNCTION("""COMPUTED_VALUE"""),8730.0)</f>
        <v>8730</v>
      </c>
      <c r="L118" s="6">
        <f>IFERROR(__xludf.DUMMYFUNCTION("""COMPUTED_VALUE"""),38.0)</f>
        <v>38</v>
      </c>
      <c r="M118" s="6"/>
      <c r="N118" s="6" t="str">
        <f>IFERROR(__xludf.DUMMYFUNCTION("""COMPUTED_VALUE"""),"Telegram")</f>
        <v>Telegram</v>
      </c>
      <c r="O118" s="6" t="str">
        <f>IFERROR(__xludf.DUMMYFUNCTION("""COMPUTED_VALUE"""),"raw")</f>
        <v>raw</v>
      </c>
      <c r="P118" s="6" t="str">
        <f>IFERROR(__xludf.DUMMYFUNCTION("""COMPUTED_VALUE"""),"Codex")</f>
        <v>Codex</v>
      </c>
      <c r="Q118" s="6" t="str">
        <f>IFERROR(__xludf.DUMMYFUNCTION("""COMPUTED_VALUE"""),"Общий контакт @vice22821; признак связи с проектом")</f>
        <v>Общий контакт @vice22821; признак связи с проектом</v>
      </c>
      <c r="R118" s="6" t="str">
        <f>IFERROR(__xludf.DUMMYFUNCTION("""COMPUTED_VALUE"""),"unknown")</f>
        <v>unknown</v>
      </c>
      <c r="S118" s="6" t="str">
        <f>IFERROR(__xludf.DUMMYFUNCTION("""COMPUTED_VALUE"""),"unknown")</f>
        <v>unknown</v>
      </c>
      <c r="T118" s="6" t="str">
        <f>IFERROR(__xludf.DUMMYFUNCTION("""COMPUTED_VALUE"""),"telegram_external")</f>
        <v>telegram_external</v>
      </c>
      <c r="U118" s="6" t="str">
        <f>IFERROR(__xludf.DUMMYFUNCTION("""COMPUTED_VALUE"""),"Контент с упоминанием")</f>
        <v>Контент с упоминанием</v>
      </c>
      <c r="V118" s="6" t="str">
        <f>IFERROR(__xludf.DUMMYFUNCTION("""COMPUTED_VALUE"""),"")</f>
        <v/>
      </c>
      <c r="W118" s="6" t="str">
        <f>IFERROR(__xludf.DUMMYFUNCTION("""COMPUTED_VALUE"""),"")</f>
        <v/>
      </c>
      <c r="X118" s="6"/>
      <c r="Y118" s="6" t="str">
        <f>IFERROR(__xludf.DUMMYFUNCTION("""COMPUTED_VALUE"""),"https://t.me/postypashki_old/1810
https://old.postypashki.ru/%D0%BA%D0%B0%D1%80%D1%8C%D0%B5%D1%80%D0%BD%D1%8B%D0%B5-%D0%BA%D1%83%D1%80%D1%81%D1%8B/")</f>
        <v>https://t.me/postypashki_old/1810
https://old.postypashki.ru/%D0%BA%D0%B0%D1%80%D1%8C%D0%B5%D1%80%D0%BD%D1%8B%D0%B5-%D0%BA%D1%83%D1%80%D1%81%D1%8B/</v>
      </c>
      <c r="Z118" s="6" t="b">
        <f>IFERROR(__xludf.DUMMYFUNCTION("""COMPUTED_VALUE"""),TRUE)</f>
        <v>1</v>
      </c>
      <c r="AA118" s="6" t="str">
        <f>IFERROR(__xludf.DUMMYFUNCTION("""COMPUTED_VALUE"""),"")</f>
        <v/>
      </c>
      <c r="AB118" s="6" t="str">
        <f>IFERROR(__xludf.DUMMYFUNCTION("""COMPUTED_VALUE"""),"")</f>
        <v/>
      </c>
      <c r="AC118" s="6" t="str">
        <f>IFERROR(__xludf.DUMMYFUNCTION("""COMPUTED_VALUE"""),"")</f>
        <v/>
      </c>
      <c r="AD118" s="6" t="str">
        <f>IFERROR(__xludf.DUMMYFUNCTION("""COMPUTED_VALUE"""),"")</f>
        <v/>
      </c>
      <c r="AE118" s="6" t="str">
        <f>IFERROR(__xludf.DUMMYFUNCTION("""COMPUTED_VALUE"""),"")</f>
        <v/>
      </c>
      <c r="AF118" s="6" t="str">
        <f>IFERROR(__xludf.DUMMYFUNCTION("""COMPUTED_VALUE"""),"Не подтверждено")</f>
        <v>Не подтверждено</v>
      </c>
      <c r="AG118" s="6" t="str">
        <f>IFERROR(__xludf.DUMMYFUNCTION("""COMPUTED_VALUE"""),"")</f>
        <v/>
      </c>
      <c r="AH118" s="6" t="str">
        <f>IFERROR(__xludf.DUMMYFUNCTION("""COMPUTED_VALUE"""),"2026-09-11T11:47:52.658878+00:00")</f>
        <v>2026-09-11T11:47:52.658878+00:00</v>
      </c>
      <c r="AI118" s="6" t="str">
        <f>IFERROR(__xludf.DUMMYFUNCTION("""COMPUTED_VALUE"""),"raw/chad_protocol/page_001.html")</f>
        <v>raw/chad_protocol/page_001.html</v>
      </c>
      <c r="AJ118" s="9" t="s">
        <v>167</v>
      </c>
      <c r="AK118" s="9" t="s">
        <v>240</v>
      </c>
      <c r="AM118" s="9" t="s">
        <v>219</v>
      </c>
      <c r="AN118" s="4" t="str">
        <f>IFERROR(__xludf.DUMMYFUNCTION("IF(OR(AJ118=""general_brand"",AJ118=""external"",AJ118=""unknown""),"""",IF(AJ118=""product_line"",IF(AK118=""START"",""Аналитика старт | Алгоритмы старт | Backend старт | ML старт"",IF(AK118=""PRO"",""AI-агенты про | Алгоритмы про | Аналитика про | ML пр"&amp;"о | Backend про"",IF(AK118=""START | PRO"",""Аналитика старт | Алгоритмы старт | Backend старт | ML старт | AI-агенты про | Алгоритмы про | Аналитика про | ML про | Backend про"",""""))),TEXTJOIN("" | "",TRUE,IF(REGEXMATCH(LOWER(AL118&amp;"" | ""&amp;E118),""анал"&amp;"итика старт""),""Аналитика старт"",""""),IF(REGEXMATCH(LOWER(AL118&amp;"" | ""&amp;E118),""алгоритмы старт""),""Алгоритмы старт"",""""),IF(REGEXMATCH(LOWER(AL118&amp;"" | ""&amp;E118),""backend старт""),""Backend старт"",""""),IF(REGEXMATCH(LOWER(AL118&amp;"" | ""&amp;E118),""ml"&amp;" старт""),""ML старт"",""""),IF(REGEXMATCH(LOWER(AL118&amp;"" | ""&amp;E118),""ai[ -]?агент""),""AI-агенты про"",""""),IF(REGEXMATCH(LOWER(AL118&amp;"" | ""&amp;E118),""алгоритмы про""),""Алгоритмы про"",""""),IF(REGEXMATCH(LOWER(AL118&amp;"" | ""&amp;E118),""аналитика про""),"""&amp;"Аналитика про"",""""),IF(REGEXMATCH(LOWER(AL118&amp;"" | ""&amp;E118),""ml про""),""ML про"",""""),IF(REGEXMATCH(LOWER(AL118&amp;"" | ""&amp;E118),""backend про""),""Backend про"",""""),IF(REGEXMATCH(LOWER(AL118&amp;"" | ""&amp;E118),""(а/в|ав|а в|ab)[ -]?тест""),""А/В-тесты"","&amp;"""""),IF(REGEXMATCH(LOWER(AL118&amp;"" | ""&amp;E118),""data science""),""Data science"",""""),IF(REGEXMATCH(LOWER(AL118&amp;"" | ""&amp;E118),""data[- ]?инжен""),""Data-инженер"",""""),IF(REGEXMATCH(LOWER(AL118&amp;"" | ""&amp;E118),""frontend""),""Frontend"",""""))))"),"Аналитика старт | Алгоритмы старт | Backend старт | ML старт | AI-агенты про | Алгоритмы про | Аналитика про | ML про | Backend про")</f>
        <v>Аналитика старт | Алгоритмы старт | Backend старт | ML старт | AI-агенты про | Алгоритмы про | Аналитика про | ML про | Backend про</v>
      </c>
    </row>
    <row r="119">
      <c r="A119" s="6" t="str">
        <f>IFERROR(__xludf.DUMMYFUNCTION("""COMPUTED_VALUE"""),"EXT-19")</f>
        <v>EXT-19</v>
      </c>
      <c r="B119" s="6" t="str">
        <f>IFERROR(__xludf.DUMMYFUNCTION("""COMPUTED_VALUE"""),"2026-07-25 22:19:31")</f>
        <v>2026-07-25 22:19:31</v>
      </c>
      <c r="C119" s="6" t="str">
        <f>IFERROR(__xludf.DUMMYFUNCTION("""COMPUTED_VALUE"""),"@postypashki_mems")</f>
        <v>@postypashki_mems</v>
      </c>
      <c r="D119" s="4" t="str">
        <f>IFERROR(__xludf.DUMMYFUNCTION("""COMPUTED_VALUE"""),"Промо со скидкой")</f>
        <v>Промо со скидкой</v>
      </c>
      <c r="E119" s="6" t="str">
        <f>IFERROR(__xludf.DUMMYFUNCTION("""COMPUTED_VALUE"""),"")</f>
        <v/>
      </c>
      <c r="F119" s="6" t="str">
        <f>IFERROR(__xludf.DUMMYFUNCTION("""COMPUTED_VALUE"""),"")</f>
        <v/>
      </c>
      <c r="G119" s="10" t="str">
        <f>IFERROR(__xludf.DUMMYFUNCTION("""COMPUTED_VALUE"""),"https://t.me/postypashki_mems/1350")</f>
        <v>https://t.me/postypashki_mems/1350</v>
      </c>
      <c r="H119" s="6" t="str">
        <f>IFERROR(__xludf.DUMMYFUNCTION("""COMPUTED_VALUE"""),"Повышение цен
В 23:59 заканчиваются скидки на карьерные курсы «СТАРТ».
После этого стоимость снова станет 14 795 ₽, а сейчас любой курс можно забрать за 8 745 ₽.
Если этим летом вы хотите:
— подготовиться к собеседованиям и выйти на рынок;
— разобратьс"&amp;"я, что реально спрашивают в Яндексе, Т-Банке, Авито, WB и других компаниях;
— пройти мок-собеседование и получить обратную связь;
— получить доступ к базе реальных задач и материалов,
то сейчас последний шанс присоединиться по сниженной цене.
Курсы толь"&amp;"ко начались, поэтому вы успеваете подключиться к основной части программы.
Напоминаем, что помимо спец цены еще есть скидки:
-500 ₽, если учились уже у нас на других курсах
-500 ₽, если берете с другом
-сниженная цена для тех, кто смотрел дебаты и скажет"&amp;" промокод
💵А если вы уже учились или учитесь у нас и готовы порекомендовать курс другу, мы дадим ему дополнительную скидку, а вас отблагодарим за рекомендацию
📌Для записи на курс и вопросам по реферальной программы  напишите менеджеру")</f>
        <v>Повышение цен
В 23:59 заканчиваются скидки на карьерные курсы «СТАРТ».
После этого стоимость снова станет 14 795 ₽, а сейчас любой курс можно забрать за 8 745 ₽.
Если этим летом вы хотите:
— подготовиться к собеседованиям и выйти на рынок;
— разобраться, что реально спрашивают в Яндексе, Т-Банке, Авито, WB и других компаниях;
— пройти мок-собеседование и получить обратную связь;
— получить доступ к базе реальных задач и материалов,
то сейчас последний шанс присоединиться по сниженной цене.
Курсы только начались, поэтому вы успеваете подключиться к основной части программы.
Напоминаем, что помимо спец цены еще есть скидки:
-500 ₽, если учились уже у нас на других курсах
-500 ₽, если берете с другом
-сниженная цена для тех, кто смотрел дебаты и скажет промокод
💵А если вы уже учились или учитесь у нас и готовы порекомендовать курс другу, мы дадим ему дополнительную скидку, а вас отблагодарим за рекомендацию
📌Для записи на курс и вопросам по реферальной программы  напишите менеджеру</v>
      </c>
      <c r="I119" s="6" t="str">
        <f>IFERROR(__xludf.DUMMYFUNCTION("""COMPUTED_VALUE"""),"external")</f>
        <v>external</v>
      </c>
      <c r="J119" s="10" t="str">
        <f>IFERROR(__xludf.DUMMYFUNCTION("""COMPUTED_VALUE"""),"https://t.me/postypashki_mems/1350")</f>
        <v>https://t.me/postypashki_mems/1350</v>
      </c>
      <c r="K119" s="6">
        <f>IFERROR(__xludf.DUMMYFUNCTION("""COMPUTED_VALUE"""),2050.0)</f>
        <v>2050</v>
      </c>
      <c r="L119" s="6"/>
      <c r="M119" s="6"/>
      <c r="N119" s="6" t="str">
        <f>IFERROR(__xludf.DUMMYFUNCTION("""COMPUTED_VALUE"""),"Telegram")</f>
        <v>Telegram</v>
      </c>
      <c r="O119" s="6" t="str">
        <f>IFERROR(__xludf.DUMMYFUNCTION("""COMPUTED_VALUE"""),"raw")</f>
        <v>raw</v>
      </c>
      <c r="P119" s="6" t="str">
        <f>IFERROR(__xludf.DUMMYFUNCTION("""COMPUTED_VALUE"""),"Codex")</f>
        <v>Codex</v>
      </c>
      <c r="Q119" s="6" t="str">
        <f>IFERROR(__xludf.DUMMYFUNCTION("""COMPUTED_VALUE"""),"Общий контакт @vice22821; признак связи с проектом")</f>
        <v>Общий контакт @vice22821; признак связи с проектом</v>
      </c>
      <c r="R119" s="6" t="str">
        <f>IFERROR(__xludf.DUMMYFUNCTION("""COMPUTED_VALUE"""),"unknown")</f>
        <v>unknown</v>
      </c>
      <c r="S119" s="6" t="str">
        <f>IFERROR(__xludf.DUMMYFUNCTION("""COMPUTED_VALUE"""),"unknown")</f>
        <v>unknown</v>
      </c>
      <c r="T119" s="6" t="str">
        <f>IFERROR(__xludf.DUMMYFUNCTION("""COMPUTED_VALUE"""),"telegram_external")</f>
        <v>telegram_external</v>
      </c>
      <c r="U119" s="6" t="str">
        <f>IFERROR(__xludf.DUMMYFUNCTION("""COMPUTED_VALUE"""),"Промо со скидкой")</f>
        <v>Промо со скидкой</v>
      </c>
      <c r="V119" s="6" t="str">
        <f>IFERROR(__xludf.DUMMYFUNCTION("""COMPUTED_VALUE"""),"")</f>
        <v/>
      </c>
      <c r="W119" s="6" t="str">
        <f>IFERROR(__xludf.DUMMYFUNCTION("""COMPUTED_VALUE"""),"")</f>
        <v/>
      </c>
      <c r="X119" s="6" t="str">
        <f>IFERROR(__xludf.DUMMYFUNCTION("""COMPUTED_VALUE"""),"Forwarded from Поступашки - ШАД, Стажировки и Магистратура")</f>
        <v>Forwarded from Поступашки - ШАД, Стажировки и Магистратура</v>
      </c>
      <c r="Y119" s="6" t="str">
        <f>IFERROR(__xludf.DUMMYFUNCTION("""COMPUTED_VALUE"""),"https://t.me/postypashki_old/1814
https://t.me/postypashki_old/1810
https://t.me/m/p94YcePXNjcy")</f>
        <v>https://t.me/postypashki_old/1814
https://t.me/postypashki_old/1810
https://t.me/m/p94YcePXNjcy</v>
      </c>
      <c r="Z119" s="6" t="b">
        <f>IFERROR(__xludf.DUMMYFUNCTION("""COMPUTED_VALUE"""),TRUE)</f>
        <v>1</v>
      </c>
      <c r="AA119" s="6" t="str">
        <f>IFERROR(__xludf.DUMMYFUNCTION("""COMPUTED_VALUE"""),"")</f>
        <v/>
      </c>
      <c r="AB119" s="6" t="str">
        <f>IFERROR(__xludf.DUMMYFUNCTION("""COMPUTED_VALUE"""),"")</f>
        <v/>
      </c>
      <c r="AC119" s="6" t="str">
        <f>IFERROR(__xludf.DUMMYFUNCTION("""COMPUTED_VALUE"""),"")</f>
        <v/>
      </c>
      <c r="AD119" s="6" t="str">
        <f>IFERROR(__xludf.DUMMYFUNCTION("""COMPUTED_VALUE"""),"")</f>
        <v/>
      </c>
      <c r="AE119" s="6" t="str">
        <f>IFERROR(__xludf.DUMMYFUNCTION("""COMPUTED_VALUE"""),"")</f>
        <v/>
      </c>
      <c r="AF119" s="6" t="str">
        <f>IFERROR(__xludf.DUMMYFUNCTION("""COMPUTED_VALUE"""),"Не подтверждено")</f>
        <v>Не подтверждено</v>
      </c>
      <c r="AG119" s="6" t="str">
        <f>IFERROR(__xludf.DUMMYFUNCTION("""COMPUTED_VALUE"""),"")</f>
        <v/>
      </c>
      <c r="AH119" s="6" t="str">
        <f>IFERROR(__xludf.DUMMYFUNCTION("""COMPUTED_VALUE"""),"2026-09-11T11:48:02.028687+00:00")</f>
        <v>2026-09-11T11:48:02.028687+00:00</v>
      </c>
      <c r="AI119" s="6" t="str">
        <f>IFERROR(__xludf.DUMMYFUNCTION("""COMPUTED_VALUE"""),"raw/postypashki_mems/page_003.html")</f>
        <v>raw/postypashki_mems/page_003.html</v>
      </c>
      <c r="AJ119" s="9" t="s">
        <v>167</v>
      </c>
      <c r="AK119" s="9" t="s">
        <v>213</v>
      </c>
      <c r="AM119" s="9" t="s">
        <v>237</v>
      </c>
      <c r="AN119" s="4" t="str">
        <f>IFERROR(__xludf.DUMMYFUNCTION("IF(OR(AJ119=""general_brand"",AJ119=""external"",AJ119=""unknown""),"""",IF(AJ119=""product_line"",IF(AK119=""START"",""Аналитика старт | Алгоритмы старт | Backend старт | ML старт"",IF(AK119=""PRO"",""AI-агенты про | Алгоритмы про | Аналитика про | ML пр"&amp;"о | Backend про"",IF(AK119=""START | PRO"",""Аналитика старт | Алгоритмы старт | Backend старт | ML старт | AI-агенты про | Алгоритмы про | Аналитика про | ML про | Backend про"",""""))),TEXTJOIN("" | "",TRUE,IF(REGEXMATCH(LOWER(AL119&amp;"" | ""&amp;E119),""анал"&amp;"итика старт""),""Аналитика старт"",""""),IF(REGEXMATCH(LOWER(AL119&amp;"" | ""&amp;E119),""алгоритмы старт""),""Алгоритмы старт"",""""),IF(REGEXMATCH(LOWER(AL119&amp;"" | ""&amp;E119),""backend старт""),""Backend старт"",""""),IF(REGEXMATCH(LOWER(AL119&amp;"" | ""&amp;E119),""ml"&amp;" старт""),""ML старт"",""""),IF(REGEXMATCH(LOWER(AL119&amp;"" | ""&amp;E119),""ai[ -]?агент""),""AI-агенты про"",""""),IF(REGEXMATCH(LOWER(AL119&amp;"" | ""&amp;E119),""алгоритмы про""),""Алгоритмы про"",""""),IF(REGEXMATCH(LOWER(AL119&amp;"" | ""&amp;E119),""аналитика про""),"""&amp;"Аналитика про"",""""),IF(REGEXMATCH(LOWER(AL119&amp;"" | ""&amp;E119),""ml про""),""ML про"",""""),IF(REGEXMATCH(LOWER(AL119&amp;"" | ""&amp;E119),""backend про""),""Backend про"",""""),IF(REGEXMATCH(LOWER(AL119&amp;"" | ""&amp;E119),""(а/в|ав|а в|ab)[ -]?тест""),""А/В-тесты"","&amp;"""""),IF(REGEXMATCH(LOWER(AL119&amp;"" | ""&amp;E119),""data science""),""Data science"",""""),IF(REGEXMATCH(LOWER(AL119&amp;"" | ""&amp;E119),""data[- ]?инжен""),""Data-инженер"",""""),IF(REGEXMATCH(LOWER(AL119&amp;"" | ""&amp;E119),""frontend""),""Frontend"",""""))))"),"Аналитика старт | Алгоритмы старт | Backend старт | ML старт")</f>
        <v>Аналитика старт | Алгоритмы старт | Backend старт | ML старт</v>
      </c>
    </row>
    <row r="120">
      <c r="A120" s="6" t="str">
        <f>IFERROR(__xludf.DUMMYFUNCTION("""COMPUTED_VALUE"""),"EXT-20")</f>
        <v>EXT-20</v>
      </c>
      <c r="B120" s="6" t="str">
        <f>IFERROR(__xludf.DUMMYFUNCTION("""COMPUTED_VALUE"""),"2026-07-26 10:02:29")</f>
        <v>2026-07-26 10:02:29</v>
      </c>
      <c r="C120" s="6" t="str">
        <f>IFERROR(__xludf.DUMMYFUNCTION("""COMPUTED_VALUE"""),"@ProdAnalysis")</f>
        <v>@ProdAnalysis</v>
      </c>
      <c r="D120" s="4" t="str">
        <f>IFERROR(__xludf.DUMMYFUNCTION("""COMPUTED_VALUE"""),"Контент с упоминанием")</f>
        <v>Контент с упоминанием</v>
      </c>
      <c r="E120" s="6" t="str">
        <f>IFERROR(__xludf.DUMMYFUNCTION("""COMPUTED_VALUE"""),"")</f>
        <v/>
      </c>
      <c r="F120" s="6" t="str">
        <f>IFERROR(__xludf.DUMMYFUNCTION("""COMPUTED_VALUE"""),"")</f>
        <v/>
      </c>
      <c r="G120" s="10" t="str">
        <f>IFERROR(__xludf.DUMMYFUNCTION("""COMPUTED_VALUE"""),"https://t.me/ProdAnalysis/134")</f>
        <v>https://t.me/ProdAnalysis/134</v>
      </c>
      <c r="H120" s="6" t="str">
        <f>IFERROR(__xludf.DUMMYFUNCTION("""COMPUTED_VALUE"""),"Почему аналитика самое простое направление для старта в IT?
Начнём с основных запросов скиллов под стажёрские позиции. Один из основных, который встречается везде - SQL, фактически это не язык программирования, здесь вам не нужно задумываться, то как ваш"&amp;"а программа будет исполняться, какое время она затратит или же различные нюансы с компиляцией и т.п. Здесь вам потребуется лишь ""объяснить"" вашу задачу с помощью ключевых слов языка (такой тип языков называется декларативный), а что под капотом этого яз"&amp;"ыка  вас не будет интересовать. Второй скилл, который с вас спросят почти на каждом отборе - python, здесь тоже не будет требуется слишком глубокое понимание языка программирования как на бэкенд позици, но в некоторые компании могут давать алгособесы на п"&amp;"озиции аналитика. Теорвер и матстат потребность в этом скиле для отбора в различные компании может варироваться от должности (если ты BI аналитик, тогда значительно слабее будет спрос на эти харды, в случае продуктового - посрпшивают базовые определения и"&amp;" задачки) и непосредственно самой компании (в т-банке в основном акцент идет на кейсы, в яндексе - зависит от собеседующего, но в среднем это основное на что смотрят при отборе на стажки по аналитике). Все эти скилы кстати проходим на курсах по аналитике "&amp;"и алгоритмам
Сама работа в некоторых задачах творческая, соответственно много чилловых созвонов и задач ""проведи кагортный анализ/eda/стат тесты, которые фактически можно сделать тем же днем, но многие растягивают на недели и никаких последствий из-за э"&amp;"того не вылезает"", а та монотонная часть с SQL фактически завязана на следующем алгоритме ""напиши 80 строк кода и жди отдыхай полдня пока оно выполнится"" и нет в основном большого количества горящих сроков. Также не придется изучать большое количество "&amp;"внутренних сервисов и вникать в большие объемы, зачастую недокументированного"" кода.
Бэкенд
В бигтехе огромная нагрузка на бэкенд позициях, компании постоянно нужно большое количество новых сервисов и стажёров зачастую нанимают на позиции под определенн"&amp;"ые задачи, а не с целью вырастить штатного сотрудника. В последнее время в яндекс во многом даже внегласно стал требовать опыт работы при отборе на позиции Go-разработчиков. А также в сравнении с аналитикой, тут куда более сложный и объемный язык, который"&amp;" придется учить, а также одним языком здесь часто не ограничиваются.
Менеджмент
Работа тут конечно ещё более чиловая, но попасть тут нереально, все первичные отборы - это скрининг резюме, что плохо, потому что нет никогда чётких критериев того какие скил"&amp;"ы требуются на эту специальность. Скрининг - это чистый рандом, а сами собеседования скорее проверяют не вашу экспертность, а показывают субъективную точку зрения на счет вашей кандидатуры у интервьювера.
ML
На самом деле процесс работы довольно интересе"&amp;"н, но тут и отбор и сама стажировка будут посложнее, но главное чтобы вас не ставили в команды, где по большому счёту ничего не делают кроме подбора параметров. Тут нагрузка выше чем у Аналитиков и в Менеджменте, но ниже, чем в Бэке
Подписаться: @ProdAna"&amp;"lysis")</f>
        <v>Почему аналитика самое простое направление для старта в IT?
Начнём с основных запросов скиллов под стажёрские позиции. Один из основных, который встречается везде - SQL, фактически это не язык программирования, здесь вам не нужно задумываться, то как ваша программа будет исполняться, какое время она затратит или же различные нюансы с компиляцией и т.п. Здесь вам потребуется лишь "объяснить" вашу задачу с помощью ключевых слов языка (такой тип языков называется декларативный), а что под капотом этого языка  вас не будет интересовать. Второй скилл, который с вас спросят почти на каждом отборе - python, здесь тоже не будет требуется слишком глубокое понимание языка программирования как на бэкенд позици, но в некоторые компании могут давать алгособесы на позиции аналитика. Теорвер и матстат потребность в этом скиле для отбора в различные компании может варироваться от должности (если ты BI аналитик, тогда значительно слабее будет спрос на эти харды, в случае продуктового - посрпшивают базовые определения и задачки) и непосредственно самой компании (в т-банке в основном акцент идет на кейсы, в яндексе - зависит от собеседующего, но в среднем это основное на что смотрят при отборе на стажки по аналитике). Все эти скилы кстати проходим на курсах по аналитике и алгоритмам
Сама работа в некоторых задачах творческая, соответственно много чилловых созвонов и задач "проведи кагортный анализ/eda/стат тесты, которые фактически можно сделать тем же днем, но многие растягивают на недели и никаких последствий из-за этого не вылезает", а та монотонная часть с SQL фактически завязана на следующем алгоритме "напиши 80 строк кода и жди отдыхай полдня пока оно выполнится" и нет в основном большого количества горящих сроков. Также не придется изучать большое количество внутренних сервисов и вникать в большие объемы, зачастую недокументированного" кода.
Бэкенд
В бигтехе огромная нагрузка на бэкенд позициях, компании постоянно нужно большое количество новых сервисов и стажёров зачастую нанимают на позиции под определенные задачи, а не с целью вырастить штатного сотрудника. В последнее время в яндекс во многом даже внегласно стал требовать опыт работы при отборе на позиции Go-разработчиков. А также в сравнении с аналитикой, тут куда более сложный и объемный язык, который придется учить, а также одним языком здесь часто не ограничиваются.
Менеджмент
Работа тут конечно ещё более чиловая, но попасть тут нереально, все первичные отборы - это скрининг резюме, что плохо, потому что нет никогда чётких критериев того какие скилы требуются на эту специальность. Скрининг - это чистый рандом, а сами собеседования скорее проверяют не вашу экспертность, а показывают субъективную точку зрения на счет вашей кандидатуры у интервьювера.
ML
На самом деле процесс работы довольно интересен, но тут и отбор и сама стажировка будут посложнее, но главное чтобы вас не ставили в команды, где по большому счёту ничего не делают кроме подбора параметров. Тут нагрузка выше чем у Аналитиков и в Менеджменте, но ниже, чем в Бэке
Подписаться: @ProdAnalysis</v>
      </c>
      <c r="I120" s="6" t="str">
        <f>IFERROR(__xludf.DUMMYFUNCTION("""COMPUTED_VALUE"""),"external")</f>
        <v>external</v>
      </c>
      <c r="J120" s="10" t="str">
        <f>IFERROR(__xludf.DUMMYFUNCTION("""COMPUTED_VALUE"""),"https://t.me/ProdAnalysis/134")</f>
        <v>https://t.me/ProdAnalysis/134</v>
      </c>
      <c r="K120" s="6">
        <f>IFERROR(__xludf.DUMMYFUNCTION("""COMPUTED_VALUE"""),3810.0)</f>
        <v>3810</v>
      </c>
      <c r="L120" s="6">
        <f>IFERROR(__xludf.DUMMYFUNCTION("""COMPUTED_VALUE"""),7.0)</f>
        <v>7</v>
      </c>
      <c r="M120" s="6"/>
      <c r="N120" s="6" t="str">
        <f>IFERROR(__xludf.DUMMYFUNCTION("""COMPUTED_VALUE"""),"Telegram")</f>
        <v>Telegram</v>
      </c>
      <c r="O120" s="6" t="str">
        <f>IFERROR(__xludf.DUMMYFUNCTION("""COMPUTED_VALUE"""),"raw")</f>
        <v>raw</v>
      </c>
      <c r="P120" s="6" t="str">
        <f>IFERROR(__xludf.DUMMYFUNCTION("""COMPUTED_VALUE"""),"Codex")</f>
        <v>Codex</v>
      </c>
      <c r="Q120" s="6" t="str">
        <f>IFERROR(__xludf.DUMMYFUNCTION("""COMPUTED_VALUE"""),"Общий контакт @vice22821; признак связи с проектом")</f>
        <v>Общий контакт @vice22821; признак связи с проектом</v>
      </c>
      <c r="R120" s="6" t="str">
        <f>IFERROR(__xludf.DUMMYFUNCTION("""COMPUTED_VALUE"""),"unknown")</f>
        <v>unknown</v>
      </c>
      <c r="S120" s="6" t="str">
        <f>IFERROR(__xludf.DUMMYFUNCTION("""COMPUTED_VALUE"""),"unknown")</f>
        <v>unknown</v>
      </c>
      <c r="T120" s="6" t="str">
        <f>IFERROR(__xludf.DUMMYFUNCTION("""COMPUTED_VALUE"""),"telegram_external")</f>
        <v>telegram_external</v>
      </c>
      <c r="U120" s="6" t="str">
        <f>IFERROR(__xludf.DUMMYFUNCTION("""COMPUTED_VALUE"""),"Контент с упоминанием")</f>
        <v>Контент с упоминанием</v>
      </c>
      <c r="V120" s="6" t="str">
        <f>IFERROR(__xludf.DUMMYFUNCTION("""COMPUTED_VALUE"""),"")</f>
        <v/>
      </c>
      <c r="W120" s="6" t="str">
        <f>IFERROR(__xludf.DUMMYFUNCTION("""COMPUTED_VALUE"""),"")</f>
        <v/>
      </c>
      <c r="X120" s="6"/>
      <c r="Y120" s="10" t="str">
        <f>IFERROR(__xludf.DUMMYFUNCTION("""COMPUTED_VALUE"""),"https://t.me/postypashki_old/1417")</f>
        <v>https://t.me/postypashki_old/1417</v>
      </c>
      <c r="Z120" s="6" t="b">
        <f>IFERROR(__xludf.DUMMYFUNCTION("""COMPUTED_VALUE"""),FALSE)</f>
        <v>0</v>
      </c>
      <c r="AA120" s="6" t="str">
        <f>IFERROR(__xludf.DUMMYFUNCTION("""COMPUTED_VALUE"""),"")</f>
        <v/>
      </c>
      <c r="AB120" s="6" t="str">
        <f>IFERROR(__xludf.DUMMYFUNCTION("""COMPUTED_VALUE"""),"")</f>
        <v/>
      </c>
      <c r="AC120" s="6" t="str">
        <f>IFERROR(__xludf.DUMMYFUNCTION("""COMPUTED_VALUE"""),"")</f>
        <v/>
      </c>
      <c r="AD120" s="6" t="str">
        <f>IFERROR(__xludf.DUMMYFUNCTION("""COMPUTED_VALUE"""),"")</f>
        <v/>
      </c>
      <c r="AE120" s="6" t="str">
        <f>IFERROR(__xludf.DUMMYFUNCTION("""COMPUTED_VALUE"""),"")</f>
        <v/>
      </c>
      <c r="AF120" s="6" t="str">
        <f>IFERROR(__xludf.DUMMYFUNCTION("""COMPUTED_VALUE"""),"Не подтверждено")</f>
        <v>Не подтверждено</v>
      </c>
      <c r="AG120" s="6" t="str">
        <f>IFERROR(__xludf.DUMMYFUNCTION("""COMPUTED_VALUE"""),"")</f>
        <v/>
      </c>
      <c r="AH120" s="6" t="str">
        <f>IFERROR(__xludf.DUMMYFUNCTION("""COMPUTED_VALUE"""),"2026-09-11T11:47:35.971287+00:00")</f>
        <v>2026-09-11T11:47:35.971287+00:00</v>
      </c>
      <c r="AI120" s="6" t="str">
        <f>IFERROR(__xludf.DUMMYFUNCTION("""COMPUTED_VALUE"""),"raw/ProdAnalysis/page_001.html")</f>
        <v>raw/ProdAnalysis/page_001.html</v>
      </c>
      <c r="AJ120" s="9" t="s">
        <v>223</v>
      </c>
      <c r="AL120" s="9" t="s">
        <v>251</v>
      </c>
      <c r="AM120" s="9" t="s">
        <v>228</v>
      </c>
      <c r="AN120" s="4" t="str">
        <f>IFERROR(__xludf.DUMMYFUNCTION("IF(OR(AJ120=""general_brand"",AJ120=""external"",AJ120=""unknown""),"""",IF(AJ120=""product_line"",IF(AK120=""START"",""Аналитика старт | Алгоритмы старт | Backend старт | ML старт"",IF(AK120=""PRO"",""AI-агенты про | Алгоритмы про | Аналитика про | ML пр"&amp;"о | Backend про"",IF(AK120=""START | PRO"",""Аналитика старт | Алгоритмы старт | Backend старт | ML старт | AI-агенты про | Алгоритмы про | Аналитика про | ML про | Backend про"",""""))),TEXTJOIN("" | "",TRUE,IF(REGEXMATCH(LOWER(AL120&amp;"" | ""&amp;E120),""анал"&amp;"итика старт""),""Аналитика старт"",""""),IF(REGEXMATCH(LOWER(AL120&amp;"" | ""&amp;E120),""алгоритмы старт""),""Алгоритмы старт"",""""),IF(REGEXMATCH(LOWER(AL120&amp;"" | ""&amp;E120),""backend старт""),""Backend старт"",""""),IF(REGEXMATCH(LOWER(AL120&amp;"" | ""&amp;E120),""ml"&amp;" старт""),""ML старт"",""""),IF(REGEXMATCH(LOWER(AL120&amp;"" | ""&amp;E120),""ai[ -]?агент""),""AI-агенты про"",""""),IF(REGEXMATCH(LOWER(AL120&amp;"" | ""&amp;E120),""алгоритмы про""),""Алгоритмы про"",""""),IF(REGEXMATCH(LOWER(AL120&amp;"" | ""&amp;E120),""аналитика про""),"""&amp;"Аналитика про"",""""),IF(REGEXMATCH(LOWER(AL120&amp;"" | ""&amp;E120),""ml про""),""ML про"",""""),IF(REGEXMATCH(LOWER(AL120&amp;"" | ""&amp;E120),""backend про""),""Backend про"",""""),IF(REGEXMATCH(LOWER(AL120&amp;"" | ""&amp;E120),""(а/в|ав|а в|ab)[ -]?тест""),""А/В-тесты"","&amp;"""""),IF(REGEXMATCH(LOWER(AL120&amp;"" | ""&amp;E120),""data science""),""Data science"",""""),IF(REGEXMATCH(LOWER(AL120&amp;"" | ""&amp;E120),""data[- ]?инжен""),""Data-инженер"",""""),IF(REGEXMATCH(LOWER(AL120&amp;"" | ""&amp;E120),""frontend""),""Frontend"",""""))))"),"")</f>
        <v/>
      </c>
    </row>
    <row r="121">
      <c r="A121" s="6" t="str">
        <f>IFERROR(__xludf.DUMMYFUNCTION("""COMPUTED_VALUE"""),"EXT-21")</f>
        <v>EXT-21</v>
      </c>
      <c r="B121" s="6" t="str">
        <f>IFERROR(__xludf.DUMMYFUNCTION("""COMPUTED_VALUE"""),"2026-07-29 12:54:18")</f>
        <v>2026-07-29 12:54:18</v>
      </c>
      <c r="C121" s="6" t="str">
        <f>IFERROR(__xludf.DUMMYFUNCTION("""COMPUTED_VALUE"""),"@ProdAnalysis")</f>
        <v>@ProdAnalysis</v>
      </c>
      <c r="D121" s="4" t="str">
        <f>IFERROR(__xludf.DUMMYFUNCTION("""COMPUTED_VALUE"""),"Контент с упоминанием")</f>
        <v>Контент с упоминанием</v>
      </c>
      <c r="E121" s="6" t="str">
        <f>IFERROR(__xludf.DUMMYFUNCTION("""COMPUTED_VALUE"""),"")</f>
        <v/>
      </c>
      <c r="F121" s="6" t="str">
        <f>IFERROR(__xludf.DUMMYFUNCTION("""COMPUTED_VALUE"""),"")</f>
        <v/>
      </c>
      <c r="G121" s="10" t="str">
        <f>IFERROR(__xludf.DUMMYFUNCTION("""COMPUTED_VALUE"""),"https://t.me/ProdAnalysis/137")</f>
        <v>https://t.me/ProdAnalysis/137</v>
      </c>
      <c r="H121" s="6" t="str">
        <f>IFERROR(__xludf.DUMMYFUNCTION("""COMPUTED_VALUE"""),"Как не перегореть продуктовому аналитику в 2026 году? (Часть 1)
Здравствуйте, товарищи!
Сегодня разберём важнейший навык продуктового аналитика - способность не перегореть из-за ночных запросов руководителя, сломанных дашбордов и просьб бизнеса: ""Посчи"&amp;"тай мне быстренько такие-то циферки"".
В нынешнее время аналитику уже недостаточно знать SQL, уметь дизайнить A/B-тесты и строить различные графики. Ко всему этому добавляются понимание продукта, общение с менеджерами, валидация данных, автоматизация раз"&amp;"личных рутинных задач и проверка того, не придумала ли нейронка что-то несуществующее. Если пытаться делать всё это одновременно, то можно достаточно быстро перегореть. 
Поговорим о том, как можно этого избежать в нынешнее время. Основная проблема выгора"&amp;"ния в том, что аналитик может сделать кучу задач за день: написать нужные запросы, построить графики, обсудить запуск какого-то теста, провести пост-анализ прошедшей маркетинговой кампании, но в итоге останется ощущение, что он просто перекладывал данные "&amp;"из одной таблички в другую. И вот советы, которые помогут этого избежать.
1. Не пытаться анализировать вообще всё
Тут основная проблема в том, что аналитик хочет разобраться в каждом вопросе максимально глубоко. Менеджер может прийти с вопросом, почему "&amp;"какая-то метрика упала на 2%, а аналитик уже соберёт данные за последние несколько лет, построит кучу графиков, проверит сезонность и ещё много всего, хотя достаточно будет просто проверить несколько базовых вещей и сказать, что изменение находится в пред"&amp;"елах обычного шума. Перед началом решения какой-либо задачи нужно определить:
1. какое решение будут принимать по результатам анализа;
2. насколько точный ответ нужно дать;
3. сколько времени стоит закладывать на выполнение этой задачи.
Если после выпол"&amp;"нения анализа какие-то очень важные выводы делать не собираются, то, возможно, не стоит проводить суперглубокий анализ и тратить на это кучу времени.
2. Разделять важные исследования и ad hoc-задачи
Есть исследования, от результатов которых будет зависе"&amp;"ть запуск каких-то кампаний, перераспределение бюджетов или ещё что-то достаточно важное. В таких задачах действительно нужно внимательно смотреть данные и проверять различные методологии. А есть вопросы из разряда: ""Сколько человек вчера нажали на такой"&amp;"-то баннер?"". Такие задачи не надо превращать в глубинные исследования и тратить на это кучу времени. Наверное, лучший совет, который тут можно дать, - обсуждать с заказчиком, какой именно уровень анализа ему нужен. Иначе может произойти так, что человек"&amp;" будет ожидать ответ к обеду этого же дня, а вы принесёте ему результат через неделю.
3. Избавляться от бесконечных ad hoc-запросов
Каждую неделю вас могут просить писать почти идентичные запросы из разряда: ""Собери мне выборку для такого-то теста с та"&amp;"кими-то отсечками по пользователям"". Тут проблема не в количестве работы, а в самом процессе. В такой ситуации нужно постараться автоматизировать процессы, чтобы они занимали минимальное количество времени. Тут основные советы:
1. автоматизировать шабло"&amp;"ны для сбора выборок или выполнения каких-то запросов, если это возможно.
2. сохранять информацию о том, какие метрики достаточно часто повторяются, как они считаются и из каких витрин в основном берётся информация.
3. сохранять результаты исследований, к"&amp;"оторые вы проводили сам.
4.  хранить типовые ошибки, которые обычно встречаются при обработке различных данных в вашей зоне ответственности.
4. Использовать нейронки, но не становиться их рабами
Мы уже писали гайд как не стать ИИ макакой, но опишем здес"&amp;"ь кратко, а недавно наши преподаватели даже проводили дебаты про ИИ.  Eсли вслепую брать ответы нейронки, то времени станет только меньше, потому что надо будет искать, почему запрос считает не тех пользователей или почему используется не тот статистическ"&amp;"ий тест. Поэтому следуем такому пайплайну.
1. сначала самостоятельно формулируем задачу и то, какой результат ожидаем;
2. потом отдаём нейронке конкретный кусок работы;
3. проверяем код, логику и данные;
4. только после этого используем результат.
Подпи"&amp;"саться: @ProdAnalysis")</f>
        <v>Как не перегореть продуктовому аналитику в 2026 году? (Часть 1)
Здравствуйте, товарищи!
Сегодня разберём важнейший навык продуктового аналитика - способность не перегореть из-за ночных запросов руководителя, сломанных дашбордов и просьб бизнеса: "Посчитай мне быстренько такие-то циферки".
В нынешнее время аналитику уже недостаточно знать SQL, уметь дизайнить A/B-тесты и строить различные графики. Ко всему этому добавляются понимание продукта, общение с менеджерами, валидация данных, автоматизация различных рутинных задач и проверка того, не придумала ли нейронка что-то несуществующее. Если пытаться делать всё это одновременно, то можно достаточно быстро перегореть. 
Поговорим о том, как можно этого избежать в нынешнее время. Основная проблема выгорания в том, что аналитик может сделать кучу задач за день: написать нужные запросы, построить графики, обсудить запуск какого-то теста, провести пост-анализ прошедшей маркетинговой кампании, но в итоге останется ощущение, что он просто перекладывал данные из одной таблички в другую. И вот советы, которые помогут этого избежать.
1. Не пытаться анализировать вообще всё
Тут основная проблема в том, что аналитик хочет разобраться в каждом вопросе максимально глубоко. Менеджер может прийти с вопросом, почему какая-то метрика упала на 2%, а аналитик уже соберёт данные за последние несколько лет, построит кучу графиков, проверит сезонность и ещё много всего, хотя достаточно будет просто проверить несколько базовых вещей и сказать, что изменение находится в пределах обычного шума. Перед началом решения какой-либо задачи нужно определить:
1. какое решение будут принимать по результатам анализа;
2. насколько точный ответ нужно дать;
3. сколько времени стоит закладывать на выполнение этой задачи.
Если после выполнения анализа какие-то очень важные выводы делать не собираются, то, возможно, не стоит проводить суперглубокий анализ и тратить на это кучу времени.
2. Разделять важные исследования и ad hoc-задачи
Есть исследования, от результатов которых будет зависеть запуск каких-то кампаний, перераспределение бюджетов или ещё что-то достаточно важное. В таких задачах действительно нужно внимательно смотреть данные и проверять различные методологии. А есть вопросы из разряда: "Сколько человек вчера нажали на такой-то баннер?". Такие задачи не надо превращать в глубинные исследования и тратить на это кучу времени. Наверное, лучший совет, который тут можно дать, - обсуждать с заказчиком, какой именно уровень анализа ему нужен. Иначе может произойти так, что человек будет ожидать ответ к обеду этого же дня, а вы принесёте ему результат через неделю.
3. Избавляться от бесконечных ad hoc-запросов
Каждую неделю вас могут просить писать почти идентичные запросы из разряда: "Собери мне выборку для такого-то теста с такими-то отсечками по пользователям". Тут проблема не в количестве работы, а в самом процессе. В такой ситуации нужно постараться автоматизировать процессы, чтобы они занимали минимальное количество времени. Тут основные советы:
1. автоматизировать шаблоны для сбора выборок или выполнения каких-то запросов, если это возможно.
2. сохранять информацию о том, какие метрики достаточно часто повторяются, как они считаются и из каких витрин в основном берётся информация.
3. сохранять результаты исследований, которые вы проводили сам.
4.  хранить типовые ошибки, которые обычно встречаются при обработке различных данных в вашей зоне ответственности.
4. Использовать нейронки, но не становиться их рабами
Мы уже писали гайд как не стать ИИ макакой, но опишем здесь кратко, а недавно наши преподаватели даже проводили дебаты про ИИ.  Eсли вслепую брать ответы нейронки, то времени станет только меньше, потому что надо будет искать, почему запрос считает не тех пользователей или почему используется не тот статистический тест. Поэтому следуем такому пайплайну.
1. сначала самостоятельно формулируем задачу и то, какой результат ожидаем;
2. потом отдаём нейронке конкретный кусок работы;
3. проверяем код, логику и данные;
4. только после этого используем результат.
Подписаться: @ProdAnalysis</v>
      </c>
      <c r="I121" s="6" t="str">
        <f>IFERROR(__xludf.DUMMYFUNCTION("""COMPUTED_VALUE"""),"external")</f>
        <v>external</v>
      </c>
      <c r="J121" s="10" t="str">
        <f>IFERROR(__xludf.DUMMYFUNCTION("""COMPUTED_VALUE"""),"https://t.me/ProdAnalysis/137")</f>
        <v>https://t.me/ProdAnalysis/137</v>
      </c>
      <c r="K121" s="6">
        <f>IFERROR(__xludf.DUMMYFUNCTION("""COMPUTED_VALUE"""),1350.0)</f>
        <v>1350</v>
      </c>
      <c r="L121" s="6">
        <f>IFERROR(__xludf.DUMMYFUNCTION("""COMPUTED_VALUE"""),1.0)</f>
        <v>1</v>
      </c>
      <c r="M121" s="6"/>
      <c r="N121" s="6" t="str">
        <f>IFERROR(__xludf.DUMMYFUNCTION("""COMPUTED_VALUE"""),"Telegram")</f>
        <v>Telegram</v>
      </c>
      <c r="O121" s="6" t="str">
        <f>IFERROR(__xludf.DUMMYFUNCTION("""COMPUTED_VALUE"""),"raw")</f>
        <v>raw</v>
      </c>
      <c r="P121" s="6" t="str">
        <f>IFERROR(__xludf.DUMMYFUNCTION("""COMPUTED_VALUE"""),"Codex")</f>
        <v>Codex</v>
      </c>
      <c r="Q121" s="6" t="str">
        <f>IFERROR(__xludf.DUMMYFUNCTION("""COMPUTED_VALUE"""),"Общий контакт @vice22821; признак связи с проектом")</f>
        <v>Общий контакт @vice22821; признак связи с проектом</v>
      </c>
      <c r="R121" s="6" t="str">
        <f>IFERROR(__xludf.DUMMYFUNCTION("""COMPUTED_VALUE"""),"unknown")</f>
        <v>unknown</v>
      </c>
      <c r="S121" s="6" t="str">
        <f>IFERROR(__xludf.DUMMYFUNCTION("""COMPUTED_VALUE"""),"unknown")</f>
        <v>unknown</v>
      </c>
      <c r="T121" s="6" t="str">
        <f>IFERROR(__xludf.DUMMYFUNCTION("""COMPUTED_VALUE"""),"telegram_external")</f>
        <v>telegram_external</v>
      </c>
      <c r="U121" s="6" t="str">
        <f>IFERROR(__xludf.DUMMYFUNCTION("""COMPUTED_VALUE"""),"Контент с упоминанием")</f>
        <v>Контент с упоминанием</v>
      </c>
      <c r="V121" s="6" t="str">
        <f>IFERROR(__xludf.DUMMYFUNCTION("""COMPUTED_VALUE"""),"")</f>
        <v/>
      </c>
      <c r="W121" s="6" t="str">
        <f>IFERROR(__xludf.DUMMYFUNCTION("""COMPUTED_VALUE"""),"")</f>
        <v/>
      </c>
      <c r="X121" s="6"/>
      <c r="Y121" s="6" t="str">
        <f>IFERROR(__xludf.DUMMYFUNCTION("""COMPUTED_VALUE"""),"https://t.me/postypashki_old/1734
https://t.me/postypashki_old/1815")</f>
        <v>https://t.me/postypashki_old/1734
https://t.me/postypashki_old/1815</v>
      </c>
      <c r="Z121" s="6" t="b">
        <f>IFERROR(__xludf.DUMMYFUNCTION("""COMPUTED_VALUE"""),FALSE)</f>
        <v>0</v>
      </c>
      <c r="AA121" s="6" t="str">
        <f>IFERROR(__xludf.DUMMYFUNCTION("""COMPUTED_VALUE"""),"")</f>
        <v/>
      </c>
      <c r="AB121" s="6" t="str">
        <f>IFERROR(__xludf.DUMMYFUNCTION("""COMPUTED_VALUE"""),"")</f>
        <v/>
      </c>
      <c r="AC121" s="6" t="str">
        <f>IFERROR(__xludf.DUMMYFUNCTION("""COMPUTED_VALUE"""),"")</f>
        <v/>
      </c>
      <c r="AD121" s="6" t="str">
        <f>IFERROR(__xludf.DUMMYFUNCTION("""COMPUTED_VALUE"""),"")</f>
        <v/>
      </c>
      <c r="AE121" s="6" t="str">
        <f>IFERROR(__xludf.DUMMYFUNCTION("""COMPUTED_VALUE"""),"")</f>
        <v/>
      </c>
      <c r="AF121" s="6" t="str">
        <f>IFERROR(__xludf.DUMMYFUNCTION("""COMPUTED_VALUE"""),"Не подтверждено")</f>
        <v>Не подтверждено</v>
      </c>
      <c r="AG121" s="6" t="str">
        <f>IFERROR(__xludf.DUMMYFUNCTION("""COMPUTED_VALUE"""),"")</f>
        <v/>
      </c>
      <c r="AH121" s="6" t="str">
        <f>IFERROR(__xludf.DUMMYFUNCTION("""COMPUTED_VALUE"""),"2026-09-11T11:47:35.971287+00:00")</f>
        <v>2026-09-11T11:47:35.971287+00:00</v>
      </c>
      <c r="AI121" s="6" t="str">
        <f>IFERROR(__xludf.DUMMYFUNCTION("""COMPUTED_VALUE"""),"raw/ProdAnalysis/page_001.html")</f>
        <v>raw/ProdAnalysis/page_001.html</v>
      </c>
      <c r="AJ121" s="9" t="s">
        <v>208</v>
      </c>
      <c r="AM121" s="9" t="s">
        <v>228</v>
      </c>
      <c r="AN121" s="6" t="str">
        <f>IFERROR(__xludf.DUMMYFUNCTION("IF(OR(AJ121=""general_brand"",AJ121=""external"",AJ121=""unknown""),"""",IF(AJ121=""product_line"",IF(AK121=""START"",""Аналитика старт | Алгоритмы старт | Backend старт | ML старт"",IF(AK121=""PRO"",""AI-агенты про | Алгоритмы про | Аналитика про | ML пр"&amp;"о | Backend про"",IF(AK121=""START | PRO"",""Аналитика старт | Алгоритмы старт | Backend старт | ML старт | AI-агенты про | Алгоритмы про | Аналитика про | ML про | Backend про"",""""))),TEXTJOIN("" | "",TRUE,IF(REGEXMATCH(LOWER(AL121&amp;"" | ""&amp;E121),""анал"&amp;"итика старт""),""Аналитика старт"",""""),IF(REGEXMATCH(LOWER(AL121&amp;"" | ""&amp;E121),""алгоритмы старт""),""Алгоритмы старт"",""""),IF(REGEXMATCH(LOWER(AL121&amp;"" | ""&amp;E121),""backend старт""),""Backend старт"",""""),IF(REGEXMATCH(LOWER(AL121&amp;"" | ""&amp;E121),""ml"&amp;" старт""),""ML старт"",""""),IF(REGEXMATCH(LOWER(AL121&amp;"" | ""&amp;E121),""ai[ -]?агент""),""AI-агенты про"",""""),IF(REGEXMATCH(LOWER(AL121&amp;"" | ""&amp;E121),""алгоритмы про""),""Алгоритмы про"",""""),IF(REGEXMATCH(LOWER(AL121&amp;"" | ""&amp;E121),""аналитика про""),"""&amp;"Аналитика про"",""""),IF(REGEXMATCH(LOWER(AL121&amp;"" | ""&amp;E121),""ml про""),""ML про"",""""),IF(REGEXMATCH(LOWER(AL121&amp;"" | ""&amp;E121),""backend про""),""Backend про"",""""),IF(REGEXMATCH(LOWER(AL121&amp;"" | ""&amp;E121),""(а/в|ав|а в|ab)[ -]?тест""),""А/В-тесты"","&amp;"""""),IF(REGEXMATCH(LOWER(AL121&amp;"" | ""&amp;E121),""data science""),""Data science"",""""),IF(REGEXMATCH(LOWER(AL121&amp;"" | ""&amp;E121),""data[- ]?инжен""),""Data-инженер"",""""),IF(REGEXMATCH(LOWER(AL121&amp;"" | ""&amp;E121),""frontend""),""Frontend"",""""))))"),"")</f>
        <v/>
      </c>
    </row>
    <row r="122">
      <c r="A122" s="6" t="str">
        <f>IFERROR(__xludf.DUMMYFUNCTION("""COMPUTED_VALUE"""),"EXT-22")</f>
        <v>EXT-22</v>
      </c>
      <c r="B122" s="6" t="str">
        <f>IFERROR(__xludf.DUMMYFUNCTION("""COMPUTED_VALUE"""),"2026-07-29 20:11:23")</f>
        <v>2026-07-29 20:11:23</v>
      </c>
      <c r="C122" s="6" t="str">
        <f>IFERROR(__xludf.DUMMYFUNCTION("""COMPUTED_VALUE"""),"@chad_protocol")</f>
        <v>@chad_protocol</v>
      </c>
      <c r="D122" s="4" t="str">
        <f>IFERROR(__xludf.DUMMYFUNCTION("""COMPUTED_VALUE"""),"Контент с упоминанием")</f>
        <v>Контент с упоминанием</v>
      </c>
      <c r="E122" s="6" t="str">
        <f>IFERROR(__xludf.DUMMYFUNCTION("""COMPUTED_VALUE"""),"")</f>
        <v/>
      </c>
      <c r="F122" s="6" t="str">
        <f>IFERROR(__xludf.DUMMYFUNCTION("""COMPUTED_VALUE"""),"")</f>
        <v/>
      </c>
      <c r="G122" s="10" t="str">
        <f>IFERROR(__xludf.DUMMYFUNCTION("""COMPUTED_VALUE"""),"https://t.me/chad_protocol/501")</f>
        <v>https://t.me/chad_protocol/501</v>
      </c>
      <c r="H122" s="6" t="str">
        <f>IFERROR(__xludf.DUMMYFUNCTION("""COMPUTED_VALUE"""),"Осторожно! Скам в иснтаграмме и тик токе 
Я недавно начал снимать рилсы и тик токи (зацените, поддержите подпиской) и просто офигел, сколько же там скама. Молодые ребята: студенты или выпускники рассказывают, что нафиг нужны - эти стажировки, джун ваканс"&amp;"ии и образование. Вам просто нужно заплатить моему ментору, крутануть опыт и сразу устроиться на миддл позицию, все выучите на работе.
Ало, темка с накруткой 3+ годами опыта с абсолютного нуля работала года два назад. Сейчас она не работает по причинам:
"&amp;"1. Конкуренция выросла. Количество вакансий сократилось, количество кандидатов выросло, отчасти из-за таких вкатунов-накрутчиков (их около 30% по моим оценкам). 
2. Теперь рекрутеры чекают ваш LinkendIn, GitHub, что накрутчики особо не ведут 
3. Теперь ре"&amp;"крутеры чекают трудовую и просят рекомендации с прошлого место работы. Ты такой умный и не хочешь предоставлять? Хорошо, мы наймем того, кто захочет. Сейчас рынок - рынок работодателя. 
4. Рекрутеры поняли, что на HH 30% - это вкатуны-накрутчики и пользую"&amp;"тся другими базами кандидатов, ищут через линкендин, закрытые чаты и так далее
Вообще я думаю, что в ближайшие года найм автомотизируется ИИ, все превратится в цифровой ГУЛАГ. Накрутка останется глубоко в прошлом. 
Здесь я говорю только про темку: крутан"&amp;"уть 3+ года опыта с абсолютного нуля. Сам не вижу ничего плохого в том, чтобы приукрасить свою легенду, резюме и что-то там подкрутить, когда у тебя есть знания, навыки и какой-то реальный опыт. Также вообще никого не осуждаю: у нас тоже на курсах-про ест"&amp;"ь доп программа ментор+, где мы проходим собесы и устраиваем на работу, но только не по этой темке с накруткой 3+ годами опыта.
Конечно, мб в инсте - это просто какой-то маркетинговый ход, рассчитанный на мамонта. А по факту тебе ментор предлагает реальн"&amp;"ые варианты, которые доступны твоего бэкграунду. Но все равно будьте осторожны! И верьте только (((админу)))!  
Подписаться: @chad_protocol")</f>
        <v>Осторожно! Скам в иснтаграмме и тик токе 
Я недавно начал снимать рилсы и тик токи (зацените, поддержите подпиской) и просто офигел, сколько же там скама. Молодые ребята: студенты или выпускники рассказывают, что нафиг нужны - эти стажировки, джун вакансии и образование. Вам просто нужно заплатить моему ментору, крутануть опыт и сразу устроиться на миддл позицию, все выучите на работе.
Ало, темка с накруткой 3+ годами опыта с абсолютного нуля работала года два назад. Сейчас она не работает по причинам:
1. Конкуренция выросла. Количество вакансий сократилось, количество кандидатов выросло, отчасти из-за таких вкатунов-накрутчиков (их около 30% по моим оценкам). 
2. Теперь рекрутеры чекают ваш LinkendIn, GitHub, что накрутчики особо не ведут 
3. Теперь рекрутеры чекают трудовую и просят рекомендации с прошлого место работы. Ты такой умный и не хочешь предоставлять? Хорошо, мы наймем того, кто захочет. Сейчас рынок - рынок работодателя. 
4. Рекрутеры поняли, что на HH 30% - это вкатуны-накрутчики и пользуются другими базами кандидатов, ищут через линкендин, закрытые чаты и так далее
Вообще я думаю, что в ближайшие года найм автомотизируется ИИ, все превратится в цифровой ГУЛАГ. Накрутка останется глубоко в прошлом. 
Здесь я говорю только про темку: крутануть 3+ года опыта с абсолютного нуля. Сам не вижу ничего плохого в том, чтобы приукрасить свою легенду, резюме и что-то там подкрутить, когда у тебя есть знания, навыки и какой-то реальный опыт. Также вообще никого не осуждаю: у нас тоже на курсах-про есть доп программа ментор+, где мы проходим собесы и устраиваем на работу, но только не по этой темке с накруткой 3+ годами опыта.
Конечно, мб в инсте - это просто какой-то маркетинговый ход, рассчитанный на мамонта. А по факту тебе ментор предлагает реальные варианты, которые доступны твоего бэкграунду. Но все равно будьте осторожны! И верьте только (((админу)))!  
Подписаться: @chad_protocol</v>
      </c>
      <c r="I122" s="6" t="str">
        <f>IFERROR(__xludf.DUMMYFUNCTION("""COMPUTED_VALUE"""),"external")</f>
        <v>external</v>
      </c>
      <c r="J122" s="10" t="str">
        <f>IFERROR(__xludf.DUMMYFUNCTION("""COMPUTED_VALUE"""),"https://t.me/chad_protocol/501")</f>
        <v>https://t.me/chad_protocol/501</v>
      </c>
      <c r="K122" s="6">
        <f>IFERROR(__xludf.DUMMYFUNCTION("""COMPUTED_VALUE"""),6340.0)</f>
        <v>6340</v>
      </c>
      <c r="L122" s="6">
        <f>IFERROR(__xludf.DUMMYFUNCTION("""COMPUTED_VALUE"""),30.0)</f>
        <v>30</v>
      </c>
      <c r="M122" s="6"/>
      <c r="N122" s="6" t="str">
        <f>IFERROR(__xludf.DUMMYFUNCTION("""COMPUTED_VALUE"""),"Telegram")</f>
        <v>Telegram</v>
      </c>
      <c r="O122" s="6" t="str">
        <f>IFERROR(__xludf.DUMMYFUNCTION("""COMPUTED_VALUE"""),"raw")</f>
        <v>raw</v>
      </c>
      <c r="P122" s="6" t="str">
        <f>IFERROR(__xludf.DUMMYFUNCTION("""COMPUTED_VALUE"""),"Codex")</f>
        <v>Codex</v>
      </c>
      <c r="Q122" s="6" t="str">
        <f>IFERROR(__xludf.DUMMYFUNCTION("""COMPUTED_VALUE"""),"Общий контакт @vice22821; признак связи с проектом")</f>
        <v>Общий контакт @vice22821; признак связи с проектом</v>
      </c>
      <c r="R122" s="6" t="str">
        <f>IFERROR(__xludf.DUMMYFUNCTION("""COMPUTED_VALUE"""),"unknown")</f>
        <v>unknown</v>
      </c>
      <c r="S122" s="6" t="str">
        <f>IFERROR(__xludf.DUMMYFUNCTION("""COMPUTED_VALUE"""),"unknown")</f>
        <v>unknown</v>
      </c>
      <c r="T122" s="6" t="str">
        <f>IFERROR(__xludf.DUMMYFUNCTION("""COMPUTED_VALUE"""),"telegram_external")</f>
        <v>telegram_external</v>
      </c>
      <c r="U122" s="6" t="str">
        <f>IFERROR(__xludf.DUMMYFUNCTION("""COMPUTED_VALUE"""),"Контент с упоминанием")</f>
        <v>Контент с упоминанием</v>
      </c>
      <c r="V122" s="6" t="str">
        <f>IFERROR(__xludf.DUMMYFUNCTION("""COMPUTED_VALUE"""),"")</f>
        <v/>
      </c>
      <c r="W122" s="6" t="str">
        <f>IFERROR(__xludf.DUMMYFUNCTION("""COMPUTED_VALUE"""),"")</f>
        <v/>
      </c>
      <c r="X122" s="6"/>
      <c r="Y122" s="10" t="str">
        <f>IFERROR(__xludf.DUMMYFUNCTION("""COMPUTED_VALUE"""),"https://old.postypashki.ru/%D0%BA%D0%B0%D1%80%D1%8C%D0%B5%D1%80%D0%BD%D1%8B%D0%B5-%D0%BA%D1%83%D1%80%D1%81%D1%8B/")</f>
        <v>https://old.postypashki.ru/%D0%BA%D0%B0%D1%80%D1%8C%D0%B5%D1%80%D0%BD%D1%8B%D0%B5-%D0%BA%D1%83%D1%80%D1%81%D1%8B/</v>
      </c>
      <c r="Z122" s="6" t="b">
        <f>IFERROR(__xludf.DUMMYFUNCTION("""COMPUTED_VALUE"""),TRUE)</f>
        <v>1</v>
      </c>
      <c r="AA122" s="6" t="str">
        <f>IFERROR(__xludf.DUMMYFUNCTION("""COMPUTED_VALUE"""),"")</f>
        <v/>
      </c>
      <c r="AB122" s="6" t="str">
        <f>IFERROR(__xludf.DUMMYFUNCTION("""COMPUTED_VALUE"""),"")</f>
        <v/>
      </c>
      <c r="AC122" s="6" t="str">
        <f>IFERROR(__xludf.DUMMYFUNCTION("""COMPUTED_VALUE"""),"")</f>
        <v/>
      </c>
      <c r="AD122" s="6" t="str">
        <f>IFERROR(__xludf.DUMMYFUNCTION("""COMPUTED_VALUE"""),"")</f>
        <v/>
      </c>
      <c r="AE122" s="6" t="str">
        <f>IFERROR(__xludf.DUMMYFUNCTION("""COMPUTED_VALUE"""),"")</f>
        <v/>
      </c>
      <c r="AF122" s="6" t="str">
        <f>IFERROR(__xludf.DUMMYFUNCTION("""COMPUTED_VALUE"""),"Не подтверждено")</f>
        <v>Не подтверждено</v>
      </c>
      <c r="AG122" s="6" t="str">
        <f>IFERROR(__xludf.DUMMYFUNCTION("""COMPUTED_VALUE"""),"")</f>
        <v/>
      </c>
      <c r="AH122" s="6" t="str">
        <f>IFERROR(__xludf.DUMMYFUNCTION("""COMPUTED_VALUE"""),"2026-09-11T11:47:52.658878+00:00")</f>
        <v>2026-09-11T11:47:52.658878+00:00</v>
      </c>
      <c r="AI122" s="6" t="str">
        <f>IFERROR(__xludf.DUMMYFUNCTION("""COMPUTED_VALUE"""),"raw/chad_protocol/page_001.html")</f>
        <v>raw/chad_protocol/page_001.html</v>
      </c>
      <c r="AJ122" s="9" t="s">
        <v>167</v>
      </c>
      <c r="AK122" s="9" t="s">
        <v>242</v>
      </c>
      <c r="AM122" s="9" t="s">
        <v>219</v>
      </c>
      <c r="AN122" s="4" t="str">
        <f>IFERROR(__xludf.DUMMYFUNCTION("IF(OR(AJ122=""general_brand"",AJ122=""external"",AJ122=""unknown""),"""",IF(AJ122=""product_line"",IF(AK122=""START"",""Аналитика старт | Алгоритмы старт | Backend старт | ML старт"",IF(AK122=""PRO"",""AI-агенты про | Алгоритмы про | Аналитика про | ML пр"&amp;"о | Backend про"",IF(AK122=""START | PRO"",""Аналитика старт | Алгоритмы старт | Backend старт | ML старт | AI-агенты про | Алгоритмы про | Аналитика про | ML про | Backend про"",""""))),TEXTJOIN("" | "",TRUE,IF(REGEXMATCH(LOWER(AL122&amp;"" | ""&amp;E122),""анал"&amp;"итика старт""),""Аналитика старт"",""""),IF(REGEXMATCH(LOWER(AL122&amp;"" | ""&amp;E122),""алгоритмы старт""),""Алгоритмы старт"",""""),IF(REGEXMATCH(LOWER(AL122&amp;"" | ""&amp;E122),""backend старт""),""Backend старт"",""""),IF(REGEXMATCH(LOWER(AL122&amp;"" | ""&amp;E122),""ml"&amp;" старт""),""ML старт"",""""),IF(REGEXMATCH(LOWER(AL122&amp;"" | ""&amp;E122),""ai[ -]?агент""),""AI-агенты про"",""""),IF(REGEXMATCH(LOWER(AL122&amp;"" | ""&amp;E122),""алгоритмы про""),""Алгоритмы про"",""""),IF(REGEXMATCH(LOWER(AL122&amp;"" | ""&amp;E122),""аналитика про""),"""&amp;"Аналитика про"",""""),IF(REGEXMATCH(LOWER(AL122&amp;"" | ""&amp;E122),""ml про""),""ML про"",""""),IF(REGEXMATCH(LOWER(AL122&amp;"" | ""&amp;E122),""backend про""),""Backend про"",""""),IF(REGEXMATCH(LOWER(AL122&amp;"" | ""&amp;E122),""(а/в|ав|а в|ab)[ -]?тест""),""А/В-тесты"","&amp;"""""),IF(REGEXMATCH(LOWER(AL122&amp;"" | ""&amp;E122),""data science""),""Data science"",""""),IF(REGEXMATCH(LOWER(AL122&amp;"" | ""&amp;E122),""data[- ]?инжен""),""Data-инженер"",""""),IF(REGEXMATCH(LOWER(AL122&amp;"" | ""&amp;E122),""frontend""),""Frontend"",""""))))"),"AI-агенты про | Алгоритмы про | Аналитика про | ML про | Backend про")</f>
        <v>AI-агенты про | Алгоритмы про | Аналитика про | ML про | Backend про</v>
      </c>
    </row>
    <row r="123">
      <c r="A123" s="6" t="str">
        <f>IFERROR(__xludf.DUMMYFUNCTION("""COMPUTED_VALUE"""),"EXT-23")</f>
        <v>EXT-23</v>
      </c>
      <c r="B123" s="6" t="str">
        <f>IFERROR(__xludf.DUMMYFUNCTION("""COMPUTED_VALUE"""),"2026-07-29 22:25:52")</f>
        <v>2026-07-29 22:25:52</v>
      </c>
      <c r="C123" s="6" t="str">
        <f>IFERROR(__xludf.DUMMYFUNCTION("""COMPUTED_VALUE"""),"@postypashki_mems")</f>
        <v>@postypashki_mems</v>
      </c>
      <c r="D123" s="4" t="str">
        <f>IFERROR(__xludf.DUMMYFUNCTION("""COMPUTED_VALUE"""),"Прочий контент")</f>
        <v>Прочий контент</v>
      </c>
      <c r="E123" s="6" t="str">
        <f>IFERROR(__xludf.DUMMYFUNCTION("""COMPUTED_VALUE"""),"")</f>
        <v/>
      </c>
      <c r="F123" s="6" t="str">
        <f>IFERROR(__xludf.DUMMYFUNCTION("""COMPUTED_VALUE"""),"")</f>
        <v/>
      </c>
      <c r="G123" s="10" t="str">
        <f>IFERROR(__xludf.DUMMYFUNCTION("""COMPUTED_VALUE"""),"https://t.me/postypashki_mems/1355")</f>
        <v>https://t.me/postypashki_mems/1355</v>
      </c>
      <c r="H123" s="6" t="str">
        <f>IFERROR(__xludf.DUMMYFUNCTION("""COMPUTED_VALUE"""),"Недавно вот выложил вакансию, и мне написал довольно прикольный челик с крутым резюме, но как я вчитался в него — сразу понял, что это просто копипаста с вакансии.
И вот я решил проверить у него мат часть про популярные скоринговые модели с названиями """&amp;"Ясасу Бибу"" и ""Цист Яна"" а также про жесткую теорему шторм спирита. Ответ убил.
Подписаться: @postypashki_old, @goshan_dr")</f>
        <v>Недавно вот выложил вакансию, и мне написал довольно прикольный челик с крутым резюме, но как я вчитался в него — сразу понял, что это просто копипаста с вакансии.
И вот я решил проверить у него мат часть про популярные скоринговые модели с названиями "Ясасу Бибу" и "Цист Яна" а также про жесткую теорему шторм спирита. Ответ убил.
Подписаться: @postypashki_old, @goshan_dr</v>
      </c>
      <c r="I123" s="6" t="str">
        <f>IFERROR(__xludf.DUMMYFUNCTION("""COMPUTED_VALUE"""),"external")</f>
        <v>external</v>
      </c>
      <c r="J123" s="10" t="str">
        <f>IFERROR(__xludf.DUMMYFUNCTION("""COMPUTED_VALUE"""),"https://t.me/postypashki_mems/1355")</f>
        <v>https://t.me/postypashki_mems/1355</v>
      </c>
      <c r="K123" s="6">
        <f>IFERROR(__xludf.DUMMYFUNCTION("""COMPUTED_VALUE"""),3940.0)</f>
        <v>3940</v>
      </c>
      <c r="L123" s="6">
        <f>IFERROR(__xludf.DUMMYFUNCTION("""COMPUTED_VALUE"""),47.0)</f>
        <v>47</v>
      </c>
      <c r="M123" s="6"/>
      <c r="N123" s="6" t="str">
        <f>IFERROR(__xludf.DUMMYFUNCTION("""COMPUTED_VALUE"""),"Telegram")</f>
        <v>Telegram</v>
      </c>
      <c r="O123" s="6" t="str">
        <f>IFERROR(__xludf.DUMMYFUNCTION("""COMPUTED_VALUE"""),"raw")</f>
        <v>raw</v>
      </c>
      <c r="P123" s="6" t="str">
        <f>IFERROR(__xludf.DUMMYFUNCTION("""COMPUTED_VALUE"""),"Codex")</f>
        <v>Codex</v>
      </c>
      <c r="Q123" s="6" t="str">
        <f>IFERROR(__xludf.DUMMYFUNCTION("""COMPUTED_VALUE"""),"Общий контакт @vice22821; признак связи с проектом")</f>
        <v>Общий контакт @vice22821; признак связи с проектом</v>
      </c>
      <c r="R123" s="6" t="str">
        <f>IFERROR(__xludf.DUMMYFUNCTION("""COMPUTED_VALUE"""),"unknown")</f>
        <v>unknown</v>
      </c>
      <c r="S123" s="6" t="str">
        <f>IFERROR(__xludf.DUMMYFUNCTION("""COMPUTED_VALUE"""),"unknown")</f>
        <v>unknown</v>
      </c>
      <c r="T123" s="6" t="str">
        <f>IFERROR(__xludf.DUMMYFUNCTION("""COMPUTED_VALUE"""),"telegram_external")</f>
        <v>telegram_external</v>
      </c>
      <c r="U123" s="6" t="str">
        <f>IFERROR(__xludf.DUMMYFUNCTION("""COMPUTED_VALUE"""),"Прочий контент")</f>
        <v>Прочий контент</v>
      </c>
      <c r="V123" s="6" t="str">
        <f>IFERROR(__xludf.DUMMYFUNCTION("""COMPUTED_VALUE"""),"")</f>
        <v/>
      </c>
      <c r="W123" s="6" t="str">
        <f>IFERROR(__xludf.DUMMYFUNCTION("""COMPUTED_VALUE"""),"")</f>
        <v/>
      </c>
      <c r="X123" s="6"/>
      <c r="Y123" s="10" t="str">
        <f>IFERROR(__xludf.DUMMYFUNCTION("""COMPUTED_VALUE"""),"https://t.me/postypashki_old")</f>
        <v>https://t.me/postypashki_old</v>
      </c>
      <c r="Z123" s="6" t="b">
        <f>IFERROR(__xludf.DUMMYFUNCTION("""COMPUTED_VALUE"""),FALSE)</f>
        <v>0</v>
      </c>
      <c r="AA123" s="6" t="str">
        <f>IFERROR(__xludf.DUMMYFUNCTION("""COMPUTED_VALUE"""),"")</f>
        <v/>
      </c>
      <c r="AB123" s="6" t="str">
        <f>IFERROR(__xludf.DUMMYFUNCTION("""COMPUTED_VALUE"""),"")</f>
        <v/>
      </c>
      <c r="AC123" s="6" t="str">
        <f>IFERROR(__xludf.DUMMYFUNCTION("""COMPUTED_VALUE"""),"")</f>
        <v/>
      </c>
      <c r="AD123" s="6" t="str">
        <f>IFERROR(__xludf.DUMMYFUNCTION("""COMPUTED_VALUE"""),"")</f>
        <v/>
      </c>
      <c r="AE123" s="6" t="str">
        <f>IFERROR(__xludf.DUMMYFUNCTION("""COMPUTED_VALUE"""),"")</f>
        <v/>
      </c>
      <c r="AF123" s="6" t="str">
        <f>IFERROR(__xludf.DUMMYFUNCTION("""COMPUTED_VALUE"""),"Не подтверждено")</f>
        <v>Не подтверждено</v>
      </c>
      <c r="AG123" s="6" t="str">
        <f>IFERROR(__xludf.DUMMYFUNCTION("""COMPUTED_VALUE"""),"")</f>
        <v/>
      </c>
      <c r="AH123" s="6" t="str">
        <f>IFERROR(__xludf.DUMMYFUNCTION("""COMPUTED_VALUE"""),"2026-09-11T11:48:02.028687+00:00")</f>
        <v>2026-09-11T11:48:02.028687+00:00</v>
      </c>
      <c r="AI123" s="6" t="str">
        <f>IFERROR(__xludf.DUMMYFUNCTION("""COMPUTED_VALUE"""),"raw/postypashki_mems/page_003.html")</f>
        <v>raw/postypashki_mems/page_003.html</v>
      </c>
      <c r="AJ123" s="9" t="s">
        <v>208</v>
      </c>
      <c r="AM123" s="9" t="s">
        <v>219</v>
      </c>
      <c r="AN123" s="6" t="str">
        <f>IFERROR(__xludf.DUMMYFUNCTION("IF(OR(AJ123=""general_brand"",AJ123=""external"",AJ123=""unknown""),"""",IF(AJ123=""product_line"",IF(AK123=""START"",""Аналитика старт | Алгоритмы старт | Backend старт | ML старт"",IF(AK123=""PRO"",""AI-агенты про | Алгоритмы про | Аналитика про | ML пр"&amp;"о | Backend про"",IF(AK123=""START | PRO"",""Аналитика старт | Алгоритмы старт | Backend старт | ML старт | AI-агенты про | Алгоритмы про | Аналитика про | ML про | Backend про"",""""))),TEXTJOIN("" | "",TRUE,IF(REGEXMATCH(LOWER(AL123&amp;"" | ""&amp;E123),""анал"&amp;"итика старт""),""Аналитика старт"",""""),IF(REGEXMATCH(LOWER(AL123&amp;"" | ""&amp;E123),""алгоритмы старт""),""Алгоритмы старт"",""""),IF(REGEXMATCH(LOWER(AL123&amp;"" | ""&amp;E123),""backend старт""),""Backend старт"",""""),IF(REGEXMATCH(LOWER(AL123&amp;"" | ""&amp;E123),""ml"&amp;" старт""),""ML старт"",""""),IF(REGEXMATCH(LOWER(AL123&amp;"" | ""&amp;E123),""ai[ -]?агент""),""AI-агенты про"",""""),IF(REGEXMATCH(LOWER(AL123&amp;"" | ""&amp;E123),""алгоритмы про""),""Алгоритмы про"",""""),IF(REGEXMATCH(LOWER(AL123&amp;"" | ""&amp;E123),""аналитика про""),"""&amp;"Аналитика про"",""""),IF(REGEXMATCH(LOWER(AL123&amp;"" | ""&amp;E123),""ml про""),""ML про"",""""),IF(REGEXMATCH(LOWER(AL123&amp;"" | ""&amp;E123),""backend про""),""Backend про"",""""),IF(REGEXMATCH(LOWER(AL123&amp;"" | ""&amp;E123),""(а/в|ав|а в|ab)[ -]?тест""),""А/В-тесты"","&amp;"""""),IF(REGEXMATCH(LOWER(AL123&amp;"" | ""&amp;E123),""data science""),""Data science"",""""),IF(REGEXMATCH(LOWER(AL123&amp;"" | ""&amp;E123),""data[- ]?инжен""),""Data-инженер"",""""),IF(REGEXMATCH(LOWER(AL123&amp;"" | ""&amp;E123),""frontend""),""Frontend"",""""))))"),"")</f>
        <v/>
      </c>
    </row>
    <row r="124">
      <c r="A124" s="6" t="str">
        <f>IFERROR(__xludf.DUMMYFUNCTION("""COMPUTED_VALUE"""),"EXT-24")</f>
        <v>EXT-24</v>
      </c>
      <c r="B124" s="6" t="str">
        <f>IFERROR(__xludf.DUMMYFUNCTION("""COMPUTED_VALUE"""),"2026-07-29 18:04:47")</f>
        <v>2026-07-29 18:04:47</v>
      </c>
      <c r="C124" s="6" t="str">
        <f>IFERROR(__xludf.DUMMYFUNCTION("""COMPUTED_VALUE"""),"@zadachi_ds")</f>
        <v>@zadachi_ds</v>
      </c>
      <c r="D124" s="4" t="str">
        <f>IFERROR(__xludf.DUMMYFUNCTION("""COMPUTED_VALUE"""),"Контент с упоминанием")</f>
        <v>Контент с упоминанием</v>
      </c>
      <c r="E124" s="6" t="str">
        <f>IFERROR(__xludf.DUMMYFUNCTION("""COMPUTED_VALUE"""),"")</f>
        <v/>
      </c>
      <c r="F124" s="6" t="str">
        <f>IFERROR(__xludf.DUMMYFUNCTION("""COMPUTED_VALUE"""),"")</f>
        <v/>
      </c>
      <c r="G124" s="10" t="str">
        <f>IFERROR(__xludf.DUMMYFUNCTION("""COMPUTED_VALUE"""),"https://t.me/zadachi_ds/376")</f>
        <v>https://t.me/zadachi_ds/376</v>
      </c>
      <c r="H124" s="6" t="str">
        <f>IFERROR(__xludf.DUMMYFUNCTION("""COMPUTED_VALUE"""),"Как пройти испытательный срок и получить x2 к зарплате
Пока одни джуны не знают ""как пережить испыт"", наши выпускники уже проходят его с повышением в 2 раза. В карточках рассказываем реальную историю выпускника наших курсов, где качают не только харды,"&amp;" но и карьерные софт-скиллы. 
Подписаться: @zadachi_ds")</f>
        <v>Как пройти испытательный срок и получить x2 к зарплате
Пока одни джуны не знают "как пережить испыт", наши выпускники уже проходят его с повышением в 2 раза. В карточках рассказываем реальную историю выпускника наших курсов, где качают не только харды, но и карьерные софт-скиллы. 
Подписаться: @zadachi_ds</v>
      </c>
      <c r="I124" s="6" t="str">
        <f>IFERROR(__xludf.DUMMYFUNCTION("""COMPUTED_VALUE"""),"external")</f>
        <v>external</v>
      </c>
      <c r="J124" s="10" t="str">
        <f>IFERROR(__xludf.DUMMYFUNCTION("""COMPUTED_VALUE"""),"https://t.me/zadachi_ds/376")</f>
        <v>https://t.me/zadachi_ds/376</v>
      </c>
      <c r="K124" s="6">
        <f>IFERROR(__xludf.DUMMYFUNCTION("""COMPUTED_VALUE"""),5840.0)</f>
        <v>5840</v>
      </c>
      <c r="L124" s="6">
        <f>IFERROR(__xludf.DUMMYFUNCTION("""COMPUTED_VALUE"""),7.0)</f>
        <v>7</v>
      </c>
      <c r="M124" s="6"/>
      <c r="N124" s="6" t="str">
        <f>IFERROR(__xludf.DUMMYFUNCTION("""COMPUTED_VALUE"""),"Telegram")</f>
        <v>Telegram</v>
      </c>
      <c r="O124" s="6" t="str">
        <f>IFERROR(__xludf.DUMMYFUNCTION("""COMPUTED_VALUE"""),"raw")</f>
        <v>raw</v>
      </c>
      <c r="P124" s="6" t="str">
        <f>IFERROR(__xludf.DUMMYFUNCTION("""COMPUTED_VALUE"""),"Codex")</f>
        <v>Codex</v>
      </c>
      <c r="Q124" s="6" t="str">
        <f>IFERROR(__xludf.DUMMYFUNCTION("""COMPUTED_VALUE"""),"Общий контакт @vice22821; признак связи с проектом")</f>
        <v>Общий контакт @vice22821; признак связи с проектом</v>
      </c>
      <c r="R124" s="6" t="str">
        <f>IFERROR(__xludf.DUMMYFUNCTION("""COMPUTED_VALUE"""),"unknown")</f>
        <v>unknown</v>
      </c>
      <c r="S124" s="6" t="str">
        <f>IFERROR(__xludf.DUMMYFUNCTION("""COMPUTED_VALUE"""),"unknown")</f>
        <v>unknown</v>
      </c>
      <c r="T124" s="6" t="str">
        <f>IFERROR(__xludf.DUMMYFUNCTION("""COMPUTED_VALUE"""),"telegram_external")</f>
        <v>telegram_external</v>
      </c>
      <c r="U124" s="6" t="str">
        <f>IFERROR(__xludf.DUMMYFUNCTION("""COMPUTED_VALUE"""),"Контент с упоминанием")</f>
        <v>Контент с упоминанием</v>
      </c>
      <c r="V124" s="6" t="str">
        <f>IFERROR(__xludf.DUMMYFUNCTION("""COMPUTED_VALUE"""),"")</f>
        <v/>
      </c>
      <c r="W124" s="6" t="str">
        <f>IFERROR(__xludf.DUMMYFUNCTION("""COMPUTED_VALUE"""),"")</f>
        <v/>
      </c>
      <c r="X124" s="6"/>
      <c r="Y124" s="10" t="str">
        <f>IFERROR(__xludf.DUMMYFUNCTION("""COMPUTED_VALUE"""),"https://t.me/postypashki_old/1757")</f>
        <v>https://t.me/postypashki_old/1757</v>
      </c>
      <c r="Z124" s="6" t="b">
        <f>IFERROR(__xludf.DUMMYFUNCTION("""COMPUTED_VALUE"""),FALSE)</f>
        <v>0</v>
      </c>
      <c r="AA124" s="6" t="str">
        <f>IFERROR(__xludf.DUMMYFUNCTION("""COMPUTED_VALUE"""),"")</f>
        <v/>
      </c>
      <c r="AB124" s="6" t="str">
        <f>IFERROR(__xludf.DUMMYFUNCTION("""COMPUTED_VALUE"""),"")</f>
        <v/>
      </c>
      <c r="AC124" s="6" t="str">
        <f>IFERROR(__xludf.DUMMYFUNCTION("""COMPUTED_VALUE"""),"")</f>
        <v/>
      </c>
      <c r="AD124" s="6" t="str">
        <f>IFERROR(__xludf.DUMMYFUNCTION("""COMPUTED_VALUE"""),"")</f>
        <v/>
      </c>
      <c r="AE124" s="6" t="str">
        <f>IFERROR(__xludf.DUMMYFUNCTION("""COMPUTED_VALUE"""),"")</f>
        <v/>
      </c>
      <c r="AF124" s="6" t="str">
        <f>IFERROR(__xludf.DUMMYFUNCTION("""COMPUTED_VALUE"""),"Не подтверждено")</f>
        <v>Не подтверждено</v>
      </c>
      <c r="AG124" s="6" t="str">
        <f>IFERROR(__xludf.DUMMYFUNCTION("""COMPUTED_VALUE"""),"")</f>
        <v/>
      </c>
      <c r="AH124" s="6" t="str">
        <f>IFERROR(__xludf.DUMMYFUNCTION("""COMPUTED_VALUE"""),"2026-09-11T11:47:41.193466+00:00")</f>
        <v>2026-09-11T11:47:41.193466+00:00</v>
      </c>
      <c r="AI124" s="6" t="str">
        <f>IFERROR(__xludf.DUMMYFUNCTION("""COMPUTED_VALUE"""),"raw/zadachi_ds/page_001.html")</f>
        <v>raw/zadachi_ds/page_001.html</v>
      </c>
      <c r="AJ124" s="9" t="s">
        <v>233</v>
      </c>
      <c r="AM124" s="9" t="s">
        <v>219</v>
      </c>
      <c r="AN124" s="6" t="str">
        <f>IFERROR(__xludf.DUMMYFUNCTION("IF(OR(AJ124=""general_brand"",AJ124=""external"",AJ124=""unknown""),"""",IF(AJ124=""product_line"",IF(AK124=""START"",""Аналитика старт | Алгоритмы старт | Backend старт | ML старт"",IF(AK124=""PRO"",""AI-агенты про | Алгоритмы про | Аналитика про | ML пр"&amp;"о | Backend про"",IF(AK124=""START | PRO"",""Аналитика старт | Алгоритмы старт | Backend старт | ML старт | AI-агенты про | Алгоритмы про | Аналитика про | ML про | Backend про"",""""))),TEXTJOIN("" | "",TRUE,IF(REGEXMATCH(LOWER(AL124&amp;"" | ""&amp;E124),""анал"&amp;"итика старт""),""Аналитика старт"",""""),IF(REGEXMATCH(LOWER(AL124&amp;"" | ""&amp;E124),""алгоритмы старт""),""Алгоритмы старт"",""""),IF(REGEXMATCH(LOWER(AL124&amp;"" | ""&amp;E124),""backend старт""),""Backend старт"",""""),IF(REGEXMATCH(LOWER(AL124&amp;"" | ""&amp;E124),""ml"&amp;" старт""),""ML старт"",""""),IF(REGEXMATCH(LOWER(AL124&amp;"" | ""&amp;E124),""ai[ -]?агент""),""AI-агенты про"",""""),IF(REGEXMATCH(LOWER(AL124&amp;"" | ""&amp;E124),""алгоритмы про""),""Алгоритмы про"",""""),IF(REGEXMATCH(LOWER(AL124&amp;"" | ""&amp;E124),""аналитика про""),"""&amp;"Аналитика про"",""""),IF(REGEXMATCH(LOWER(AL124&amp;"" | ""&amp;E124),""ml про""),""ML про"",""""),IF(REGEXMATCH(LOWER(AL124&amp;"" | ""&amp;E124),""backend про""),""Backend про"",""""),IF(REGEXMATCH(LOWER(AL124&amp;"" | ""&amp;E124),""(а/в|ав|а в|ab)[ -]?тест""),""А/В-тесты"","&amp;"""""),IF(REGEXMATCH(LOWER(AL124&amp;"" | ""&amp;E124),""data science""),""Data science"",""""),IF(REGEXMATCH(LOWER(AL124&amp;"" | ""&amp;E124),""data[- ]?инжен""),""Data-инженер"",""""),IF(REGEXMATCH(LOWER(AL124&amp;"" | ""&amp;E124),""frontend""),""Frontend"",""""))))"),"")</f>
        <v/>
      </c>
    </row>
    <row r="125">
      <c r="A125" s="6" t="str">
        <f>IFERROR(__xludf.DUMMYFUNCTION("""COMPUTED_VALUE"""),"EXT-25")</f>
        <v>EXT-25</v>
      </c>
      <c r="B125" s="6" t="str">
        <f>IFERROR(__xludf.DUMMYFUNCTION("""COMPUTED_VALUE"""),"2026-08-02 13:03:29")</f>
        <v>2026-08-02 13:03:29</v>
      </c>
      <c r="C125" s="6" t="str">
        <f>IFERROR(__xludf.DUMMYFUNCTION("""COMPUTED_VALUE"""),"@chad_protocol")</f>
        <v>@chad_protocol</v>
      </c>
      <c r="D125" s="4" t="str">
        <f>IFERROR(__xludf.DUMMYFUNCTION("""COMPUTED_VALUE"""),"Бесплатное событие / лид-магнит")</f>
        <v>Бесплатное событие / лид-магнит</v>
      </c>
      <c r="E125" s="6" t="str">
        <f>IFERROR(__xludf.DUMMYFUNCTION("""COMPUTED_VALUE"""),"")</f>
        <v/>
      </c>
      <c r="F125" s="6" t="str">
        <f>IFERROR(__xludf.DUMMYFUNCTION("""COMPUTED_VALUE"""),"")</f>
        <v/>
      </c>
      <c r="G125" s="10" t="str">
        <f>IFERROR(__xludf.DUMMYFUNCTION("""COMPUTED_VALUE"""),"https://t.me/chad_protocol/504")</f>
        <v>https://t.me/chad_protocol/504</v>
      </c>
      <c r="H125" s="6" t="str">
        <f>IFERROR(__xludf.DUMMYFUNCTION("""COMPUTED_VALUE"""),"Разбор контеста на стажировку в Яндекс за подписку! 
Чтобы получить разбор:
➡️Подпишитесь на нас в запрещенной странице тут
➡️Поставьте «+» в комментариях под последней каруселью тут
➡️После этого бот пришлёт вам материал в директ
Внутри будет разбор ко"&amp;"нтеста и заданий, которые помогут подготовиться к отбору в Яндекс")</f>
        <v>Разбор контеста на стажировку в Яндекс за подписку! 
Чтобы получить разбор:
➡️Подпишитесь на нас в запрещенной странице тут
➡️Поставьте «+» в комментариях под последней каруселью тут
➡️После этого бот пришлёт вам материал в директ
Внутри будет разбор контеста и заданий, которые помогут подготовиться к отбору в Яндекс</v>
      </c>
      <c r="I125" s="6" t="str">
        <f>IFERROR(__xludf.DUMMYFUNCTION("""COMPUTED_VALUE"""),"external")</f>
        <v>external</v>
      </c>
      <c r="J125" s="10" t="str">
        <f>IFERROR(__xludf.DUMMYFUNCTION("""COMPUTED_VALUE"""),"https://t.me/chad_protocol/504")</f>
        <v>https://t.me/chad_protocol/504</v>
      </c>
      <c r="K125" s="6">
        <f>IFERROR(__xludf.DUMMYFUNCTION("""COMPUTED_VALUE"""),3860.0)</f>
        <v>3860</v>
      </c>
      <c r="L125" s="6">
        <f>IFERROR(__xludf.DUMMYFUNCTION("""COMPUTED_VALUE"""),2.0)</f>
        <v>2</v>
      </c>
      <c r="M125" s="6"/>
      <c r="N125" s="6" t="str">
        <f>IFERROR(__xludf.DUMMYFUNCTION("""COMPUTED_VALUE"""),"Telegram")</f>
        <v>Telegram</v>
      </c>
      <c r="O125" s="6" t="str">
        <f>IFERROR(__xludf.DUMMYFUNCTION("""COMPUTED_VALUE"""),"raw")</f>
        <v>raw</v>
      </c>
      <c r="P125" s="6" t="str">
        <f>IFERROR(__xludf.DUMMYFUNCTION("""COMPUTED_VALUE"""),"Codex")</f>
        <v>Codex</v>
      </c>
      <c r="Q125" s="6" t="str">
        <f>IFERROR(__xludf.DUMMYFUNCTION("""COMPUTED_VALUE"""),"Общий контакт @vice22821; признак связи с проектом")</f>
        <v>Общий контакт @vice22821; признак связи с проектом</v>
      </c>
      <c r="R125" s="6" t="str">
        <f>IFERROR(__xludf.DUMMYFUNCTION("""COMPUTED_VALUE"""),"unknown")</f>
        <v>unknown</v>
      </c>
      <c r="S125" s="6" t="str">
        <f>IFERROR(__xludf.DUMMYFUNCTION("""COMPUTED_VALUE"""),"unknown")</f>
        <v>unknown</v>
      </c>
      <c r="T125" s="6" t="str">
        <f>IFERROR(__xludf.DUMMYFUNCTION("""COMPUTED_VALUE"""),"telegram_external")</f>
        <v>telegram_external</v>
      </c>
      <c r="U125" s="6" t="str">
        <f>IFERROR(__xludf.DUMMYFUNCTION("""COMPUTED_VALUE"""),"Бесплатное событие / лид-магнит")</f>
        <v>Бесплатное событие / лид-магнит</v>
      </c>
      <c r="V125" s="6" t="str">
        <f>IFERROR(__xludf.DUMMYFUNCTION("""COMPUTED_VALUE"""),"")</f>
        <v/>
      </c>
      <c r="W125" s="6" t="str">
        <f>IFERROR(__xludf.DUMMYFUNCTION("""COMPUTED_VALUE"""),"")</f>
        <v/>
      </c>
      <c r="X125" s="6" t="str">
        <f>IFERROR(__xludf.DUMMYFUNCTION("""COMPUTED_VALUE"""),"Forwarded from Поступашки - ШАД, Стажировки и Магистратура")</f>
        <v>Forwarded from Поступашки - ШАД, Стажировки и Магистратура</v>
      </c>
      <c r="Y125" s="10" t="str">
        <f>IFERROR(__xludf.DUMMYFUNCTION("""COMPUTED_VALUE"""),"https://t.me/postypashki_old/1827")</f>
        <v>https://t.me/postypashki_old/1827</v>
      </c>
      <c r="Z125" s="6" t="b">
        <f>IFERROR(__xludf.DUMMYFUNCTION("""COMPUTED_VALUE"""),FALSE)</f>
        <v>0</v>
      </c>
      <c r="AA125" s="6" t="str">
        <f>IFERROR(__xludf.DUMMYFUNCTION("""COMPUTED_VALUE"""),"")</f>
        <v/>
      </c>
      <c r="AB125" s="6" t="str">
        <f>IFERROR(__xludf.DUMMYFUNCTION("""COMPUTED_VALUE"""),"")</f>
        <v/>
      </c>
      <c r="AC125" s="6" t="str">
        <f>IFERROR(__xludf.DUMMYFUNCTION("""COMPUTED_VALUE"""),"")</f>
        <v/>
      </c>
      <c r="AD125" s="6" t="str">
        <f>IFERROR(__xludf.DUMMYFUNCTION("""COMPUTED_VALUE"""),"")</f>
        <v/>
      </c>
      <c r="AE125" s="6" t="str">
        <f>IFERROR(__xludf.DUMMYFUNCTION("""COMPUTED_VALUE"""),"")</f>
        <v/>
      </c>
      <c r="AF125" s="6" t="str">
        <f>IFERROR(__xludf.DUMMYFUNCTION("""COMPUTED_VALUE"""),"Не подтверждено")</f>
        <v>Не подтверждено</v>
      </c>
      <c r="AG125" s="6" t="str">
        <f>IFERROR(__xludf.DUMMYFUNCTION("""COMPUTED_VALUE"""),"")</f>
        <v/>
      </c>
      <c r="AH125" s="6" t="str">
        <f>IFERROR(__xludf.DUMMYFUNCTION("""COMPUTED_VALUE"""),"2026-09-11T11:47:52.658878+00:00")</f>
        <v>2026-09-11T11:47:52.658878+00:00</v>
      </c>
      <c r="AI125" s="6" t="str">
        <f>IFERROR(__xludf.DUMMYFUNCTION("""COMPUTED_VALUE"""),"raw/chad_protocol/page_001.html")</f>
        <v>raw/chad_protocol/page_001.html</v>
      </c>
      <c r="AJ125" s="9" t="s">
        <v>208</v>
      </c>
      <c r="AM125" s="9" t="s">
        <v>219</v>
      </c>
      <c r="AN125" s="6" t="str">
        <f>IFERROR(__xludf.DUMMYFUNCTION("IF(OR(AJ125=""general_brand"",AJ125=""external"",AJ125=""unknown""),"""",IF(AJ125=""product_line"",IF(AK125=""START"",""Аналитика старт | Алгоритмы старт | Backend старт | ML старт"",IF(AK125=""PRO"",""AI-агенты про | Алгоритмы про | Аналитика про | ML пр"&amp;"о | Backend про"",IF(AK125=""START | PRO"",""Аналитика старт | Алгоритмы старт | Backend старт | ML старт | AI-агенты про | Алгоритмы про | Аналитика про | ML про | Backend про"",""""))),TEXTJOIN("" | "",TRUE,IF(REGEXMATCH(LOWER(AL125&amp;"" | ""&amp;E125),""анал"&amp;"итика старт""),""Аналитика старт"",""""),IF(REGEXMATCH(LOWER(AL125&amp;"" | ""&amp;E125),""алгоритмы старт""),""Алгоритмы старт"",""""),IF(REGEXMATCH(LOWER(AL125&amp;"" | ""&amp;E125),""backend старт""),""Backend старт"",""""),IF(REGEXMATCH(LOWER(AL125&amp;"" | ""&amp;E125),""ml"&amp;" старт""),""ML старт"",""""),IF(REGEXMATCH(LOWER(AL125&amp;"" | ""&amp;E125),""ai[ -]?агент""),""AI-агенты про"",""""),IF(REGEXMATCH(LOWER(AL125&amp;"" | ""&amp;E125),""алгоритмы про""),""Алгоритмы про"",""""),IF(REGEXMATCH(LOWER(AL125&amp;"" | ""&amp;E125),""аналитика про""),"""&amp;"Аналитика про"",""""),IF(REGEXMATCH(LOWER(AL125&amp;"" | ""&amp;E125),""ml про""),""ML про"",""""),IF(REGEXMATCH(LOWER(AL125&amp;"" | ""&amp;E125),""backend про""),""Backend про"",""""),IF(REGEXMATCH(LOWER(AL125&amp;"" | ""&amp;E125),""(а/в|ав|а в|ab)[ -]?тест""),""А/В-тесты"","&amp;"""""),IF(REGEXMATCH(LOWER(AL125&amp;"" | ""&amp;E125),""data science""),""Data science"",""""),IF(REGEXMATCH(LOWER(AL125&amp;"" | ""&amp;E125),""data[- ]?инжен""),""Data-инженер"",""""),IF(REGEXMATCH(LOWER(AL125&amp;"" | ""&amp;E125),""frontend""),""Frontend"",""""))))"),"")</f>
        <v/>
      </c>
    </row>
    <row r="126">
      <c r="A126" s="6" t="str">
        <f>IFERROR(__xludf.DUMMYFUNCTION("""COMPUTED_VALUE"""),"EXT-26")</f>
        <v>EXT-26</v>
      </c>
      <c r="B126" s="6" t="str">
        <f>IFERROR(__xludf.DUMMYFUNCTION("""COMPUTED_VALUE"""),"2026-08-02 19:04:49")</f>
        <v>2026-08-02 19:04:49</v>
      </c>
      <c r="C126" s="6" t="str">
        <f>IFERROR(__xludf.DUMMYFUNCTION("""COMPUTED_VALUE"""),"@codeof_art")</f>
        <v>@codeof_art</v>
      </c>
      <c r="D126" s="4" t="str">
        <f>IFERROR(__xludf.DUMMYFUNCTION("""COMPUTED_VALUE"""),"Бесплатное событие / лид-магнит")</f>
        <v>Бесплатное событие / лид-магнит</v>
      </c>
      <c r="E126" s="6" t="str">
        <f>IFERROR(__xludf.DUMMYFUNCTION("""COMPUTED_VALUE"""),"")</f>
        <v/>
      </c>
      <c r="F126" s="6" t="str">
        <f>IFERROR(__xludf.DUMMYFUNCTION("""COMPUTED_VALUE"""),"")</f>
        <v/>
      </c>
      <c r="G126" s="10" t="str">
        <f>IFERROR(__xludf.DUMMYFUNCTION("""COMPUTED_VALUE"""),"https://t.me/codeof_art/304")</f>
        <v>https://t.me/codeof_art/304</v>
      </c>
      <c r="H126" s="6" t="str">
        <f>IFERROR(__xludf.DUMMYFUNCTION("""COMPUTED_VALUE"""),"Разбор контеста на стажировку в Яндекс за подписку! 
Чтобы получить разбор:
➡️Подпишитесь на нас в запрещенной странице тут
➡️Поставьте «+» в комментариях под последней каруселью тут
➡️После этого бот пришлёт вам материал в директ
Внутри будет разбор ко"&amp;"нтеста и заданий, которые помогут подготовиться к отбору в Яндекс")</f>
        <v>Разбор контеста на стажировку в Яндекс за подписку! 
Чтобы получить разбор:
➡️Подпишитесь на нас в запрещенной странице тут
➡️Поставьте «+» в комментариях под последней каруселью тут
➡️После этого бот пришлёт вам материал в директ
Внутри будет разбор контеста и заданий, которые помогут подготовиться к отбору в Яндекс</v>
      </c>
      <c r="I126" s="6" t="str">
        <f>IFERROR(__xludf.DUMMYFUNCTION("""COMPUTED_VALUE"""),"external")</f>
        <v>external</v>
      </c>
      <c r="J126" s="10" t="str">
        <f>IFERROR(__xludf.DUMMYFUNCTION("""COMPUTED_VALUE"""),"https://t.me/codeof_art/304")</f>
        <v>https://t.me/codeof_art/304</v>
      </c>
      <c r="K126" s="6">
        <f>IFERROR(__xludf.DUMMYFUNCTION("""COMPUTED_VALUE"""),631.0)</f>
        <v>631</v>
      </c>
      <c r="L126" s="6"/>
      <c r="M126" s="6"/>
      <c r="N126" s="6" t="str">
        <f>IFERROR(__xludf.DUMMYFUNCTION("""COMPUTED_VALUE"""),"Telegram")</f>
        <v>Telegram</v>
      </c>
      <c r="O126" s="6" t="str">
        <f>IFERROR(__xludf.DUMMYFUNCTION("""COMPUTED_VALUE"""),"raw")</f>
        <v>raw</v>
      </c>
      <c r="P126" s="6" t="str">
        <f>IFERROR(__xludf.DUMMYFUNCTION("""COMPUTED_VALUE"""),"Codex")</f>
        <v>Codex</v>
      </c>
      <c r="Q126" s="6" t="str">
        <f>IFERROR(__xludf.DUMMYFUNCTION("""COMPUTED_VALUE"""),"Общий контакт @vice22821; признак связи с проектом")</f>
        <v>Общий контакт @vice22821; признак связи с проектом</v>
      </c>
      <c r="R126" s="6" t="str">
        <f>IFERROR(__xludf.DUMMYFUNCTION("""COMPUTED_VALUE"""),"unknown")</f>
        <v>unknown</v>
      </c>
      <c r="S126" s="6" t="str">
        <f>IFERROR(__xludf.DUMMYFUNCTION("""COMPUTED_VALUE"""),"unknown")</f>
        <v>unknown</v>
      </c>
      <c r="T126" s="6" t="str">
        <f>IFERROR(__xludf.DUMMYFUNCTION("""COMPUTED_VALUE"""),"telegram_external")</f>
        <v>telegram_external</v>
      </c>
      <c r="U126" s="6" t="str">
        <f>IFERROR(__xludf.DUMMYFUNCTION("""COMPUTED_VALUE"""),"Бесплатное событие / лид-магнит")</f>
        <v>Бесплатное событие / лид-магнит</v>
      </c>
      <c r="V126" s="6" t="str">
        <f>IFERROR(__xludf.DUMMYFUNCTION("""COMPUTED_VALUE"""),"")</f>
        <v/>
      </c>
      <c r="W126" s="6" t="str">
        <f>IFERROR(__xludf.DUMMYFUNCTION("""COMPUTED_VALUE"""),"")</f>
        <v/>
      </c>
      <c r="X126" s="6" t="str">
        <f>IFERROR(__xludf.DUMMYFUNCTION("""COMPUTED_VALUE"""),"Forwarded from Поступашки - ШАД, Стажировки и Магистратура")</f>
        <v>Forwarded from Поступашки - ШАД, Стажировки и Магистратура</v>
      </c>
      <c r="Y126" s="10" t="str">
        <f>IFERROR(__xludf.DUMMYFUNCTION("""COMPUTED_VALUE"""),"https://t.me/postypashki_old/1827")</f>
        <v>https://t.me/postypashki_old/1827</v>
      </c>
      <c r="Z126" s="6" t="b">
        <f>IFERROR(__xludf.DUMMYFUNCTION("""COMPUTED_VALUE"""),FALSE)</f>
        <v>0</v>
      </c>
      <c r="AA126" s="6" t="str">
        <f>IFERROR(__xludf.DUMMYFUNCTION("""COMPUTED_VALUE"""),"")</f>
        <v/>
      </c>
      <c r="AB126" s="6" t="str">
        <f>IFERROR(__xludf.DUMMYFUNCTION("""COMPUTED_VALUE"""),"")</f>
        <v/>
      </c>
      <c r="AC126" s="6" t="str">
        <f>IFERROR(__xludf.DUMMYFUNCTION("""COMPUTED_VALUE"""),"")</f>
        <v/>
      </c>
      <c r="AD126" s="6" t="str">
        <f>IFERROR(__xludf.DUMMYFUNCTION("""COMPUTED_VALUE"""),"")</f>
        <v/>
      </c>
      <c r="AE126" s="6" t="str">
        <f>IFERROR(__xludf.DUMMYFUNCTION("""COMPUTED_VALUE"""),"")</f>
        <v/>
      </c>
      <c r="AF126" s="6" t="str">
        <f>IFERROR(__xludf.DUMMYFUNCTION("""COMPUTED_VALUE"""),"Не подтверждено")</f>
        <v>Не подтверждено</v>
      </c>
      <c r="AG126" s="6" t="str">
        <f>IFERROR(__xludf.DUMMYFUNCTION("""COMPUTED_VALUE"""),"")</f>
        <v/>
      </c>
      <c r="AH126" s="6" t="str">
        <f>IFERROR(__xludf.DUMMYFUNCTION("""COMPUTED_VALUE"""),"2026-09-11T11:47:38.610904+00:00")</f>
        <v>2026-09-11T11:47:38.610904+00:00</v>
      </c>
      <c r="AI126" s="6" t="str">
        <f>IFERROR(__xludf.DUMMYFUNCTION("""COMPUTED_VALUE"""),"raw/codeof_art/page_001.html")</f>
        <v>raw/codeof_art/page_001.html</v>
      </c>
      <c r="AJ126" s="9" t="s">
        <v>208</v>
      </c>
      <c r="AM126" s="9" t="s">
        <v>219</v>
      </c>
      <c r="AN126" s="6" t="str">
        <f>IFERROR(__xludf.DUMMYFUNCTION("IF(OR(AJ126=""general_brand"",AJ126=""external"",AJ126=""unknown""),"""",IF(AJ126=""product_line"",IF(AK126=""START"",""Аналитика старт | Алгоритмы старт | Backend старт | ML старт"",IF(AK126=""PRO"",""AI-агенты про | Алгоритмы про | Аналитика про | ML пр"&amp;"о | Backend про"",IF(AK126=""START | PRO"",""Аналитика старт | Алгоритмы старт | Backend старт | ML старт | AI-агенты про | Алгоритмы про | Аналитика про | ML про | Backend про"",""""))),TEXTJOIN("" | "",TRUE,IF(REGEXMATCH(LOWER(AL126&amp;"" | ""&amp;E126),""анал"&amp;"итика старт""),""Аналитика старт"",""""),IF(REGEXMATCH(LOWER(AL126&amp;"" | ""&amp;E126),""алгоритмы старт""),""Алгоритмы старт"",""""),IF(REGEXMATCH(LOWER(AL126&amp;"" | ""&amp;E126),""backend старт""),""Backend старт"",""""),IF(REGEXMATCH(LOWER(AL126&amp;"" | ""&amp;E126),""ml"&amp;" старт""),""ML старт"",""""),IF(REGEXMATCH(LOWER(AL126&amp;"" | ""&amp;E126),""ai[ -]?агент""),""AI-агенты про"",""""),IF(REGEXMATCH(LOWER(AL126&amp;"" | ""&amp;E126),""алгоритмы про""),""Алгоритмы про"",""""),IF(REGEXMATCH(LOWER(AL126&amp;"" | ""&amp;E126),""аналитика про""),"""&amp;"Аналитика про"",""""),IF(REGEXMATCH(LOWER(AL126&amp;"" | ""&amp;E126),""ml про""),""ML про"",""""),IF(REGEXMATCH(LOWER(AL126&amp;"" | ""&amp;E126),""backend про""),""Backend про"",""""),IF(REGEXMATCH(LOWER(AL126&amp;"" | ""&amp;E126),""(а/в|ав|а в|ab)[ -]?тест""),""А/В-тесты"","&amp;"""""),IF(REGEXMATCH(LOWER(AL126&amp;"" | ""&amp;E126),""data science""),""Data science"",""""),IF(REGEXMATCH(LOWER(AL126&amp;"" | ""&amp;E126),""data[- ]?инжен""),""Data-инженер"",""""),IF(REGEXMATCH(LOWER(AL126&amp;"" | ""&amp;E126),""frontend""),""Frontend"",""""))))"),"")</f>
        <v/>
      </c>
    </row>
    <row r="127">
      <c r="A127" s="6" t="str">
        <f>IFERROR(__xludf.DUMMYFUNCTION("""COMPUTED_VALUE"""),"EXT-27")</f>
        <v>EXT-27</v>
      </c>
      <c r="B127" s="6" t="str">
        <f>IFERROR(__xludf.DUMMYFUNCTION("""COMPUTED_VALUE"""),"2026-08-02 19:02:55")</f>
        <v>2026-08-02 19:02:55</v>
      </c>
      <c r="C127" s="6" t="str">
        <f>IFERROR(__xludf.DUMMYFUNCTION("""COMPUTED_VALUE"""),"@zadachi_ds")</f>
        <v>@zadachi_ds</v>
      </c>
      <c r="D127" s="4" t="str">
        <f>IFERROR(__xludf.DUMMYFUNCTION("""COMPUTED_VALUE"""),"Бесплатное событие / лид-магнит")</f>
        <v>Бесплатное событие / лид-магнит</v>
      </c>
      <c r="E127" s="6" t="str">
        <f>IFERROR(__xludf.DUMMYFUNCTION("""COMPUTED_VALUE"""),"")</f>
        <v/>
      </c>
      <c r="F127" s="6" t="str">
        <f>IFERROR(__xludf.DUMMYFUNCTION("""COMPUTED_VALUE"""),"")</f>
        <v/>
      </c>
      <c r="G127" s="10" t="str">
        <f>IFERROR(__xludf.DUMMYFUNCTION("""COMPUTED_VALUE"""),"https://t.me/zadachi_ds/385")</f>
        <v>https://t.me/zadachi_ds/385</v>
      </c>
      <c r="H127" s="6" t="str">
        <f>IFERROR(__xludf.DUMMYFUNCTION("""COMPUTED_VALUE"""),"Разбор контеста на стажировку в Яндекс за подписку! 
Чтобы получить разбор:
➡️Подпишитесь на нас в запрещенной странице тут
➡️Поставьте «+» в комментариях под последней каруселью тут
➡️После этого бот пришлёт вам материал в директ
Внутри будет разбор ко"&amp;"нтеста и заданий, которые помогут подготовиться к отбору в Яндекс")</f>
        <v>Разбор контеста на стажировку в Яндекс за подписку! 
Чтобы получить разбор:
➡️Подпишитесь на нас в запрещенной странице тут
➡️Поставьте «+» в комментариях под последней каруселью тут
➡️После этого бот пришлёт вам материал в директ
Внутри будет разбор контеста и заданий, которые помогут подготовиться к отбору в Яндекс</v>
      </c>
      <c r="I127" s="6" t="str">
        <f>IFERROR(__xludf.DUMMYFUNCTION("""COMPUTED_VALUE"""),"external")</f>
        <v>external</v>
      </c>
      <c r="J127" s="10" t="str">
        <f>IFERROR(__xludf.DUMMYFUNCTION("""COMPUTED_VALUE"""),"https://t.me/zadachi_ds/385")</f>
        <v>https://t.me/zadachi_ds/385</v>
      </c>
      <c r="K127" s="6">
        <f>IFERROR(__xludf.DUMMYFUNCTION("""COMPUTED_VALUE"""),2820.0)</f>
        <v>2820</v>
      </c>
      <c r="L127" s="6"/>
      <c r="M127" s="6"/>
      <c r="N127" s="6" t="str">
        <f>IFERROR(__xludf.DUMMYFUNCTION("""COMPUTED_VALUE"""),"Telegram")</f>
        <v>Telegram</v>
      </c>
      <c r="O127" s="6" t="str">
        <f>IFERROR(__xludf.DUMMYFUNCTION("""COMPUTED_VALUE"""),"raw")</f>
        <v>raw</v>
      </c>
      <c r="P127" s="6" t="str">
        <f>IFERROR(__xludf.DUMMYFUNCTION("""COMPUTED_VALUE"""),"Codex")</f>
        <v>Codex</v>
      </c>
      <c r="Q127" s="6" t="str">
        <f>IFERROR(__xludf.DUMMYFUNCTION("""COMPUTED_VALUE"""),"Общий контакт @vice22821; признак связи с проектом")</f>
        <v>Общий контакт @vice22821; признак связи с проектом</v>
      </c>
      <c r="R127" s="6" t="str">
        <f>IFERROR(__xludf.DUMMYFUNCTION("""COMPUTED_VALUE"""),"unknown")</f>
        <v>unknown</v>
      </c>
      <c r="S127" s="6" t="str">
        <f>IFERROR(__xludf.DUMMYFUNCTION("""COMPUTED_VALUE"""),"unknown")</f>
        <v>unknown</v>
      </c>
      <c r="T127" s="6" t="str">
        <f>IFERROR(__xludf.DUMMYFUNCTION("""COMPUTED_VALUE"""),"telegram_external")</f>
        <v>telegram_external</v>
      </c>
      <c r="U127" s="6" t="str">
        <f>IFERROR(__xludf.DUMMYFUNCTION("""COMPUTED_VALUE"""),"Бесплатное событие / лид-магнит")</f>
        <v>Бесплатное событие / лид-магнит</v>
      </c>
      <c r="V127" s="6" t="str">
        <f>IFERROR(__xludf.DUMMYFUNCTION("""COMPUTED_VALUE"""),"")</f>
        <v/>
      </c>
      <c r="W127" s="6" t="str">
        <f>IFERROR(__xludf.DUMMYFUNCTION("""COMPUTED_VALUE"""),"")</f>
        <v/>
      </c>
      <c r="X127" s="6" t="str">
        <f>IFERROR(__xludf.DUMMYFUNCTION("""COMPUTED_VALUE"""),"Forwarded from Поступашки - ШАД, Стажировки и Магистратура")</f>
        <v>Forwarded from Поступашки - ШАД, Стажировки и Магистратура</v>
      </c>
      <c r="Y127" s="10" t="str">
        <f>IFERROR(__xludf.DUMMYFUNCTION("""COMPUTED_VALUE"""),"https://t.me/postypashki_old/1827")</f>
        <v>https://t.me/postypashki_old/1827</v>
      </c>
      <c r="Z127" s="6" t="b">
        <f>IFERROR(__xludf.DUMMYFUNCTION("""COMPUTED_VALUE"""),FALSE)</f>
        <v>0</v>
      </c>
      <c r="AA127" s="6" t="str">
        <f>IFERROR(__xludf.DUMMYFUNCTION("""COMPUTED_VALUE"""),"")</f>
        <v/>
      </c>
      <c r="AB127" s="6" t="str">
        <f>IFERROR(__xludf.DUMMYFUNCTION("""COMPUTED_VALUE"""),"")</f>
        <v/>
      </c>
      <c r="AC127" s="6" t="str">
        <f>IFERROR(__xludf.DUMMYFUNCTION("""COMPUTED_VALUE"""),"")</f>
        <v/>
      </c>
      <c r="AD127" s="6" t="str">
        <f>IFERROR(__xludf.DUMMYFUNCTION("""COMPUTED_VALUE"""),"")</f>
        <v/>
      </c>
      <c r="AE127" s="6" t="str">
        <f>IFERROR(__xludf.DUMMYFUNCTION("""COMPUTED_VALUE"""),"")</f>
        <v/>
      </c>
      <c r="AF127" s="6" t="str">
        <f>IFERROR(__xludf.DUMMYFUNCTION("""COMPUTED_VALUE"""),"Не подтверждено")</f>
        <v>Не подтверждено</v>
      </c>
      <c r="AG127" s="6" t="str">
        <f>IFERROR(__xludf.DUMMYFUNCTION("""COMPUTED_VALUE"""),"")</f>
        <v/>
      </c>
      <c r="AH127" s="6" t="str">
        <f>IFERROR(__xludf.DUMMYFUNCTION("""COMPUTED_VALUE"""),"2026-09-11T11:47:41.193466+00:00")</f>
        <v>2026-09-11T11:47:41.193466+00:00</v>
      </c>
      <c r="AI127" s="6" t="str">
        <f>IFERROR(__xludf.DUMMYFUNCTION("""COMPUTED_VALUE"""),"raw/zadachi_ds/page_001.html")</f>
        <v>raw/zadachi_ds/page_001.html</v>
      </c>
      <c r="AJ127" s="9" t="s">
        <v>208</v>
      </c>
      <c r="AM127" s="9" t="s">
        <v>219</v>
      </c>
      <c r="AN127" s="6" t="str">
        <f>IFERROR(__xludf.DUMMYFUNCTION("IF(OR(AJ127=""general_brand"",AJ127=""external"",AJ127=""unknown""),"""",IF(AJ127=""product_line"",IF(AK127=""START"",""Аналитика старт | Алгоритмы старт | Backend старт | ML старт"",IF(AK127=""PRO"",""AI-агенты про | Алгоритмы про | Аналитика про | ML пр"&amp;"о | Backend про"",IF(AK127=""START | PRO"",""Аналитика старт | Алгоритмы старт | Backend старт | ML старт | AI-агенты про | Алгоритмы про | Аналитика про | ML про | Backend про"",""""))),TEXTJOIN("" | "",TRUE,IF(REGEXMATCH(LOWER(AL127&amp;"" | ""&amp;E127),""анал"&amp;"итика старт""),""Аналитика старт"",""""),IF(REGEXMATCH(LOWER(AL127&amp;"" | ""&amp;E127),""алгоритмы старт""),""Алгоритмы старт"",""""),IF(REGEXMATCH(LOWER(AL127&amp;"" | ""&amp;E127),""backend старт""),""Backend старт"",""""),IF(REGEXMATCH(LOWER(AL127&amp;"" | ""&amp;E127),""ml"&amp;" старт""),""ML старт"",""""),IF(REGEXMATCH(LOWER(AL127&amp;"" | ""&amp;E127),""ai[ -]?агент""),""AI-агенты про"",""""),IF(REGEXMATCH(LOWER(AL127&amp;"" | ""&amp;E127),""алгоритмы про""),""Алгоритмы про"",""""),IF(REGEXMATCH(LOWER(AL127&amp;"" | ""&amp;E127),""аналитика про""),"""&amp;"Аналитика про"",""""),IF(REGEXMATCH(LOWER(AL127&amp;"" | ""&amp;E127),""ml про""),""ML про"",""""),IF(REGEXMATCH(LOWER(AL127&amp;"" | ""&amp;E127),""backend про""),""Backend про"",""""),IF(REGEXMATCH(LOWER(AL127&amp;"" | ""&amp;E127),""(а/в|ав|а в|ab)[ -]?тест""),""А/В-тесты"","&amp;"""""),IF(REGEXMATCH(LOWER(AL127&amp;"" | ""&amp;E127),""data science""),""Data science"",""""),IF(REGEXMATCH(LOWER(AL127&amp;"" | ""&amp;E127),""data[- ]?инжен""),""Data-инженер"",""""),IF(REGEXMATCH(LOWER(AL127&amp;"" | ""&amp;E127),""frontend""),""Frontend"",""""))))"),"")</f>
        <v/>
      </c>
    </row>
    <row r="128">
      <c r="A128" s="6" t="str">
        <f>IFERROR(__xludf.DUMMYFUNCTION("""COMPUTED_VALUE"""),"EXT-28")</f>
        <v>EXT-28</v>
      </c>
      <c r="B128" s="6" t="str">
        <f>IFERROR(__xludf.DUMMYFUNCTION("""COMPUTED_VALUE"""),"2026-08-03 19:01:40")</f>
        <v>2026-08-03 19:01:40</v>
      </c>
      <c r="C128" s="6" t="str">
        <f>IFERROR(__xludf.DUMMYFUNCTION("""COMPUTED_VALUE"""),"@ProdAnalysis")</f>
        <v>@ProdAnalysis</v>
      </c>
      <c r="D128" s="4" t="str">
        <f>IFERROR(__xludf.DUMMYFUNCTION("""COMPUTED_VALUE"""),"Бесплатное событие / лид-магнит")</f>
        <v>Бесплатное событие / лид-магнит</v>
      </c>
      <c r="E128" s="6" t="str">
        <f>IFERROR(__xludf.DUMMYFUNCTION("""COMPUTED_VALUE"""),"")</f>
        <v/>
      </c>
      <c r="F128" s="6" t="str">
        <f>IFERROR(__xludf.DUMMYFUNCTION("""COMPUTED_VALUE"""),"")</f>
        <v/>
      </c>
      <c r="G128" s="10" t="str">
        <f>IFERROR(__xludf.DUMMYFUNCTION("""COMPUTED_VALUE"""),"https://t.me/ProdAnalysis/141")</f>
        <v>https://t.me/ProdAnalysis/141</v>
      </c>
      <c r="H128" s="6" t="str">
        <f>IFERROR(__xludf.DUMMYFUNCTION("""COMPUTED_VALUE"""),"Разбор контеста на стажировку в Яндекс за подписку! 
Чтобы получить разбор:
➡️Подпишитесь на нас в запрещенной странице тут
➡️Поставьте «+» в комментариях под последней каруселью тут
➡️После этого бот пришлёт вам материал в директ
Внутри будет разбор ко"&amp;"нтеста и заданий, которые помогут подготовиться к отбору в Яндекс")</f>
        <v>Разбор контеста на стажировку в Яндекс за подписку! 
Чтобы получить разбор:
➡️Подпишитесь на нас в запрещенной странице тут
➡️Поставьте «+» в комментариях под последней каруселью тут
➡️После этого бот пришлёт вам материал в директ
Внутри будет разбор контеста и заданий, которые помогут подготовиться к отбору в Яндекс</v>
      </c>
      <c r="I128" s="6" t="str">
        <f>IFERROR(__xludf.DUMMYFUNCTION("""COMPUTED_VALUE"""),"external")</f>
        <v>external</v>
      </c>
      <c r="J128" s="10" t="str">
        <f>IFERROR(__xludf.DUMMYFUNCTION("""COMPUTED_VALUE"""),"https://t.me/ProdAnalysis/141")</f>
        <v>https://t.me/ProdAnalysis/141</v>
      </c>
      <c r="K128" s="6">
        <f>IFERROR(__xludf.DUMMYFUNCTION("""COMPUTED_VALUE"""),552.0)</f>
        <v>552</v>
      </c>
      <c r="L128" s="6"/>
      <c r="M128" s="6"/>
      <c r="N128" s="6" t="str">
        <f>IFERROR(__xludf.DUMMYFUNCTION("""COMPUTED_VALUE"""),"Telegram")</f>
        <v>Telegram</v>
      </c>
      <c r="O128" s="6" t="str">
        <f>IFERROR(__xludf.DUMMYFUNCTION("""COMPUTED_VALUE"""),"raw")</f>
        <v>raw</v>
      </c>
      <c r="P128" s="6" t="str">
        <f>IFERROR(__xludf.DUMMYFUNCTION("""COMPUTED_VALUE"""),"Codex")</f>
        <v>Codex</v>
      </c>
      <c r="Q128" s="6" t="str">
        <f>IFERROR(__xludf.DUMMYFUNCTION("""COMPUTED_VALUE"""),"Общий контакт @vice22821; признак связи с проектом")</f>
        <v>Общий контакт @vice22821; признак связи с проектом</v>
      </c>
      <c r="R128" s="6" t="str">
        <f>IFERROR(__xludf.DUMMYFUNCTION("""COMPUTED_VALUE"""),"unknown")</f>
        <v>unknown</v>
      </c>
      <c r="S128" s="6" t="str">
        <f>IFERROR(__xludf.DUMMYFUNCTION("""COMPUTED_VALUE"""),"unknown")</f>
        <v>unknown</v>
      </c>
      <c r="T128" s="6" t="str">
        <f>IFERROR(__xludf.DUMMYFUNCTION("""COMPUTED_VALUE"""),"telegram_external")</f>
        <v>telegram_external</v>
      </c>
      <c r="U128" s="6" t="str">
        <f>IFERROR(__xludf.DUMMYFUNCTION("""COMPUTED_VALUE"""),"Бесплатное событие / лид-магнит")</f>
        <v>Бесплатное событие / лид-магнит</v>
      </c>
      <c r="V128" s="6" t="str">
        <f>IFERROR(__xludf.DUMMYFUNCTION("""COMPUTED_VALUE"""),"")</f>
        <v/>
      </c>
      <c r="W128" s="6" t="str">
        <f>IFERROR(__xludf.DUMMYFUNCTION("""COMPUTED_VALUE"""),"")</f>
        <v/>
      </c>
      <c r="X128" s="6" t="str">
        <f>IFERROR(__xludf.DUMMYFUNCTION("""COMPUTED_VALUE"""),"Forwarded from Поступашки - ШАД, Стажировки и Магистратура")</f>
        <v>Forwarded from Поступашки - ШАД, Стажировки и Магистратура</v>
      </c>
      <c r="Y128" s="10" t="str">
        <f>IFERROR(__xludf.DUMMYFUNCTION("""COMPUTED_VALUE"""),"https://t.me/postypashki_old/1827")</f>
        <v>https://t.me/postypashki_old/1827</v>
      </c>
      <c r="Z128" s="6" t="b">
        <f>IFERROR(__xludf.DUMMYFUNCTION("""COMPUTED_VALUE"""),FALSE)</f>
        <v>0</v>
      </c>
      <c r="AA128" s="6" t="str">
        <f>IFERROR(__xludf.DUMMYFUNCTION("""COMPUTED_VALUE"""),"")</f>
        <v/>
      </c>
      <c r="AB128" s="6" t="str">
        <f>IFERROR(__xludf.DUMMYFUNCTION("""COMPUTED_VALUE"""),"")</f>
        <v/>
      </c>
      <c r="AC128" s="6" t="str">
        <f>IFERROR(__xludf.DUMMYFUNCTION("""COMPUTED_VALUE"""),"")</f>
        <v/>
      </c>
      <c r="AD128" s="6" t="str">
        <f>IFERROR(__xludf.DUMMYFUNCTION("""COMPUTED_VALUE"""),"")</f>
        <v/>
      </c>
      <c r="AE128" s="6" t="str">
        <f>IFERROR(__xludf.DUMMYFUNCTION("""COMPUTED_VALUE"""),"")</f>
        <v/>
      </c>
      <c r="AF128" s="6" t="str">
        <f>IFERROR(__xludf.DUMMYFUNCTION("""COMPUTED_VALUE"""),"Не подтверждено")</f>
        <v>Не подтверждено</v>
      </c>
      <c r="AG128" s="6" t="str">
        <f>IFERROR(__xludf.DUMMYFUNCTION("""COMPUTED_VALUE"""),"")</f>
        <v/>
      </c>
      <c r="AH128" s="6" t="str">
        <f>IFERROR(__xludf.DUMMYFUNCTION("""COMPUTED_VALUE"""),"2026-09-11T11:47:35.971287+00:00")</f>
        <v>2026-09-11T11:47:35.971287+00:00</v>
      </c>
      <c r="AI128" s="6" t="str">
        <f>IFERROR(__xludf.DUMMYFUNCTION("""COMPUTED_VALUE"""),"raw/ProdAnalysis/page_001.html")</f>
        <v>raw/ProdAnalysis/page_001.html</v>
      </c>
      <c r="AJ128" s="9" t="s">
        <v>208</v>
      </c>
      <c r="AM128" s="9" t="s">
        <v>219</v>
      </c>
      <c r="AN128" s="6" t="str">
        <f>IFERROR(__xludf.DUMMYFUNCTION("IF(OR(AJ128=""general_brand"",AJ128=""external"",AJ128=""unknown""),"""",IF(AJ128=""product_line"",IF(AK128=""START"",""Аналитика старт | Алгоритмы старт | Backend старт | ML старт"",IF(AK128=""PRO"",""AI-агенты про | Алгоритмы про | Аналитика про | ML пр"&amp;"о | Backend про"",IF(AK128=""START | PRO"",""Аналитика старт | Алгоритмы старт | Backend старт | ML старт | AI-агенты про | Алгоритмы про | Аналитика про | ML про | Backend про"",""""))),TEXTJOIN("" | "",TRUE,IF(REGEXMATCH(LOWER(AL128&amp;"" | ""&amp;E128),""анал"&amp;"итика старт""),""Аналитика старт"",""""),IF(REGEXMATCH(LOWER(AL128&amp;"" | ""&amp;E128),""алгоритмы старт""),""Алгоритмы старт"",""""),IF(REGEXMATCH(LOWER(AL128&amp;"" | ""&amp;E128),""backend старт""),""Backend старт"",""""),IF(REGEXMATCH(LOWER(AL128&amp;"" | ""&amp;E128),""ml"&amp;" старт""),""ML старт"",""""),IF(REGEXMATCH(LOWER(AL128&amp;"" | ""&amp;E128),""ai[ -]?агент""),""AI-агенты про"",""""),IF(REGEXMATCH(LOWER(AL128&amp;"" | ""&amp;E128),""алгоритмы про""),""Алгоритмы про"",""""),IF(REGEXMATCH(LOWER(AL128&amp;"" | ""&amp;E128),""аналитика про""),"""&amp;"Аналитика про"",""""),IF(REGEXMATCH(LOWER(AL128&amp;"" | ""&amp;E128),""ml про""),""ML про"",""""),IF(REGEXMATCH(LOWER(AL128&amp;"" | ""&amp;E128),""backend про""),""Backend про"",""""),IF(REGEXMATCH(LOWER(AL128&amp;"" | ""&amp;E128),""(а/в|ав|а в|ab)[ -]?тест""),""А/В-тесты"","&amp;"""""),IF(REGEXMATCH(LOWER(AL128&amp;"" | ""&amp;E128),""data science""),""Data science"",""""),IF(REGEXMATCH(LOWER(AL128&amp;"" | ""&amp;E128),""data[- ]?инжен""),""Data-инженер"",""""),IF(REGEXMATCH(LOWER(AL128&amp;"" | ""&amp;E128),""frontend""),""Frontend"",""""))))"),"")</f>
        <v/>
      </c>
    </row>
    <row r="129">
      <c r="A129" s="6" t="str">
        <f>IFERROR(__xludf.DUMMYFUNCTION("""COMPUTED_VALUE"""),"EXT-29")</f>
        <v>EXT-29</v>
      </c>
      <c r="B129" s="6" t="str">
        <f>IFERROR(__xludf.DUMMYFUNCTION("""COMPUTED_VALUE"""),"2026-08-03 12:04:29")</f>
        <v>2026-08-03 12:04:29</v>
      </c>
      <c r="C129" s="6" t="str">
        <f>IFERROR(__xludf.DUMMYFUNCTION("""COMPUTED_VALUE"""),"@postypashki_mems")</f>
        <v>@postypashki_mems</v>
      </c>
      <c r="D129" s="4" t="str">
        <f>IFERROR(__xludf.DUMMYFUNCTION("""COMPUTED_VALUE"""),"Бесплатное событие / лид-магнит")</f>
        <v>Бесплатное событие / лид-магнит</v>
      </c>
      <c r="E129" s="6" t="str">
        <f>IFERROR(__xludf.DUMMYFUNCTION("""COMPUTED_VALUE"""),"")</f>
        <v/>
      </c>
      <c r="F129" s="6" t="str">
        <f>IFERROR(__xludf.DUMMYFUNCTION("""COMPUTED_VALUE"""),"")</f>
        <v/>
      </c>
      <c r="G129" s="10" t="str">
        <f>IFERROR(__xludf.DUMMYFUNCTION("""COMPUTED_VALUE"""),"https://t.me/postypashki_mems/1361")</f>
        <v>https://t.me/postypashki_mems/1361</v>
      </c>
      <c r="H129" s="6" t="str">
        <f>IFERROR(__xludf.DUMMYFUNCTION("""COMPUTED_VALUE"""),"Разбор контеста на стажировку в Яндекс за подписку! 
Чтобы получить разбор:
➡️Подпишитесь на нас в запрещенной странице тут
➡️Поставьте «+» в комментариях под последней каруселью тут
➡️После этого бот пришлёт вам материал в директ
Внутри будет разбор ко"&amp;"нтеста и заданий, которые помогут подготовиться к отбору в Яндекс")</f>
        <v>Разбор контеста на стажировку в Яндекс за подписку! 
Чтобы получить разбор:
➡️Подпишитесь на нас в запрещенной странице тут
➡️Поставьте «+» в комментариях под последней каруселью тут
➡️После этого бот пришлёт вам материал в директ
Внутри будет разбор контеста и заданий, которые помогут подготовиться к отбору в Яндекс</v>
      </c>
      <c r="I129" s="6" t="str">
        <f>IFERROR(__xludf.DUMMYFUNCTION("""COMPUTED_VALUE"""),"external")</f>
        <v>external</v>
      </c>
      <c r="J129" s="10" t="str">
        <f>IFERROR(__xludf.DUMMYFUNCTION("""COMPUTED_VALUE"""),"https://t.me/postypashki_mems/1361")</f>
        <v>https://t.me/postypashki_mems/1361</v>
      </c>
      <c r="K129" s="6">
        <f>IFERROR(__xludf.DUMMYFUNCTION("""COMPUTED_VALUE"""),1730.0)</f>
        <v>1730</v>
      </c>
      <c r="L129" s="6"/>
      <c r="M129" s="6"/>
      <c r="N129" s="6" t="str">
        <f>IFERROR(__xludf.DUMMYFUNCTION("""COMPUTED_VALUE"""),"Telegram")</f>
        <v>Telegram</v>
      </c>
      <c r="O129" s="6" t="str">
        <f>IFERROR(__xludf.DUMMYFUNCTION("""COMPUTED_VALUE"""),"raw")</f>
        <v>raw</v>
      </c>
      <c r="P129" s="6" t="str">
        <f>IFERROR(__xludf.DUMMYFUNCTION("""COMPUTED_VALUE"""),"Codex")</f>
        <v>Codex</v>
      </c>
      <c r="Q129" s="6" t="str">
        <f>IFERROR(__xludf.DUMMYFUNCTION("""COMPUTED_VALUE"""),"Общий контакт @vice22821; признак связи с проектом")</f>
        <v>Общий контакт @vice22821; признак связи с проектом</v>
      </c>
      <c r="R129" s="6" t="str">
        <f>IFERROR(__xludf.DUMMYFUNCTION("""COMPUTED_VALUE"""),"unknown")</f>
        <v>unknown</v>
      </c>
      <c r="S129" s="6" t="str">
        <f>IFERROR(__xludf.DUMMYFUNCTION("""COMPUTED_VALUE"""),"unknown")</f>
        <v>unknown</v>
      </c>
      <c r="T129" s="6" t="str">
        <f>IFERROR(__xludf.DUMMYFUNCTION("""COMPUTED_VALUE"""),"telegram_external")</f>
        <v>telegram_external</v>
      </c>
      <c r="U129" s="6" t="str">
        <f>IFERROR(__xludf.DUMMYFUNCTION("""COMPUTED_VALUE"""),"Бесплатное событие / лид-магнит")</f>
        <v>Бесплатное событие / лид-магнит</v>
      </c>
      <c r="V129" s="6" t="str">
        <f>IFERROR(__xludf.DUMMYFUNCTION("""COMPUTED_VALUE"""),"")</f>
        <v/>
      </c>
      <c r="W129" s="6" t="str">
        <f>IFERROR(__xludf.DUMMYFUNCTION("""COMPUTED_VALUE"""),"")</f>
        <v/>
      </c>
      <c r="X129" s="6" t="str">
        <f>IFERROR(__xludf.DUMMYFUNCTION("""COMPUTED_VALUE"""),"Forwarded from Поступашки - ШАД, Стажировки и Магистратура")</f>
        <v>Forwarded from Поступашки - ШАД, Стажировки и Магистратура</v>
      </c>
      <c r="Y129" s="10" t="str">
        <f>IFERROR(__xludf.DUMMYFUNCTION("""COMPUTED_VALUE"""),"https://t.me/postypashki_old/1827")</f>
        <v>https://t.me/postypashki_old/1827</v>
      </c>
      <c r="Z129" s="6" t="b">
        <f>IFERROR(__xludf.DUMMYFUNCTION("""COMPUTED_VALUE"""),FALSE)</f>
        <v>0</v>
      </c>
      <c r="AA129" s="6" t="str">
        <f>IFERROR(__xludf.DUMMYFUNCTION("""COMPUTED_VALUE"""),"")</f>
        <v/>
      </c>
      <c r="AB129" s="6" t="str">
        <f>IFERROR(__xludf.DUMMYFUNCTION("""COMPUTED_VALUE"""),"")</f>
        <v/>
      </c>
      <c r="AC129" s="6" t="str">
        <f>IFERROR(__xludf.DUMMYFUNCTION("""COMPUTED_VALUE"""),"")</f>
        <v/>
      </c>
      <c r="AD129" s="6" t="str">
        <f>IFERROR(__xludf.DUMMYFUNCTION("""COMPUTED_VALUE"""),"")</f>
        <v/>
      </c>
      <c r="AE129" s="6" t="str">
        <f>IFERROR(__xludf.DUMMYFUNCTION("""COMPUTED_VALUE"""),"")</f>
        <v/>
      </c>
      <c r="AF129" s="6" t="str">
        <f>IFERROR(__xludf.DUMMYFUNCTION("""COMPUTED_VALUE"""),"Не подтверждено")</f>
        <v>Не подтверждено</v>
      </c>
      <c r="AG129" s="6" t="str">
        <f>IFERROR(__xludf.DUMMYFUNCTION("""COMPUTED_VALUE"""),"")</f>
        <v/>
      </c>
      <c r="AH129" s="6" t="str">
        <f>IFERROR(__xludf.DUMMYFUNCTION("""COMPUTED_VALUE"""),"2026-09-11T11:48:00.259598+00:00")</f>
        <v>2026-09-11T11:48:00.259598+00:00</v>
      </c>
      <c r="AI129" s="6" t="str">
        <f>IFERROR(__xludf.DUMMYFUNCTION("""COMPUTED_VALUE"""),"raw/postypashki_mems/page_002.html")</f>
        <v>raw/postypashki_mems/page_002.html</v>
      </c>
      <c r="AJ129" s="9" t="s">
        <v>208</v>
      </c>
      <c r="AM129" s="9" t="s">
        <v>219</v>
      </c>
      <c r="AN129" s="6" t="str">
        <f>IFERROR(__xludf.DUMMYFUNCTION("IF(OR(AJ129=""general_brand"",AJ129=""external"",AJ129=""unknown""),"""",IF(AJ129=""product_line"",IF(AK129=""START"",""Аналитика старт | Алгоритмы старт | Backend старт | ML старт"",IF(AK129=""PRO"",""AI-агенты про | Алгоритмы про | Аналитика про | ML пр"&amp;"о | Backend про"",IF(AK129=""START | PRO"",""Аналитика старт | Алгоритмы старт | Backend старт | ML старт | AI-агенты про | Алгоритмы про | Аналитика про | ML про | Backend про"",""""))),TEXTJOIN("" | "",TRUE,IF(REGEXMATCH(LOWER(AL129&amp;"" | ""&amp;E129),""анал"&amp;"итика старт""),""Аналитика старт"",""""),IF(REGEXMATCH(LOWER(AL129&amp;"" | ""&amp;E129),""алгоритмы старт""),""Алгоритмы старт"",""""),IF(REGEXMATCH(LOWER(AL129&amp;"" | ""&amp;E129),""backend старт""),""Backend старт"",""""),IF(REGEXMATCH(LOWER(AL129&amp;"" | ""&amp;E129),""ml"&amp;" старт""),""ML старт"",""""),IF(REGEXMATCH(LOWER(AL129&amp;"" | ""&amp;E129),""ai[ -]?агент""),""AI-агенты про"",""""),IF(REGEXMATCH(LOWER(AL129&amp;"" | ""&amp;E129),""алгоритмы про""),""Алгоритмы про"",""""),IF(REGEXMATCH(LOWER(AL129&amp;"" | ""&amp;E129),""аналитика про""),"""&amp;"Аналитика про"",""""),IF(REGEXMATCH(LOWER(AL129&amp;"" | ""&amp;E129),""ml про""),""ML про"",""""),IF(REGEXMATCH(LOWER(AL129&amp;"" | ""&amp;E129),""backend про""),""Backend про"",""""),IF(REGEXMATCH(LOWER(AL129&amp;"" | ""&amp;E129),""(а/в|ав|а в|ab)[ -]?тест""),""А/В-тесты"","&amp;"""""),IF(REGEXMATCH(LOWER(AL129&amp;"" | ""&amp;E129),""data science""),""Data science"",""""),IF(REGEXMATCH(LOWER(AL129&amp;"" | ""&amp;E129),""data[- ]?инжен""),""Data-инженер"",""""),IF(REGEXMATCH(LOWER(AL129&amp;"" | ""&amp;E129),""frontend""),""Frontend"",""""))))"),"")</f>
        <v/>
      </c>
    </row>
    <row r="130">
      <c r="A130" s="6" t="str">
        <f>IFERROR(__xludf.DUMMYFUNCTION("""COMPUTED_VALUE"""),"EXT-30")</f>
        <v>EXT-30</v>
      </c>
      <c r="B130" s="6" t="str">
        <f>IFERROR(__xludf.DUMMYFUNCTION("""COMPUTED_VALUE"""),"2026-08-04 17:49:32")</f>
        <v>2026-08-04 17:49:32</v>
      </c>
      <c r="C130" s="6" t="str">
        <f>IFERROR(__xludf.DUMMYFUNCTION("""COMPUTED_VALUE"""),"@chad_protocol")</f>
        <v>@chad_protocol</v>
      </c>
      <c r="D130" s="4" t="str">
        <f>IFERROR(__xludf.DUMMYFUNCTION("""COMPUTED_VALUE"""),"Прочий контент")</f>
        <v>Прочий контент</v>
      </c>
      <c r="E130" s="6" t="str">
        <f>IFERROR(__xludf.DUMMYFUNCTION("""COMPUTED_VALUE"""),"")</f>
        <v/>
      </c>
      <c r="F130" s="6" t="str">
        <f>IFERROR(__xludf.DUMMYFUNCTION("""COMPUTED_VALUE"""),"")</f>
        <v/>
      </c>
      <c r="G130" s="10" t="str">
        <f>IFERROR(__xludf.DUMMYFUNCTION("""COMPUTED_VALUE"""),"https://t.me/chad_protocol/506")</f>
        <v>https://t.me/chad_protocol/506</v>
      </c>
      <c r="H130" s="6" t="str">
        <f>IFERROR(__xludf.DUMMYFUNCTION("""COMPUTED_VALUE"""),"Поиск работы череp Linkedin
Отклики через headhunter сейчас работают фигово: мало вакансий-много кандидатов, много вкатунов-накрутчиков. Вакансии пишутся рекрутерами через гпт, поэтому могут быть странные или высокие требования. По итогу большинство вака"&amp;"нсий отсеиваются еще на этапе скрининга, проходят единицы только при идеальном мэтче. Хотя и рекрутер, и компания готовы предложить и условие повыгоднее и требования пониже. 
Что делать
Вкатываться в социальную инженерию! Например, найти контакты рекруте"&amp;"ра через тот же Linkedin и обсудить с ним вакансию. Советую не только красиво оформить резюме, но и Linkedin, GitHub,  Хабр карьера и прочее. Рекрутеры стали просить подтверждение опыта. Если на этих ресурсах будет ненастоящий опыт, можно подать жалобу. 
"&amp;"
Наглые подкаты
Если видите, что открыта вакансия, заходите в Linkedln и добавляете в друзья всех, кто там работает, затем спамите в личку о том, какой крутой вы и какие крытые они и просите взять на собес. Хорошо если получится зацепиться за общее место "&amp;"учебы/прошлое место работы и так далее. Очень велика вероятность, что в команде есть место или в команде их знакомого и тд. После такого спама до собеса доходит как правило 30-20% и это отличный вариант, ибо могут попросить пропустить вас на скрининге или"&amp;" на собесе. Немало историй, когда соискателя HR реджектят со всех платформ, а потом он пишет не последнему члену команды и его пропускают на собес. 
Вакансии можно смотреть на Хабр Карьера, во всяких телеграм каналах компаний в духе Яндекс Нанимает или же"&amp;" на край тот же HH.ru. Только чекайте там личку, а то можете пропустить время собеса/ важную инфу. 
Нетворк
В идеале, конечно, если у вас куча друзей и знакомых с индустрии и есть возможность залететь с рефкой на собес, там и отношение как правило получш"&amp;"е и команда повайбовей. Ведь если вашему приятелю там норм, то и вам скорее всего тоже будет норм. Поэтому нелишним будет поспрашивать помощи у друзей по этом вопросу и друзей их друзей— своеобразный поиск в ширину, но нередко прокатывает. Как организовыв"&amp;"ать качественный нетворк читайте последний пост в главном канале.  
Подписаться: @chad_protocol")</f>
        <v>Поиск работы череp Linkedin
Отклики через headhunter сейчас работают фигово: мало вакансий-много кандидатов, много вкатунов-накрутчиков. Вакансии пишутся рекрутерами через гпт, поэтому могут быть странные или высокие требования. По итогу большинство вакансий отсеиваются еще на этапе скрининга, проходят единицы только при идеальном мэтче. Хотя и рекрутер, и компания готовы предложить и условие повыгоднее и требования пониже. 
Что делать
Вкатываться в социальную инженерию! Например, найти контакты рекрутера через тот же Linkedin и обсудить с ним вакансию. Советую не только красиво оформить резюме, но и Linkedin, GitHub,  Хабр карьера и прочее. Рекрутеры стали просить подтверждение опыта. Если на этих ресурсах будет ненастоящий опыт, можно подать жалобу. 
Наглые подкаты
Если видите, что открыта вакансия, заходите в Linkedln и добавляете в друзья всех, кто там работает, затем спамите в личку о том, какой крутой вы и какие крытые они и просите взять на собес. Хорошо если получится зацепиться за общее место учебы/прошлое место работы и так далее. Очень велика вероятность, что в команде есть место или в команде их знакомого и тд. После такого спама до собеса доходит как правило 30-20% и это отличный вариант, ибо могут попросить пропустить вас на скрининге или на собесе. Немало историй, когда соискателя HR реджектят со всех платформ, а потом он пишет не последнему члену команды и его пропускают на собес. 
Вакансии можно смотреть на Хабр Карьера, во всяких телеграм каналах компаний в духе Яндекс Нанимает или же на край тот же HH.ru. Только чекайте там личку, а то можете пропустить время собеса/ важную инфу. 
Нетворк
В идеале, конечно, если у вас куча друзей и знакомых с индустрии и есть возможность залететь с рефкой на собес, там и отношение как правило получше и команда повайбовей. Ведь если вашему приятелю там норм, то и вам скорее всего тоже будет норм. Поэтому нелишним будет поспрашивать помощи у друзей по этом вопросу и друзей их друзей— своеобразный поиск в ширину, но нередко прокатывает. Как организовывать качественный нетворк читайте последний пост в главном канале.  
Подписаться: @chad_protocol</v>
      </c>
      <c r="I130" s="6" t="str">
        <f>IFERROR(__xludf.DUMMYFUNCTION("""COMPUTED_VALUE"""),"external")</f>
        <v>external</v>
      </c>
      <c r="J130" s="10" t="str">
        <f>IFERROR(__xludf.DUMMYFUNCTION("""COMPUTED_VALUE"""),"https://t.me/chad_protocol/506")</f>
        <v>https://t.me/chad_protocol/506</v>
      </c>
      <c r="K130" s="6">
        <f>IFERROR(__xludf.DUMMYFUNCTION("""COMPUTED_VALUE"""),6730.0)</f>
        <v>6730</v>
      </c>
      <c r="L130" s="6">
        <f>IFERROR(__xludf.DUMMYFUNCTION("""COMPUTED_VALUE"""),15.0)</f>
        <v>15</v>
      </c>
      <c r="M130" s="6"/>
      <c r="N130" s="6" t="str">
        <f>IFERROR(__xludf.DUMMYFUNCTION("""COMPUTED_VALUE"""),"Telegram")</f>
        <v>Telegram</v>
      </c>
      <c r="O130" s="6" t="str">
        <f>IFERROR(__xludf.DUMMYFUNCTION("""COMPUTED_VALUE"""),"raw")</f>
        <v>raw</v>
      </c>
      <c r="P130" s="6" t="str">
        <f>IFERROR(__xludf.DUMMYFUNCTION("""COMPUTED_VALUE"""),"Codex")</f>
        <v>Codex</v>
      </c>
      <c r="Q130" s="6" t="str">
        <f>IFERROR(__xludf.DUMMYFUNCTION("""COMPUTED_VALUE"""),"Общий контакт @vice22821; признак связи с проектом")</f>
        <v>Общий контакт @vice22821; признак связи с проектом</v>
      </c>
      <c r="R130" s="6" t="str">
        <f>IFERROR(__xludf.DUMMYFUNCTION("""COMPUTED_VALUE"""),"unknown")</f>
        <v>unknown</v>
      </c>
      <c r="S130" s="6" t="str">
        <f>IFERROR(__xludf.DUMMYFUNCTION("""COMPUTED_VALUE"""),"unknown")</f>
        <v>unknown</v>
      </c>
      <c r="T130" s="6" t="str">
        <f>IFERROR(__xludf.DUMMYFUNCTION("""COMPUTED_VALUE"""),"telegram_external")</f>
        <v>telegram_external</v>
      </c>
      <c r="U130" s="6" t="str">
        <f>IFERROR(__xludf.DUMMYFUNCTION("""COMPUTED_VALUE"""),"Прочий контент")</f>
        <v>Прочий контент</v>
      </c>
      <c r="V130" s="6" t="str">
        <f>IFERROR(__xludf.DUMMYFUNCTION("""COMPUTED_VALUE"""),"")</f>
        <v/>
      </c>
      <c r="W130" s="6" t="str">
        <f>IFERROR(__xludf.DUMMYFUNCTION("""COMPUTED_VALUE"""),"")</f>
        <v/>
      </c>
      <c r="X130" s="6"/>
      <c r="Y130" s="10" t="str">
        <f>IFERROR(__xludf.DUMMYFUNCTION("""COMPUTED_VALUE"""),"http://t.me/postypashki_old")</f>
        <v>http://t.me/postypashki_old</v>
      </c>
      <c r="Z130" s="6" t="b">
        <f>IFERROR(__xludf.DUMMYFUNCTION("""COMPUTED_VALUE"""),FALSE)</f>
        <v>0</v>
      </c>
      <c r="AA130" s="6" t="str">
        <f>IFERROR(__xludf.DUMMYFUNCTION("""COMPUTED_VALUE"""),"")</f>
        <v/>
      </c>
      <c r="AB130" s="6" t="str">
        <f>IFERROR(__xludf.DUMMYFUNCTION("""COMPUTED_VALUE"""),"")</f>
        <v/>
      </c>
      <c r="AC130" s="6" t="str">
        <f>IFERROR(__xludf.DUMMYFUNCTION("""COMPUTED_VALUE"""),"")</f>
        <v/>
      </c>
      <c r="AD130" s="6" t="str">
        <f>IFERROR(__xludf.DUMMYFUNCTION("""COMPUTED_VALUE"""),"")</f>
        <v/>
      </c>
      <c r="AE130" s="6" t="str">
        <f>IFERROR(__xludf.DUMMYFUNCTION("""COMPUTED_VALUE"""),"")</f>
        <v/>
      </c>
      <c r="AF130" s="6" t="str">
        <f>IFERROR(__xludf.DUMMYFUNCTION("""COMPUTED_VALUE"""),"Не подтверждено")</f>
        <v>Не подтверждено</v>
      </c>
      <c r="AG130" s="6" t="str">
        <f>IFERROR(__xludf.DUMMYFUNCTION("""COMPUTED_VALUE"""),"")</f>
        <v/>
      </c>
      <c r="AH130" s="6" t="str">
        <f>IFERROR(__xludf.DUMMYFUNCTION("""COMPUTED_VALUE"""),"2026-09-11T11:47:52.658878+00:00")</f>
        <v>2026-09-11T11:47:52.658878+00:00</v>
      </c>
      <c r="AI130" s="6" t="str">
        <f>IFERROR(__xludf.DUMMYFUNCTION("""COMPUTED_VALUE"""),"raw/chad_protocol/page_001.html")</f>
        <v>raw/chad_protocol/page_001.html</v>
      </c>
      <c r="AJ130" s="9" t="s">
        <v>208</v>
      </c>
      <c r="AM130" s="9" t="s">
        <v>219</v>
      </c>
      <c r="AN130" s="6" t="str">
        <f>IFERROR(__xludf.DUMMYFUNCTION("IF(OR(AJ130=""general_brand"",AJ130=""external"",AJ130=""unknown""),"""",IF(AJ130=""product_line"",IF(AK130=""START"",""Аналитика старт | Алгоритмы старт | Backend старт | ML старт"",IF(AK130=""PRO"",""AI-агенты про | Алгоритмы про | Аналитика про | ML пр"&amp;"о | Backend про"",IF(AK130=""START | PRO"",""Аналитика старт | Алгоритмы старт | Backend старт | ML старт | AI-агенты про | Алгоритмы про | Аналитика про | ML про | Backend про"",""""))),TEXTJOIN("" | "",TRUE,IF(REGEXMATCH(LOWER(AL130&amp;"" | ""&amp;E130),""анал"&amp;"итика старт""),""Аналитика старт"",""""),IF(REGEXMATCH(LOWER(AL130&amp;"" | ""&amp;E130),""алгоритмы старт""),""Алгоритмы старт"",""""),IF(REGEXMATCH(LOWER(AL130&amp;"" | ""&amp;E130),""backend старт""),""Backend старт"",""""),IF(REGEXMATCH(LOWER(AL130&amp;"" | ""&amp;E130),""ml"&amp;" старт""),""ML старт"",""""),IF(REGEXMATCH(LOWER(AL130&amp;"" | ""&amp;E130),""ai[ -]?агент""),""AI-агенты про"",""""),IF(REGEXMATCH(LOWER(AL130&amp;"" | ""&amp;E130),""алгоритмы про""),""Алгоритмы про"",""""),IF(REGEXMATCH(LOWER(AL130&amp;"" | ""&amp;E130),""аналитика про""),"""&amp;"Аналитика про"",""""),IF(REGEXMATCH(LOWER(AL130&amp;"" | ""&amp;E130),""ml про""),""ML про"",""""),IF(REGEXMATCH(LOWER(AL130&amp;"" | ""&amp;E130),""backend про""),""Backend про"",""""),IF(REGEXMATCH(LOWER(AL130&amp;"" | ""&amp;E130),""(а/в|ав|а в|ab)[ -]?тест""),""А/В-тесты"","&amp;"""""),IF(REGEXMATCH(LOWER(AL130&amp;"" | ""&amp;E130),""data science""),""Data science"",""""),IF(REGEXMATCH(LOWER(AL130&amp;"" | ""&amp;E130),""data[- ]?инжен""),""Data-инженер"",""""),IF(REGEXMATCH(LOWER(AL130&amp;"" | ""&amp;E130),""frontend""),""Frontend"",""""))))"),"")</f>
        <v/>
      </c>
    </row>
    <row r="131">
      <c r="A131" s="6" t="str">
        <f>IFERROR(__xludf.DUMMYFUNCTION("""COMPUTED_VALUE"""),"EXT-31")</f>
        <v>EXT-31</v>
      </c>
      <c r="B131" s="6" t="str">
        <f>IFERROR(__xludf.DUMMYFUNCTION("""COMPUTED_VALUE"""),"2026-08-05 18:19:34")</f>
        <v>2026-08-05 18:19:34</v>
      </c>
      <c r="C131" s="6" t="str">
        <f>IFERROR(__xludf.DUMMYFUNCTION("""COMPUTED_VALUE"""),"@chad_protocol")</f>
        <v>@chad_protocol</v>
      </c>
      <c r="D131" s="4" t="str">
        <f>IFERROR(__xludf.DUMMYFUNCTION("""COMPUTED_VALUE"""),"Контент с предложением курсов")</f>
        <v>Контент с предложением курсов</v>
      </c>
      <c r="E131" s="6" t="str">
        <f>IFERROR(__xludf.DUMMYFUNCTION("""COMPUTED_VALUE"""),"")</f>
        <v/>
      </c>
      <c r="F131" s="6" t="str">
        <f>IFERROR(__xludf.DUMMYFUNCTION("""COMPUTED_VALUE"""),"")</f>
        <v/>
      </c>
      <c r="G131" s="10" t="str">
        <f>IFERROR(__xludf.DUMMYFUNCTION("""COMPUTED_VALUE"""),"https://t.me/chad_protocol/508")</f>
        <v>https://t.me/chad_protocol/508</v>
      </c>
      <c r="H131" s="6" t="str">
        <f>IFERROR(__xludf.DUMMYFUNCTION("""COMPUTED_VALUE"""),"Вопросы зарубежного HR
Собрали гайдик с популярными вопросами HR на зарубежном собесе. Советую сохранить и репетировать в очереди/метро. Полный гайд 100+ вопросами доступен в нашем блоке по карьере зарубежом. 
Сейчас многих специалистов посещает хорошая"&amp;" мысль рассматривать карьерные возможности зарубежом. Специально для них мы добавили новый блок ""карьера зарубежом"" в наши новые курсы линейки ПРО. Собрали все самое важное:
— как себя позиционировать
— как заполнить CV, Linkedin
— базу рефералов, вакан"&amp;"сий и рекрутеров 
— как проходить собесы и торговаться за зарплату 
— все о релокации 
Получилось мощно, будем продавать отдельно, но участникам ПРО этого набора, блок будет доступен бесплатно.
Подписаться: @chad_protocol")</f>
        <v>Вопросы зарубежного HR
Собрали гайдик с популярными вопросами HR на зарубежном собесе. Советую сохранить и репетировать в очереди/метро. Полный гайд 100+ вопросами доступен в нашем блоке по карьере зарубежом. 
Сейчас многих специалистов посещает хорошая мысль рассматривать карьерные возможности зарубежом. Специально для них мы добавили новый блок "карьера зарубежом" в наши новые курсы линейки ПРО. Собрали все самое важное:
— как себя позиционировать
— как заполнить CV, Linkedin
— базу рефералов, вакансий и рекрутеров 
— как проходить собесы и торговаться за зарплату 
— все о релокации 
Получилось мощно, будем продавать отдельно, но участникам ПРО этого набора, блок будет доступен бесплатно.
Подписаться: @chad_protocol</v>
      </c>
      <c r="I131" s="6" t="str">
        <f>IFERROR(__xludf.DUMMYFUNCTION("""COMPUTED_VALUE"""),"external")</f>
        <v>external</v>
      </c>
      <c r="J131" s="10" t="str">
        <f>IFERROR(__xludf.DUMMYFUNCTION("""COMPUTED_VALUE"""),"https://t.me/chad_protocol/508")</f>
        <v>https://t.me/chad_protocol/508</v>
      </c>
      <c r="K131" s="6">
        <f>IFERROR(__xludf.DUMMYFUNCTION("""COMPUTED_VALUE"""),8440.0)</f>
        <v>8440</v>
      </c>
      <c r="L131" s="6">
        <f>IFERROR(__xludf.DUMMYFUNCTION("""COMPUTED_VALUE"""),12.0)</f>
        <v>12</v>
      </c>
      <c r="M131" s="6"/>
      <c r="N131" s="6" t="str">
        <f>IFERROR(__xludf.DUMMYFUNCTION("""COMPUTED_VALUE"""),"Telegram")</f>
        <v>Telegram</v>
      </c>
      <c r="O131" s="6" t="str">
        <f>IFERROR(__xludf.DUMMYFUNCTION("""COMPUTED_VALUE"""),"raw")</f>
        <v>raw</v>
      </c>
      <c r="P131" s="6" t="str">
        <f>IFERROR(__xludf.DUMMYFUNCTION("""COMPUTED_VALUE"""),"Codex")</f>
        <v>Codex</v>
      </c>
      <c r="Q131" s="6" t="str">
        <f>IFERROR(__xludf.DUMMYFUNCTION("""COMPUTED_VALUE"""),"Общий контакт @vice22821; признак связи с проектом")</f>
        <v>Общий контакт @vice22821; признак связи с проектом</v>
      </c>
      <c r="R131" s="6" t="str">
        <f>IFERROR(__xludf.DUMMYFUNCTION("""COMPUTED_VALUE"""),"unknown")</f>
        <v>unknown</v>
      </c>
      <c r="S131" s="6" t="str">
        <f>IFERROR(__xludf.DUMMYFUNCTION("""COMPUTED_VALUE"""),"unknown")</f>
        <v>unknown</v>
      </c>
      <c r="T131" s="6" t="str">
        <f>IFERROR(__xludf.DUMMYFUNCTION("""COMPUTED_VALUE"""),"telegram_external")</f>
        <v>telegram_external</v>
      </c>
      <c r="U131" s="6" t="str">
        <f>IFERROR(__xludf.DUMMYFUNCTION("""COMPUTED_VALUE"""),"Контент с предложением курсов")</f>
        <v>Контент с предложением курсов</v>
      </c>
      <c r="V131" s="6" t="str">
        <f>IFERROR(__xludf.DUMMYFUNCTION("""COMPUTED_VALUE"""),"")</f>
        <v/>
      </c>
      <c r="W131" s="6" t="str">
        <f>IFERROR(__xludf.DUMMYFUNCTION("""COMPUTED_VALUE"""),"")</f>
        <v/>
      </c>
      <c r="X131" s="6"/>
      <c r="Y131" s="10" t="str">
        <f>IFERROR(__xludf.DUMMYFUNCTION("""COMPUTED_VALUE"""),"https://old.postypashki.ru/%d0%ba%d0%b0%d1%80%d1%8c%d0%b5%d1%80%d0%bd%d1%8b%d0%b5-%d0%ba%d1%83%d1%80%d1%81%d1%8b/")</f>
        <v>https://old.postypashki.ru/%d0%ba%d0%b0%d1%80%d1%8c%d0%b5%d1%80%d0%bd%d1%8b%d0%b5-%d0%ba%d1%83%d1%80%d1%81%d1%8b/</v>
      </c>
      <c r="Z131" s="6" t="b">
        <f>IFERROR(__xludf.DUMMYFUNCTION("""COMPUTED_VALUE"""),TRUE)</f>
        <v>1</v>
      </c>
      <c r="AA131" s="6" t="str">
        <f>IFERROR(__xludf.DUMMYFUNCTION("""COMPUTED_VALUE"""),"")</f>
        <v/>
      </c>
      <c r="AB131" s="6" t="str">
        <f>IFERROR(__xludf.DUMMYFUNCTION("""COMPUTED_VALUE"""),"")</f>
        <v/>
      </c>
      <c r="AC131" s="6" t="str">
        <f>IFERROR(__xludf.DUMMYFUNCTION("""COMPUTED_VALUE"""),"")</f>
        <v/>
      </c>
      <c r="AD131" s="6" t="str">
        <f>IFERROR(__xludf.DUMMYFUNCTION("""COMPUTED_VALUE"""),"")</f>
        <v/>
      </c>
      <c r="AE131" s="6" t="str">
        <f>IFERROR(__xludf.DUMMYFUNCTION("""COMPUTED_VALUE"""),"")</f>
        <v/>
      </c>
      <c r="AF131" s="6" t="str">
        <f>IFERROR(__xludf.DUMMYFUNCTION("""COMPUTED_VALUE"""),"Не подтверждено")</f>
        <v>Не подтверждено</v>
      </c>
      <c r="AG131" s="6" t="str">
        <f>IFERROR(__xludf.DUMMYFUNCTION("""COMPUTED_VALUE"""),"")</f>
        <v/>
      </c>
      <c r="AH131" s="6" t="str">
        <f>IFERROR(__xludf.DUMMYFUNCTION("""COMPUTED_VALUE"""),"2026-09-11T11:47:52.658878+00:00")</f>
        <v>2026-09-11T11:47:52.658878+00:00</v>
      </c>
      <c r="AI131" s="6" t="str">
        <f>IFERROR(__xludf.DUMMYFUNCTION("""COMPUTED_VALUE"""),"raw/chad_protocol/page_001.html")</f>
        <v>raw/chad_protocol/page_001.html</v>
      </c>
      <c r="AJ131" s="9" t="s">
        <v>167</v>
      </c>
      <c r="AK131" s="9" t="s">
        <v>242</v>
      </c>
      <c r="AM131" s="9" t="s">
        <v>219</v>
      </c>
      <c r="AN131" s="4" t="str">
        <f>IFERROR(__xludf.DUMMYFUNCTION("IF(OR(AJ131=""general_brand"",AJ131=""external"",AJ131=""unknown""),"""",IF(AJ131=""product_line"",IF(AK131=""START"",""Аналитика старт | Алгоритмы старт | Backend старт | ML старт"",IF(AK131=""PRO"",""AI-агенты про | Алгоритмы про | Аналитика про | ML пр"&amp;"о | Backend про"",IF(AK131=""START | PRO"",""Аналитика старт | Алгоритмы старт | Backend старт | ML старт | AI-агенты про | Алгоритмы про | Аналитика про | ML про | Backend про"",""""))),TEXTJOIN("" | "",TRUE,IF(REGEXMATCH(LOWER(AL131&amp;"" | ""&amp;E131),""анал"&amp;"итика старт""),""Аналитика старт"",""""),IF(REGEXMATCH(LOWER(AL131&amp;"" | ""&amp;E131),""алгоритмы старт""),""Алгоритмы старт"",""""),IF(REGEXMATCH(LOWER(AL131&amp;"" | ""&amp;E131),""backend старт""),""Backend старт"",""""),IF(REGEXMATCH(LOWER(AL131&amp;"" | ""&amp;E131),""ml"&amp;" старт""),""ML старт"",""""),IF(REGEXMATCH(LOWER(AL131&amp;"" | ""&amp;E131),""ai[ -]?агент""),""AI-агенты про"",""""),IF(REGEXMATCH(LOWER(AL131&amp;"" | ""&amp;E131),""алгоритмы про""),""Алгоритмы про"",""""),IF(REGEXMATCH(LOWER(AL131&amp;"" | ""&amp;E131),""аналитика про""),"""&amp;"Аналитика про"",""""),IF(REGEXMATCH(LOWER(AL131&amp;"" | ""&amp;E131),""ml про""),""ML про"",""""),IF(REGEXMATCH(LOWER(AL131&amp;"" | ""&amp;E131),""backend про""),""Backend про"",""""),IF(REGEXMATCH(LOWER(AL131&amp;"" | ""&amp;E131),""(а/в|ав|а в|ab)[ -]?тест""),""А/В-тесты"","&amp;"""""),IF(REGEXMATCH(LOWER(AL131&amp;"" | ""&amp;E131),""data science""),""Data science"",""""),IF(REGEXMATCH(LOWER(AL131&amp;"" | ""&amp;E131),""data[- ]?инжен""),""Data-инженер"",""""),IF(REGEXMATCH(LOWER(AL131&amp;"" | ""&amp;E131),""frontend""),""Frontend"",""""))))"),"AI-агенты про | Алгоритмы про | Аналитика про | ML про | Backend про")</f>
        <v>AI-агенты про | Алгоритмы про | Аналитика про | ML про | Backend про</v>
      </c>
    </row>
    <row r="132">
      <c r="A132" s="6" t="str">
        <f>IFERROR(__xludf.DUMMYFUNCTION("""COMPUTED_VALUE"""),"EXT-32")</f>
        <v>EXT-32</v>
      </c>
      <c r="B132" s="6" t="str">
        <f>IFERROR(__xludf.DUMMYFUNCTION("""COMPUTED_VALUE"""),"2026-08-07 13:40:16")</f>
        <v>2026-08-07 13:40:16</v>
      </c>
      <c r="C132" s="6" t="str">
        <f>IFERROR(__xludf.DUMMYFUNCTION("""COMPUTED_VALUE"""),"@matesha_shad")</f>
        <v>@matesha_shad</v>
      </c>
      <c r="D132" s="4" t="str">
        <f>IFERROR(__xludf.DUMMYFUNCTION("""COMPUTED_VALUE"""),"Прочий контент")</f>
        <v>Прочий контент</v>
      </c>
      <c r="E132" s="6" t="str">
        <f>IFERROR(__xludf.DUMMYFUNCTION("""COMPUTED_VALUE"""),"")</f>
        <v/>
      </c>
      <c r="F132" s="6" t="str">
        <f>IFERROR(__xludf.DUMMYFUNCTION("""COMPUTED_VALUE"""),"")</f>
        <v/>
      </c>
      <c r="G132" s="10" t="str">
        <f>IFERROR(__xludf.DUMMYFUNCTION("""COMPUTED_VALUE"""),"https://t.me/matesha_shad/370")</f>
        <v>https://t.me/matesha_shad/370</v>
      </c>
      <c r="H132" s="6" t="str">
        <f>IFERROR(__xludf.DUMMYFUNCTION("""COMPUTED_VALUE"""),"Кванты: кто есть кто и реальные вакансии от Alber Blanc
Часто видите в вакансиях Quant Trader, Quant Researcher, Quant Developer или Quant Analyst и не до конца понимаете разницу? Это нормально: универсальных определений нет, и в разных командах под одни"&amp;"м названием могут скрываться совсем разные задачи.
При этом среди выпускников наших курсов и студентов ШАДа сформировалось сильное комьюнити квантов: ребята работают в Teza, Jane Street, Wunder Fund, Alber Blanc, XTX и других топ-фондах. Сегодня разберу "&amp;"роли на примере живых позиций Alber Blanc - одного из сильнейших HFT-фондов на постсоветском пространстве.
А если вы хотите рассказать про свой фонд или поделиться опытом пишите @vice22821. Сможем прорекламировать ваш фонд/соцсети или гарантировать полную"&amp;" анонимность, если вы непубличная личность. И советуйте знакомым написать! 
Quant Trader
Глубоко копает микроструктуру рынка, ищет неэффективности и скрытые корреляции. Работает в основном с готовыми инструментами - это освобождает время для генерации ги"&amp;"потез и их быстрой проверки. Отвечает за аллокацию капитала и поведение стратегий в реальном времени: запускает процессы, фиксирует прод-инциденты и приоритизирует задачи для аналитиков и инженеров.
→ Подробнее о вакансии
Quant Analyst (близко к Research"&amp;"er/Developer)
Фокус на данные, архитектуру и разработку торговых алгоритмов. Помогает трейдерам проверять идеи или самостоятельно ищет альфы и встраивает их в стратегии. Ключевые требования: сильный C++ и алгоритмическая подготовка: много задач по оптимиз"&amp;"ации моделей, поддержке внутренних библиотек, написанию бэктестов и ускорению всего пайплайна тестирования.
→ Подробнее о вакансии
 Market Data Analyst
Роль на стыке системной аналитики и инженерии. Плотно взаимодействует с трейдерами, квантами и разрабо"&amp;"тчиками, чтобы торговля шла без сбоев. Главные задачи: мониторинг качества рыночных данных, анализ задержек, расследование ежедневных инцидентов и поиск узких мест в реальном времени. По сути менеджмент проблем с данными и постановка задач на их устранени"&amp;"е.
→ Подробнее о вакансии
Что нужно, чтобы попасть в такие команды?
Для Quant Analyst и Researcher программа ШАДа - это база: алгоритмы, матан, тервер и C++ покрывают ключевые требования. Для Quant Trader такой фундамент будет сильным преимуществом. PhD,"&amp;" олимпиады по математике и алгоритмам, хакатоны и соревнования по DS - дополнительный буст для отбора на любую из этих позиций.
Какой бы путь вы ни выбрали, глубокая математика, алгоритмы и ML-подготовка станут вашим конкурентным преимуществом. Так что бо"&amp;"таем, поступаем в ШАД.
Подписаться: @matesha_shad")</f>
        <v>Кванты: кто есть кто и реальные вакансии от Alber Blanc
Часто видите в вакансиях Quant Trader, Quant Researcher, Quant Developer или Quant Analyst и не до конца понимаете разницу? Это нормально: универсальных определений нет, и в разных командах под одним названием могут скрываться совсем разные задачи.
При этом среди выпускников наших курсов и студентов ШАДа сформировалось сильное комьюнити квантов: ребята работают в Teza, Jane Street, Wunder Fund, Alber Blanc, XTX и других топ-фондах. Сегодня разберу роли на примере живых позиций Alber Blanc - одного из сильнейших HFT-фондов на постсоветском пространстве.
А если вы хотите рассказать про свой фонд или поделиться опытом пишите @vice22821. Сможем прорекламировать ваш фонд/соцсети или гарантировать полную анонимность, если вы непубличная личность. И советуйте знакомым написать! 
Quant Trader
Глубоко копает микроструктуру рынка, ищет неэффективности и скрытые корреляции. Работает в основном с готовыми инструментами - это освобождает время для генерации гипотез и их быстрой проверки. Отвечает за аллокацию капитала и поведение стратегий в реальном времени: запускает процессы, фиксирует прод-инциденты и приоритизирует задачи для аналитиков и инженеров.
→ Подробнее о вакансии
Quant Analyst (близко к Researcher/Developer)
Фокус на данные, архитектуру и разработку торговых алгоритмов. Помогает трейдерам проверять идеи или самостоятельно ищет альфы и встраивает их в стратегии. Ключевые требования: сильный C++ и алгоритмическая подготовка: много задач по оптимизации моделей, поддержке внутренних библиотек, написанию бэктестов и ускорению всего пайплайна тестирования.
→ Подробнее о вакансии
 Market Data Analyst
Роль на стыке системной аналитики и инженерии. Плотно взаимодействует с трейдерами, квантами и разработчиками, чтобы торговля шла без сбоев. Главные задачи: мониторинг качества рыночных данных, анализ задержек, расследование ежедневных инцидентов и поиск узких мест в реальном времени. По сути менеджмент проблем с данными и постановка задач на их устранение.
→ Подробнее о вакансии
Что нужно, чтобы попасть в такие команды?
Для Quant Analyst и Researcher программа ШАДа - это база: алгоритмы, матан, тервер и C++ покрывают ключевые требования. Для Quant Trader такой фундамент будет сильным преимуществом. PhD, олимпиады по математике и алгоритмам, хакатоны и соревнования по DS - дополнительный буст для отбора на любую из этих позиций.
Какой бы путь вы ни выбрали, глубокая математика, алгоритмы и ML-подготовка станут вашим конкурентным преимуществом. Так что ботаем, поступаем в ШАД.
Подписаться: @matesha_shad</v>
      </c>
      <c r="I132" s="6" t="str">
        <f>IFERROR(__xludf.DUMMYFUNCTION("""COMPUTED_VALUE"""),"external")</f>
        <v>external</v>
      </c>
      <c r="J132" s="10" t="str">
        <f>IFERROR(__xludf.DUMMYFUNCTION("""COMPUTED_VALUE"""),"https://t.me/matesha_shad/370")</f>
        <v>https://t.me/matesha_shad/370</v>
      </c>
      <c r="K132" s="6">
        <f>IFERROR(__xludf.DUMMYFUNCTION("""COMPUTED_VALUE"""),5600.0)</f>
        <v>5600</v>
      </c>
      <c r="L132" s="6">
        <f>IFERROR(__xludf.DUMMYFUNCTION("""COMPUTED_VALUE"""),19.0)</f>
        <v>19</v>
      </c>
      <c r="M132" s="6"/>
      <c r="N132" s="6" t="str">
        <f>IFERROR(__xludf.DUMMYFUNCTION("""COMPUTED_VALUE"""),"Telegram")</f>
        <v>Telegram</v>
      </c>
      <c r="O132" s="6" t="str">
        <f>IFERROR(__xludf.DUMMYFUNCTION("""COMPUTED_VALUE"""),"raw")</f>
        <v>raw</v>
      </c>
      <c r="P132" s="6" t="str">
        <f>IFERROR(__xludf.DUMMYFUNCTION("""COMPUTED_VALUE"""),"Codex")</f>
        <v>Codex</v>
      </c>
      <c r="Q132" s="6" t="str">
        <f>IFERROR(__xludf.DUMMYFUNCTION("""COMPUTED_VALUE"""),"Общий контакт @vice22821; признак связи с проектом")</f>
        <v>Общий контакт @vice22821; признак связи с проектом</v>
      </c>
      <c r="R132" s="6" t="str">
        <f>IFERROR(__xludf.DUMMYFUNCTION("""COMPUTED_VALUE"""),"unknown")</f>
        <v>unknown</v>
      </c>
      <c r="S132" s="6" t="str">
        <f>IFERROR(__xludf.DUMMYFUNCTION("""COMPUTED_VALUE"""),"unknown")</f>
        <v>unknown</v>
      </c>
      <c r="T132" s="6" t="str">
        <f>IFERROR(__xludf.DUMMYFUNCTION("""COMPUTED_VALUE"""),"telegram_external")</f>
        <v>telegram_external</v>
      </c>
      <c r="U132" s="6" t="str">
        <f>IFERROR(__xludf.DUMMYFUNCTION("""COMPUTED_VALUE"""),"Прочий контент")</f>
        <v>Прочий контент</v>
      </c>
      <c r="V132" s="6" t="str">
        <f>IFERROR(__xludf.DUMMYFUNCTION("""COMPUTED_VALUE"""),"")</f>
        <v/>
      </c>
      <c r="W132" s="6" t="str">
        <f>IFERROR(__xludf.DUMMYFUNCTION("""COMPUTED_VALUE"""),"")</f>
        <v/>
      </c>
      <c r="X132" s="6"/>
      <c r="Y132" s="10" t="str">
        <f>IFERROR(__xludf.DUMMYFUNCTION("""COMPUTED_VALUE"""),"https://old.postypashki.ru/%D0%BA%D1%83%D1%80%D1%81%D1%8B/")</f>
        <v>https://old.postypashki.ru/%D0%BA%D1%83%D1%80%D1%81%D1%8B/</v>
      </c>
      <c r="Z132" s="6" t="b">
        <f>IFERROR(__xludf.DUMMYFUNCTION("""COMPUTED_VALUE"""),TRUE)</f>
        <v>1</v>
      </c>
      <c r="AA132" s="6" t="str">
        <f>IFERROR(__xludf.DUMMYFUNCTION("""COMPUTED_VALUE"""),"")</f>
        <v/>
      </c>
      <c r="AB132" s="6" t="str">
        <f>IFERROR(__xludf.DUMMYFUNCTION("""COMPUTED_VALUE"""),"")</f>
        <v/>
      </c>
      <c r="AC132" s="6" t="str">
        <f>IFERROR(__xludf.DUMMYFUNCTION("""COMPUTED_VALUE"""),"")</f>
        <v/>
      </c>
      <c r="AD132" s="6" t="str">
        <f>IFERROR(__xludf.DUMMYFUNCTION("""COMPUTED_VALUE"""),"")</f>
        <v/>
      </c>
      <c r="AE132" s="6" t="str">
        <f>IFERROR(__xludf.DUMMYFUNCTION("""COMPUTED_VALUE"""),"")</f>
        <v/>
      </c>
      <c r="AF132" s="6" t="str">
        <f>IFERROR(__xludf.DUMMYFUNCTION("""COMPUTED_VALUE"""),"Не подтверждено")</f>
        <v>Не подтверждено</v>
      </c>
      <c r="AG132" s="6" t="str">
        <f>IFERROR(__xludf.DUMMYFUNCTION("""COMPUTED_VALUE"""),"")</f>
        <v/>
      </c>
      <c r="AH132" s="6" t="str">
        <f>IFERROR(__xludf.DUMMYFUNCTION("""COMPUTED_VALUE"""),"2026-09-11T11:47:48.120400+00:00")</f>
        <v>2026-09-11T11:47:48.120400+00:00</v>
      </c>
      <c r="AI132" s="6" t="str">
        <f>IFERROR(__xludf.DUMMYFUNCTION("""COMPUTED_VALUE"""),"raw/matesha_shad/page_000.html")</f>
        <v>raw/matesha_shad/page_000.html</v>
      </c>
      <c r="AJ132" s="9" t="s">
        <v>208</v>
      </c>
      <c r="AM132" s="9" t="s">
        <v>219</v>
      </c>
      <c r="AN132" s="6" t="str">
        <f>IFERROR(__xludf.DUMMYFUNCTION("IF(OR(AJ132=""general_brand"",AJ132=""external"",AJ132=""unknown""),"""",IF(AJ132=""product_line"",IF(AK132=""START"",""Аналитика старт | Алгоритмы старт | Backend старт | ML старт"",IF(AK132=""PRO"",""AI-агенты про | Алгоритмы про | Аналитика про | ML пр"&amp;"о | Backend про"",IF(AK132=""START | PRO"",""Аналитика старт | Алгоритмы старт | Backend старт | ML старт | AI-агенты про | Алгоритмы про | Аналитика про | ML про | Backend про"",""""))),TEXTJOIN("" | "",TRUE,IF(REGEXMATCH(LOWER(AL132&amp;"" | ""&amp;E132),""анал"&amp;"итика старт""),""Аналитика старт"",""""),IF(REGEXMATCH(LOWER(AL132&amp;"" | ""&amp;E132),""алгоритмы старт""),""Алгоритмы старт"",""""),IF(REGEXMATCH(LOWER(AL132&amp;"" | ""&amp;E132),""backend старт""),""Backend старт"",""""),IF(REGEXMATCH(LOWER(AL132&amp;"" | ""&amp;E132),""ml"&amp;" старт""),""ML старт"",""""),IF(REGEXMATCH(LOWER(AL132&amp;"" | ""&amp;E132),""ai[ -]?агент""),""AI-агенты про"",""""),IF(REGEXMATCH(LOWER(AL132&amp;"" | ""&amp;E132),""алгоритмы про""),""Алгоритмы про"",""""),IF(REGEXMATCH(LOWER(AL132&amp;"" | ""&amp;E132),""аналитика про""),"""&amp;"Аналитика про"",""""),IF(REGEXMATCH(LOWER(AL132&amp;"" | ""&amp;E132),""ml про""),""ML про"",""""),IF(REGEXMATCH(LOWER(AL132&amp;"" | ""&amp;E132),""backend про""),""Backend про"",""""),IF(REGEXMATCH(LOWER(AL132&amp;"" | ""&amp;E132),""(а/в|ав|а в|ab)[ -]?тест""),""А/В-тесты"","&amp;"""""),IF(REGEXMATCH(LOWER(AL132&amp;"" | ""&amp;E132),""data science""),""Data science"",""""),IF(REGEXMATCH(LOWER(AL132&amp;"" | ""&amp;E132),""data[- ]?инжен""),""Data-инженер"",""""),IF(REGEXMATCH(LOWER(AL132&amp;"" | ""&amp;E132),""frontend""),""Frontend"",""""))))"),"")</f>
        <v/>
      </c>
    </row>
    <row r="133">
      <c r="A133" s="6" t="str">
        <f>IFERROR(__xludf.DUMMYFUNCTION("""COMPUTED_VALUE"""),"EXT-33")</f>
        <v>EXT-33</v>
      </c>
      <c r="B133" s="6" t="str">
        <f>IFERROR(__xludf.DUMMYFUNCTION("""COMPUTED_VALUE"""),"2026-08-07 17:05:06")</f>
        <v>2026-08-07 17:05:06</v>
      </c>
      <c r="C133" s="6" t="str">
        <f>IFERROR(__xludf.DUMMYFUNCTION("""COMPUTED_VALUE"""),"@zadachi_ds")</f>
        <v>@zadachi_ds</v>
      </c>
      <c r="D133" s="4" t="str">
        <f>IFERROR(__xludf.DUMMYFUNCTION("""COMPUTED_VALUE"""),"Контент с упоминанием")</f>
        <v>Контент с упоминанием</v>
      </c>
      <c r="E133" s="6" t="str">
        <f>IFERROR(__xludf.DUMMYFUNCTION("""COMPUTED_VALUE"""),"")</f>
        <v/>
      </c>
      <c r="F133" s="6" t="str">
        <f>IFERROR(__xludf.DUMMYFUNCTION("""COMPUTED_VALUE"""),"")</f>
        <v/>
      </c>
      <c r="G133" s="10" t="str">
        <f>IFERROR(__xludf.DUMMYFUNCTION("""COMPUTED_VALUE"""),"https://t.me/zadachi_ds/388")</f>
        <v>https://t.me/zadachi_ds/388</v>
      </c>
      <c r="H133" s="6" t="str">
        <f>IFERROR(__xludf.DUMMYFUNCTION("""COMPUTED_VALUE"""),"ML-кейс компании X5Digital (динамическое ценообразование)
Нашему выпускнику на собеседовании с командой предложили интересный кейс с историей.
У доставки еды возникает проблема: когда клиентов очень много, приложение показывает «повышенный спрос, время о"&amp;"жидания увеличено». Клиент может уйти к конкурентам или просто дойти до магазина сам. Итого потеря денег и лояльности.
Как решали без ML
Сначала аналитики через A/B-тесты вручную подбирали для каждого магазина матрицу цен доставки при разных уровнях загр"&amp;"уженности и порогах корзины. Похоже не самый удачный подход: данные быстро устаревают - магазин расширился, радиус доставки изменился, и всю матрицу надо пересчитывать заново. Долго, нудно и негибко.
Как решили с помощью ML
Применили концепцию обучения с"&amp;" подкреплением (Reinforcement Learning). Без сложных агентов, но сама логика такая:
Среда - система доставки.
Состояние (State) - текущая загруженность курьеров и сборщиков.
Действие (Action) - на сколько процентов увеличивать цену доставки при высоком с"&amp;"просе.
Reward (вознаграждение) = c × РТО – (1 – c) × CTD
Разберём компоненты:
• РТО - розничный товарооборот (выручка от проданных товаров). Хотим её растить.
• CTD - Click to Delivery, быстрота доставки. Если обещали 30 минут, а доставили за 60, CTD = 2"&amp;" → это плохо. Если за 15 минут, CTD = 0.5 → отлично. Чем CTD меньше, тем лучше, поэтому в формуле вознаграждения перед CTD стоит минус: большое CTD штрафует reward.
• c - весовой коэффициент баланса. При c → 1 приоритет на выручке, при c → 0 - на скорости"&amp;" доставки. Это tradeoff, который бизнес настраивает под свои цели.
Для предсказания reward ввели функцию Q(s, a) (назвали так условно, это не из Q-learning). Она обучается на исторических данных: по текущей загруженности и проценту наценки модель прогноз"&amp;"ирует, какое вознаграждение мы получим. Затем для каждого периода времени выбирается наилучшее действие: a = argmax Q(s, a). То есть модель сама решает, насколько повысить цену, чтобы максимизировать reward.
Итог
Сначала внедрение привело к тому, что РТО"&amp;" немного просел (на несколько процентов), а CTD улучшилось: доставка стала быстрее, но выручка упала. Затем подобрали гиперпараметр c, дообучили модель - и РТО вернулся к исходному уровню, при этом CTD остался ниже изначального. Выручка не изменилась, а э"&amp;"ффективность доставки выросла. Это прямой профит: клиент не уходит к конкурентам, растут LTV и Retention, что критически важно для бизнеса.
Вывод
ML в этом кейсе не просто «делает прогнозы», а автоматически адаптирует ценообразование к меняющейся загрузк"&amp;"е, избавляя от ручного пересчёта матриц. Компаниям всё чаще нужны специалисты, способные связать математику с реальной бизнес-метрикой. Кстати, на нашем курсе ML-про можно разобраться с динамическим ценообразованием на практике - рекомендую!
Подписаться:"&amp;" @zadachi_ds")</f>
        <v>ML-кейс компании X5Digital (динамическое ценообразование)
Нашему выпускнику на собеседовании с командой предложили интересный кейс с историей.
У доставки еды возникает проблема: когда клиентов очень много, приложение показывает «повышенный спрос, время ожидания увеличено». Клиент может уйти к конкурентам или просто дойти до магазина сам. Итого потеря денег и лояльности.
Как решали без ML
Сначала аналитики через A/B-тесты вручную подбирали для каждого магазина матрицу цен доставки при разных уровнях загруженности и порогах корзины. Похоже не самый удачный подход: данные быстро устаревают - магазин расширился, радиус доставки изменился, и всю матрицу надо пересчитывать заново. Долго, нудно и негибко.
Как решили с помощью ML
Применили концепцию обучения с подкреплением (Reinforcement Learning). Без сложных агентов, но сама логика такая:
Среда - система доставки.
Состояние (State) - текущая загруженность курьеров и сборщиков.
Действие (Action) - на сколько процентов увеличивать цену доставки при высоком спросе.
Reward (вознаграждение) = c × РТО – (1 – c) × CTD
Разберём компоненты:
• РТО - розничный товарооборот (выручка от проданных товаров). Хотим её растить.
• CTD - Click to Delivery, быстрота доставки. Если обещали 30 минут, а доставили за 60, CTD = 2 → это плохо. Если за 15 минут, CTD = 0.5 → отлично. Чем CTD меньше, тем лучше, поэтому в формуле вознаграждения перед CTD стоит минус: большое CTD штрафует reward.
• c - весовой коэффициент баланса. При c → 1 приоритет на выручке, при c → 0 - на скорости доставки. Это tradeoff, который бизнес настраивает под свои цели.
Для предсказания reward ввели функцию Q(s, a) (назвали так условно, это не из Q-learning). Она обучается на исторических данных: по текущей загруженности и проценту наценки модель прогнозирует, какое вознаграждение мы получим. Затем для каждого периода времени выбирается наилучшее действие: a = argmax Q(s, a). То есть модель сама решает, насколько повысить цену, чтобы максимизировать reward.
Итог
Сначала внедрение привело к тому, что РТО немного просел (на несколько процентов), а CTD улучшилось: доставка стала быстрее, но выручка упала. Затем подобрали гиперпараметр c, дообучили модель - и РТО вернулся к исходному уровню, при этом CTD остался ниже изначального. Выручка не изменилась, а эффективность доставки выросла. Это прямой профит: клиент не уходит к конкурентам, растут LTV и Retention, что критически важно для бизнеса.
Вывод
ML в этом кейсе не просто «делает прогнозы», а автоматически адаптирует ценообразование к меняющейся загрузке, избавляя от ручного пересчёта матриц. Компаниям всё чаще нужны специалисты, способные связать математику с реальной бизнес-метрикой. Кстати, на нашем курсе ML-про можно разобраться с динамическим ценообразованием на практике - рекомендую!
Подписаться: @zadachi_ds</v>
      </c>
      <c r="I133" s="6" t="str">
        <f>IFERROR(__xludf.DUMMYFUNCTION("""COMPUTED_VALUE"""),"external")</f>
        <v>external</v>
      </c>
      <c r="J133" s="10" t="str">
        <f>IFERROR(__xludf.DUMMYFUNCTION("""COMPUTED_VALUE"""),"https://t.me/zadachi_ds/388")</f>
        <v>https://t.me/zadachi_ds/388</v>
      </c>
      <c r="K133" s="6">
        <f>IFERROR(__xludf.DUMMYFUNCTION("""COMPUTED_VALUE"""),4950.0)</f>
        <v>4950</v>
      </c>
      <c r="L133" s="6">
        <f>IFERROR(__xludf.DUMMYFUNCTION("""COMPUTED_VALUE"""),24.0)</f>
        <v>24</v>
      </c>
      <c r="M133" s="6"/>
      <c r="N133" s="6" t="str">
        <f>IFERROR(__xludf.DUMMYFUNCTION("""COMPUTED_VALUE"""),"Telegram")</f>
        <v>Telegram</v>
      </c>
      <c r="O133" s="6" t="str">
        <f>IFERROR(__xludf.DUMMYFUNCTION("""COMPUTED_VALUE"""),"raw")</f>
        <v>raw</v>
      </c>
      <c r="P133" s="6" t="str">
        <f>IFERROR(__xludf.DUMMYFUNCTION("""COMPUTED_VALUE"""),"Codex")</f>
        <v>Codex</v>
      </c>
      <c r="Q133" s="6" t="str">
        <f>IFERROR(__xludf.DUMMYFUNCTION("""COMPUTED_VALUE"""),"Общий контакт @vice22821; признак связи с проектом")</f>
        <v>Общий контакт @vice22821; признак связи с проектом</v>
      </c>
      <c r="R133" s="6" t="str">
        <f>IFERROR(__xludf.DUMMYFUNCTION("""COMPUTED_VALUE"""),"unknown")</f>
        <v>unknown</v>
      </c>
      <c r="S133" s="6" t="str">
        <f>IFERROR(__xludf.DUMMYFUNCTION("""COMPUTED_VALUE"""),"unknown")</f>
        <v>unknown</v>
      </c>
      <c r="T133" s="6" t="str">
        <f>IFERROR(__xludf.DUMMYFUNCTION("""COMPUTED_VALUE"""),"telegram_external")</f>
        <v>telegram_external</v>
      </c>
      <c r="U133" s="6" t="str">
        <f>IFERROR(__xludf.DUMMYFUNCTION("""COMPUTED_VALUE"""),"Контент с упоминанием")</f>
        <v>Контент с упоминанием</v>
      </c>
      <c r="V133" s="6" t="str">
        <f>IFERROR(__xludf.DUMMYFUNCTION("""COMPUTED_VALUE"""),"")</f>
        <v/>
      </c>
      <c r="W133" s="6" t="str">
        <f>IFERROR(__xludf.DUMMYFUNCTION("""COMPUTED_VALUE"""),"")</f>
        <v/>
      </c>
      <c r="X133" s="6"/>
      <c r="Y133" s="6" t="str">
        <f>IFERROR(__xludf.DUMMYFUNCTION("""COMPUTED_VALUE"""),"https://old.postypashki.ru/%D0%BA%D0%B0%D1%80%D1%8C%D0%B5%D1%80%D0%BD%D1%8B%D0%B5-%D0%BA%D1%83%D1%80%D1%81%D1%8B/
https://old.postypashki.ru/%D0%BA%D0%B0%D1%80%D1%8C%D0%B5%D1%80%D0%BD%D1%8B%D0%B5-%D0%BA%D1%83%D1%80%D1%81%D1%8B/ml-%D1%85%D0%B0%D1%80%D0%B4/")</f>
        <v>https://old.postypashki.ru/%D0%BA%D0%B0%D1%80%D1%8C%D0%B5%D1%80%D0%BD%D1%8B%D0%B5-%D0%BA%D1%83%D1%80%D1%81%D1%8B/
https://old.postypashki.ru/%D0%BA%D0%B0%D1%80%D1%8C%D0%B5%D1%80%D0%BD%D1%8B%D0%B5-%D0%BA%D1%83%D1%80%D1%81%D1%8B/ml-%D1%85%D0%B0%D1%80%D0%B4/</v>
      </c>
      <c r="Z133" s="6" t="b">
        <f>IFERROR(__xludf.DUMMYFUNCTION("""COMPUTED_VALUE"""),TRUE)</f>
        <v>1</v>
      </c>
      <c r="AA133" s="6" t="str">
        <f>IFERROR(__xludf.DUMMYFUNCTION("""COMPUTED_VALUE"""),"")</f>
        <v/>
      </c>
      <c r="AB133" s="6" t="str">
        <f>IFERROR(__xludf.DUMMYFUNCTION("""COMPUTED_VALUE"""),"")</f>
        <v/>
      </c>
      <c r="AC133" s="6" t="str">
        <f>IFERROR(__xludf.DUMMYFUNCTION("""COMPUTED_VALUE"""),"")</f>
        <v/>
      </c>
      <c r="AD133" s="6" t="str">
        <f>IFERROR(__xludf.DUMMYFUNCTION("""COMPUTED_VALUE"""),"")</f>
        <v/>
      </c>
      <c r="AE133" s="6" t="str">
        <f>IFERROR(__xludf.DUMMYFUNCTION("""COMPUTED_VALUE"""),"")</f>
        <v/>
      </c>
      <c r="AF133" s="6" t="str">
        <f>IFERROR(__xludf.DUMMYFUNCTION("""COMPUTED_VALUE"""),"Не подтверждено")</f>
        <v>Не подтверждено</v>
      </c>
      <c r="AG133" s="6" t="str">
        <f>IFERROR(__xludf.DUMMYFUNCTION("""COMPUTED_VALUE"""),"")</f>
        <v/>
      </c>
      <c r="AH133" s="6" t="str">
        <f>IFERROR(__xludf.DUMMYFUNCTION("""COMPUTED_VALUE"""),"2026-09-11T11:47:41.193466+00:00")</f>
        <v>2026-09-11T11:47:41.193466+00:00</v>
      </c>
      <c r="AI133" s="6" t="str">
        <f>IFERROR(__xludf.DUMMYFUNCTION("""COMPUTED_VALUE"""),"raw/zadachi_ds/page_001.html")</f>
        <v>raw/zadachi_ds/page_001.html</v>
      </c>
      <c r="AJ133" s="9" t="s">
        <v>224</v>
      </c>
      <c r="AK133" s="9" t="s">
        <v>242</v>
      </c>
      <c r="AL133" s="9" t="s">
        <v>252</v>
      </c>
      <c r="AM133" s="9" t="s">
        <v>226</v>
      </c>
      <c r="AN133" s="4" t="str">
        <f>IFERROR(__xludf.DUMMYFUNCTION("IF(OR(AJ133=""general_brand"",AJ133=""external"",AJ133=""unknown""),"""",IF(AJ133=""product_line"",IF(AK133=""START"",""Аналитика старт | Алгоритмы старт | Backend старт | ML старт"",IF(AK133=""PRO"",""AI-агенты про | Алгоритмы про | Аналитика про | ML пр"&amp;"о | Backend про"",IF(AK133=""START | PRO"",""Аналитика старт | Алгоритмы старт | Backend старт | ML старт | AI-агенты про | Алгоритмы про | Аналитика про | ML про | Backend про"",""""))),TEXTJOIN("" | "",TRUE,IF(REGEXMATCH(LOWER(AL133&amp;"" | ""&amp;E133),""анал"&amp;"итика старт""),""Аналитика старт"",""""),IF(REGEXMATCH(LOWER(AL133&amp;"" | ""&amp;E133),""алгоритмы старт""),""Алгоритмы старт"",""""),IF(REGEXMATCH(LOWER(AL133&amp;"" | ""&amp;E133),""backend старт""),""Backend старт"",""""),IF(REGEXMATCH(LOWER(AL133&amp;"" | ""&amp;E133),""ml"&amp;" старт""),""ML старт"",""""),IF(REGEXMATCH(LOWER(AL133&amp;"" | ""&amp;E133),""ai[ -]?агент""),""AI-агенты про"",""""),IF(REGEXMATCH(LOWER(AL133&amp;"" | ""&amp;E133),""алгоритмы про""),""Алгоритмы про"",""""),IF(REGEXMATCH(LOWER(AL133&amp;"" | ""&amp;E133),""аналитика про""),"""&amp;"Аналитика про"",""""),IF(REGEXMATCH(LOWER(AL133&amp;"" | ""&amp;E133),""ml про""),""ML про"",""""),IF(REGEXMATCH(LOWER(AL133&amp;"" | ""&amp;E133),""backend про""),""Backend про"",""""),IF(REGEXMATCH(LOWER(AL133&amp;"" | ""&amp;E133),""(а/в|ав|а в|ab)[ -]?тест""),""А/В-тесты"","&amp;"""""),IF(REGEXMATCH(LOWER(AL133&amp;"" | ""&amp;E133),""data science""),""Data science"",""""),IF(REGEXMATCH(LOWER(AL133&amp;"" | ""&amp;E133),""data[- ]?инжен""),""Data-инженер"",""""),IF(REGEXMATCH(LOWER(AL133&amp;"" | ""&amp;E133),""frontend""),""Frontend"",""""))))"),"ML про")</f>
        <v>ML про</v>
      </c>
    </row>
    <row r="134">
      <c r="A134" s="6" t="str">
        <f>IFERROR(__xludf.DUMMYFUNCTION("""COMPUTED_VALUE"""),"EXT-34")</f>
        <v>EXT-34</v>
      </c>
      <c r="B134" s="6" t="str">
        <f>IFERROR(__xludf.DUMMYFUNCTION("""COMPUTED_VALUE"""),"2026-08-08 17:04:16")</f>
        <v>2026-08-08 17:04:16</v>
      </c>
      <c r="C134" s="6" t="str">
        <f>IFERROR(__xludf.DUMMYFUNCTION("""COMPUTED_VALUE"""),"@algoses")</f>
        <v>@algoses</v>
      </c>
      <c r="D134" s="4" t="str">
        <f>IFERROR(__xludf.DUMMYFUNCTION("""COMPUTED_VALUE"""),"Промо со скидкой")</f>
        <v>Промо со скидкой</v>
      </c>
      <c r="E134" s="6" t="str">
        <f>IFERROR(__xludf.DUMMYFUNCTION("""COMPUTED_VALUE"""),"")</f>
        <v/>
      </c>
      <c r="F134" s="6" t="str">
        <f>IFERROR(__xludf.DUMMYFUNCTION("""COMPUTED_VALUE"""),"")</f>
        <v/>
      </c>
      <c r="G134" s="10" t="str">
        <f>IFERROR(__xludf.DUMMYFUNCTION("""COMPUTED_VALUE"""),"https://t.me/algoses/594")</f>
        <v>https://t.me/algoses/594</v>
      </c>
      <c r="H134" s="6" t="str">
        <f>IFERROR(__xludf.DUMMYFUNCTION("""COMPUTED_VALUE"""),"Осенний найм уже на старте!
Осенью запускаются стажировки, открываются вакансии и поэтому август — лучшее время для подготовки: понять, что спрашивают на отборах, оценить свой уровень и закрыть пробелы до начала учебы!
Поэтому не упусти финальную распро"&amp;"дажу курсов «СТАРТ» — любой курс всего за 6 490 ₽
➡Аналитика
➡Алгоритмы
➡Backend
➡Machine Learning
Почему сейчас лучшее время присоединиться:
✔️Гибкий старт: все лекции по техническим темам уже выложены и доступны — проходите в своём темпе, а куратор ос"&amp;"тается на связи и проверит дз и проекты.
✔️Карьерный блок: онлайн-семинарам по софтам. Напишете резюме, которое пройдет скрининг, даже если нет опыта, отработаете самопрезенатицию, пройдёте mock-собеседование с обратной связью.
✔️Закрытый банк вопросов с "&amp;"реальных интервью Яндекса, Т-Банка, Ozon, WB, Авито и других топ-компаний.
✔️Разбор текущего отбора на стажировок Яндекса.
✔️ Реферальная рекомендация в бигтех после успешной защиты пет-проекта.
Выгодное комбо:
➡️Алгоритмы + любой курс всего за 9 990 ₽⬅"&amp;"️
Берите Backend, ML или Аналитику и параллельно ботайте алгоритмы — они встречаются везде, без хороших алгосов не пройти отбор в хорошую компанию. 
🔊 Распродажа только 8-9 августа. 
Подробную программу смотрите на сайте
📌Для вопросов и записи на кур"&amp;"с напишите менеджеру")</f>
        <v>Осенний найм уже на старте!
Осенью запускаются стажировки, открываются вакансии и поэтому август — лучшее время для подготовки: понять, что спрашивают на отборах, оценить свой уровень и закрыть пробелы до начала учебы!
Поэтому не упусти финальную распродажу курсов «СТАРТ» — любой курс всего за 6 490 ₽
➡Аналитика
➡Алгоритмы
➡Backend
➡Machine Learning
Почему сейчас лучшее время присоединиться:
✔️Гибкий старт: все лекции по техническим темам уже выложены и доступны — проходите в своём темпе, а куратор остается на связи и проверит дз и проекты.
✔️Карьерный блок: онлайн-семинарам по софтам. Напишете резюме, которое пройдет скрининг, даже если нет опыта, отработаете самопрезенатицию, пройдёте mock-собеседование с обратной связью.
✔️Закрытый банк вопросов с реальных интервью Яндекса, Т-Банка, Ozon, WB, Авито и других топ-компаний.
✔️Разбор текущего отбора на стажировок Яндекса.
✔️ Реферальная рекомендация в бигтех после успешной защиты пет-проекта.
Выгодное комбо:
➡️Алгоритмы + любой курс всего за 9 990 ₽⬅️
Берите Backend, ML или Аналитику и параллельно ботайте алгоритмы — они встречаются везде, без хороших алгосов не пройти отбор в хорошую компанию. 
🔊 Распродажа только 8-9 августа. 
Подробную программу смотрите на сайте
📌Для вопросов и записи на курс напишите менеджеру</v>
      </c>
      <c r="I134" s="6" t="str">
        <f>IFERROR(__xludf.DUMMYFUNCTION("""COMPUTED_VALUE"""),"external")</f>
        <v>external</v>
      </c>
      <c r="J134" s="10" t="str">
        <f>IFERROR(__xludf.DUMMYFUNCTION("""COMPUTED_VALUE"""),"https://t.me/algoses/594")</f>
        <v>https://t.me/algoses/594</v>
      </c>
      <c r="K134" s="6">
        <f>IFERROR(__xludf.DUMMYFUNCTION("""COMPUTED_VALUE"""),1370.0)</f>
        <v>1370</v>
      </c>
      <c r="L134" s="6">
        <f>IFERROR(__xludf.DUMMYFUNCTION("""COMPUTED_VALUE"""),5.0)</f>
        <v>5</v>
      </c>
      <c r="M134" s="6"/>
      <c r="N134" s="6" t="str">
        <f>IFERROR(__xludf.DUMMYFUNCTION("""COMPUTED_VALUE"""),"Telegram")</f>
        <v>Telegram</v>
      </c>
      <c r="O134" s="6" t="str">
        <f>IFERROR(__xludf.DUMMYFUNCTION("""COMPUTED_VALUE"""),"raw")</f>
        <v>raw</v>
      </c>
      <c r="P134" s="6" t="str">
        <f>IFERROR(__xludf.DUMMYFUNCTION("""COMPUTED_VALUE"""),"Codex")</f>
        <v>Codex</v>
      </c>
      <c r="Q134" s="6" t="str">
        <f>IFERROR(__xludf.DUMMYFUNCTION("""COMPUTED_VALUE"""),"Общий контакт @vice22821; признак связи с проектом")</f>
        <v>Общий контакт @vice22821; признак связи с проектом</v>
      </c>
      <c r="R134" s="6" t="str">
        <f>IFERROR(__xludf.DUMMYFUNCTION("""COMPUTED_VALUE"""),"unknown")</f>
        <v>unknown</v>
      </c>
      <c r="S134" s="6" t="str">
        <f>IFERROR(__xludf.DUMMYFUNCTION("""COMPUTED_VALUE"""),"unknown")</f>
        <v>unknown</v>
      </c>
      <c r="T134" s="6" t="str">
        <f>IFERROR(__xludf.DUMMYFUNCTION("""COMPUTED_VALUE"""),"telegram_external")</f>
        <v>telegram_external</v>
      </c>
      <c r="U134" s="6" t="str">
        <f>IFERROR(__xludf.DUMMYFUNCTION("""COMPUTED_VALUE"""),"Промо со скидкой")</f>
        <v>Промо со скидкой</v>
      </c>
      <c r="V134" s="6" t="str">
        <f>IFERROR(__xludf.DUMMYFUNCTION("""COMPUTED_VALUE"""),"")</f>
        <v/>
      </c>
      <c r="W134" s="6" t="str">
        <f>IFERROR(__xludf.DUMMYFUNCTION("""COMPUTED_VALUE"""),"")</f>
        <v/>
      </c>
      <c r="X134" s="6" t="str">
        <f>IFERROR(__xludf.DUMMYFUNCTION("""COMPUTED_VALUE"""),"Forwarded from Поступашки - ШАД, Стажировки и Магистратура")</f>
        <v>Forwarded from Поступашки - ШАД, Стажировки и Магистратура</v>
      </c>
      <c r="Y134" s="6" t="str">
        <f>IFERROR(__xludf.DUMMYFUNCTION("""COMPUTED_VALUE"""),"https://t.me/postypashki_old/1835
https://old.postypashki.ru/%D0%BA%D0%B0%D1%80%D1%8C%D0%B5%D1%80%D0%BD%D1%8B%D0%B5-%D0%BA%D1%83%D1%80%D1%81%D1%8B/%D0%B0%D0%BD%D0%B0%D0%BB%D0%B8%D1%82%D0%B8%D0%BA%D0%B0-%D1%81%D1%82%D0%B0%D1%80%D1%82/
https://old.postypash"&amp;"ki.ru/%D0%BA%D0%B0%D1%80%D1%8C%D0%B5%D1%80%D0%BD%D1%8B%D0%B5-%D0%BA%D1%83%D1%80%D1%81%D1%8B/%D0%B0%D0%BB%D0%B3%D0%BE%D1%80%D0%B8%D1%82%D0%BC%D1%8B-%D1%81%D1%82%D0%B0%D1%80%D1%82/
https://old.postypashki.ru/%D0%BA%D0%B0%D1%80%D1%8C%D0%B5%D1%80%D0%BD%D1%8B%"&amp;"D0%B5-%D0%BA%D1%83%D1%80%D1%81%D1%8B/backend-%D1%81%D1%82%D0%B0%D1%80%D1%82/
https://old.postypashki.ru/%D0%BA%D0%B0%D1%80%D1%8C%D0%B5%D1%80%D0%BD%D1%8B%D0%B5-%D0%BA%D1%83%D1%80%D1%81%D1%8B/ml-%D1%81%D1%82%D0%B0%D1%80%D1%82/
https://t.me/postypashki_old/1"&amp;"833
https://old.postypashki.ru/%D0%BA%D0%B0%D1%80%D1%8C%D0%B5%D1%80%D0%BD%D1%8B%D0%B5-%D0%BA%D1%83%D1%80%D1%81%D1%8B/
https://t.me/m/p94YcePXNjcy")</f>
        <v>https://t.me/postypashki_old/1835
https://old.postypashki.ru/%D0%BA%D0%B0%D1%80%D1%8C%D0%B5%D1%80%D0%BD%D1%8B%D0%B5-%D0%BA%D1%83%D1%80%D1%81%D1%8B/%D0%B0%D0%BD%D0%B0%D0%BB%D0%B8%D1%82%D0%B8%D0%BA%D0%B0-%D1%81%D1%82%D0%B0%D1%80%D1%82/
https://old.postypashki.ru/%D0%BA%D0%B0%D1%80%D1%8C%D0%B5%D1%80%D0%BD%D1%8B%D0%B5-%D0%BA%D1%83%D1%80%D1%81%D1%8B/%D0%B0%D0%BB%D0%B3%D0%BE%D1%80%D0%B8%D1%82%D0%BC%D1%8B-%D1%81%D1%82%D0%B0%D1%80%D1%82/
https://old.postypashki.ru/%D0%BA%D0%B0%D1%80%D1%8C%D0%B5%D1%80%D0%BD%D1%8B%D0%B5-%D0%BA%D1%83%D1%80%D1%81%D1%8B/backend-%D1%81%D1%82%D0%B0%D1%80%D1%82/
https://old.postypashki.ru/%D0%BA%D0%B0%D1%80%D1%8C%D0%B5%D1%80%D0%BD%D1%8B%D0%B5-%D0%BA%D1%83%D1%80%D1%81%D1%8B/ml-%D1%81%D1%82%D0%B0%D1%80%D1%82/
https://t.me/postypashki_old/1833
https://old.postypashki.ru/%D0%BA%D0%B0%D1%80%D1%8C%D0%B5%D1%80%D0%BD%D1%8B%D0%B5-%D0%BA%D1%83%D1%80%D1%81%D1%8B/
https://t.me/m/p94YcePXNjcy</v>
      </c>
      <c r="Z134" s="6" t="b">
        <f>IFERROR(__xludf.DUMMYFUNCTION("""COMPUTED_VALUE"""),TRUE)</f>
        <v>1</v>
      </c>
      <c r="AA134" s="6" t="str">
        <f>IFERROR(__xludf.DUMMYFUNCTION("""COMPUTED_VALUE"""),"")</f>
        <v/>
      </c>
      <c r="AB134" s="6" t="str">
        <f>IFERROR(__xludf.DUMMYFUNCTION("""COMPUTED_VALUE"""),"")</f>
        <v/>
      </c>
      <c r="AC134" s="6" t="str">
        <f>IFERROR(__xludf.DUMMYFUNCTION("""COMPUTED_VALUE"""),"")</f>
        <v/>
      </c>
      <c r="AD134" s="6" t="str">
        <f>IFERROR(__xludf.DUMMYFUNCTION("""COMPUTED_VALUE"""),"")</f>
        <v/>
      </c>
      <c r="AE134" s="6" t="str">
        <f>IFERROR(__xludf.DUMMYFUNCTION("""COMPUTED_VALUE"""),"")</f>
        <v/>
      </c>
      <c r="AF134" s="6" t="str">
        <f>IFERROR(__xludf.DUMMYFUNCTION("""COMPUTED_VALUE"""),"Не подтверждено")</f>
        <v>Не подтверждено</v>
      </c>
      <c r="AG134" s="6" t="str">
        <f>IFERROR(__xludf.DUMMYFUNCTION("""COMPUTED_VALUE"""),"")</f>
        <v/>
      </c>
      <c r="AH134" s="6" t="str">
        <f>IFERROR(__xludf.DUMMYFUNCTION("""COMPUTED_VALUE"""),"2026-09-11T11:47:45.461461+00:00")</f>
        <v>2026-09-11T11:47:45.461461+00:00</v>
      </c>
      <c r="AI134" s="6" t="str">
        <f>IFERROR(__xludf.DUMMYFUNCTION("""COMPUTED_VALUE"""),"raw/algoses/page_001.html")</f>
        <v>raw/algoses/page_001.html</v>
      </c>
      <c r="AJ134" s="9" t="s">
        <v>223</v>
      </c>
      <c r="AK134" s="9" t="s">
        <v>213</v>
      </c>
      <c r="AL134" s="9" t="s">
        <v>250</v>
      </c>
      <c r="AM134" s="9" t="s">
        <v>237</v>
      </c>
      <c r="AN134" s="4" t="str">
        <f>IFERROR(__xludf.DUMMYFUNCTION("IF(OR(AJ134=""general_brand"",AJ134=""external"",AJ134=""unknown""),"""",IF(AJ134=""product_line"",IF(AK134=""START"",""Аналитика старт | Алгоритмы старт | Backend старт | ML старт"",IF(AK134=""PRO"",""AI-агенты про | Алгоритмы про | Аналитика про | ML пр"&amp;"о | Backend про"",IF(AK134=""START | PRO"",""Аналитика старт | Алгоритмы старт | Backend старт | ML старт | AI-агенты про | Алгоритмы про | Аналитика про | ML про | Backend про"",""""))),TEXTJOIN("" | "",TRUE,IF(REGEXMATCH(LOWER(AL134&amp;"" | ""&amp;E134),""анал"&amp;"итика старт""),""Аналитика старт"",""""),IF(REGEXMATCH(LOWER(AL134&amp;"" | ""&amp;E134),""алгоритмы старт""),""Алгоритмы старт"",""""),IF(REGEXMATCH(LOWER(AL134&amp;"" | ""&amp;E134),""backend старт""),""Backend старт"",""""),IF(REGEXMATCH(LOWER(AL134&amp;"" | ""&amp;E134),""ml"&amp;" старт""),""ML старт"",""""),IF(REGEXMATCH(LOWER(AL134&amp;"" | ""&amp;E134),""ai[ -]?агент""),""AI-агенты про"",""""),IF(REGEXMATCH(LOWER(AL134&amp;"" | ""&amp;E134),""алгоритмы про""),""Алгоритмы про"",""""),IF(REGEXMATCH(LOWER(AL134&amp;"" | ""&amp;E134),""аналитика про""),"""&amp;"Аналитика про"",""""),IF(REGEXMATCH(LOWER(AL134&amp;"" | ""&amp;E134),""ml про""),""ML про"",""""),IF(REGEXMATCH(LOWER(AL134&amp;"" | ""&amp;E134),""backend про""),""Backend про"",""""),IF(REGEXMATCH(LOWER(AL134&amp;"" | ""&amp;E134),""(а/в|ав|а в|ab)[ -]?тест""),""А/В-тесты"","&amp;"""""),IF(REGEXMATCH(LOWER(AL134&amp;"" | ""&amp;E134),""data science""),""Data science"",""""),IF(REGEXMATCH(LOWER(AL134&amp;"" | ""&amp;E134),""data[- ]?инжен""),""Data-инженер"",""""),IF(REGEXMATCH(LOWER(AL134&amp;"" | ""&amp;E134),""frontend""),""Frontend"",""""))))"),"Аналитика старт | Алгоритмы старт | Backend старт | ML старт")</f>
        <v>Аналитика старт | Алгоритмы старт | Backend старт | ML старт</v>
      </c>
    </row>
    <row r="135">
      <c r="A135" s="6" t="str">
        <f>IFERROR(__xludf.DUMMYFUNCTION("""COMPUTED_VALUE"""),"EXT-35")</f>
        <v>EXT-35</v>
      </c>
      <c r="B135" s="6" t="str">
        <f>IFERROR(__xludf.DUMMYFUNCTION("""COMPUTED_VALUE"""),"2026-08-08 12:24:53")</f>
        <v>2026-08-08 12:24:53</v>
      </c>
      <c r="C135" s="6" t="str">
        <f>IFERROR(__xludf.DUMMYFUNCTION("""COMPUTED_VALUE"""),"@chad_protocol")</f>
        <v>@chad_protocol</v>
      </c>
      <c r="D135" s="4" t="str">
        <f>IFERROR(__xludf.DUMMYFUNCTION("""COMPUTED_VALUE"""),"Промо со скидкой")</f>
        <v>Промо со скидкой</v>
      </c>
      <c r="E135" s="6" t="str">
        <f>IFERROR(__xludf.DUMMYFUNCTION("""COMPUTED_VALUE"""),"")</f>
        <v/>
      </c>
      <c r="F135" s="6" t="str">
        <f>IFERROR(__xludf.DUMMYFUNCTION("""COMPUTED_VALUE"""),"")</f>
        <v/>
      </c>
      <c r="G135" s="10" t="str">
        <f>IFERROR(__xludf.DUMMYFUNCTION("""COMPUTED_VALUE"""),"https://t.me/chad_protocol/510")</f>
        <v>https://t.me/chad_protocol/510</v>
      </c>
      <c r="H135" s="6" t="str">
        <f>IFERROR(__xludf.DUMMYFUNCTION("""COMPUTED_VALUE"""),"Почему автоотклики - полный кринж
В последнее время у зумеров стали популярны всякие ИИ-агенты и подобная нечесть, которая за тебя и LinkedIn, и GitHub заполнит, и вакансии найдёт, и под каждую напишет резюме с сопроводительным письмом, и с рекрутером по"&amp;"общается, и собес пройдёт, и испытательный срок… и жену твою… Короче, полный кринж. Почему это всё не работает?
1. Профили, заполненные нейроскопом, LinkedIn отправляет в теневой бан. 
Рекрутеры такие профили обходят стороной.
2. Про нейроскопные резюме"&amp;" и сопроводительные письма уже был мем. 
Кандидат написал, что работал с моделями «Ясасу Бибу» и «Цист Яна». Сейчас вакансий и так немного, а кандидатов - завались, поэтому рекрутеры просто реджектят нейроскоп-резюме. Надо же как-то отсеивать.
3. То же с"&amp;"амое с общением. Сгенерированный текст все научились различать невооружённым взглядом. Ну и вам самим приятно, когда собеседник тупо отвечает как GPT? У нас в РФ к этому пока терпимее, а вот за рубежом с их культурой общения - сразу бан. Причём в прямом с"&amp;"мысле: добавляют в чёрные списки.
Блин, как же я умираю со смеху, когда говорят, что чёрных списков не существует. Серьёзно? Мы живём в мире, где ИИ-агенты проходят собесы и откликаются на вакансии, где есть селф-драйвы и распознавание лиц в метро. И вы "&amp;"думаете, рекрутер не может навайбкодить что-то подобное? Может, наша slavic girl, перекатившаяся с ноготочков на HR-менеджмент, и не сможет. А вот тётя Линда, которая живёт этим десяток лет, - спокойно навайбкодит. Это её хлеб, репутация и статус. Crazy п"&amp;"индосы, короче.
4. А сколько мне за последний месяц отдали ТЗ с техническими ошибками, сгенерированными нейронкой… 
Я знаю случаи, когда использование нейросети приводило к ошибкам в проде, но джуны/мидлы продолжают верить, что это революция, и бездумно "&amp;"копируют код из терминала в прод, не проверяя.
Я к этому отношусь очень скептически и всем зумерам ограничил права (серьезно всем младше 25 лет я не доверяю). Если нейронка выдаёт скрипт на удаление/merge/insert - десять раз проверяю перед использованием,"&amp;" потому что она может убить валидные данные. Но зумеры об этом не думают.
У меня команда состоит из:
3 ChatGPT,
1 Grok,
2 Claude Code,
2 Gemini,
1 Lovable,
и я на Claude Code + Gemini 
Итого. Советую чат гпт использовать для вдохновения и шлифовки уже им"&amp;"еющегося решения/текста. Следите, чтобы решение не было сгенерено более чем на 20% нейронкой. И подключайтесь на наши курсы ""СТАРТ"" по топовой скидочки, где научим вас думать лучше нейросетки в 100 раз, научим проходить hr фильтры и строить топовую карь"&amp;"еру 🤩. 
➡️ Записаться  
Подписаться: @chad_protocol")</f>
        <v>Почему автоотклики - полный кринж
В последнее время у зумеров стали популярны всякие ИИ-агенты и подобная нечесть, которая за тебя и LinkedIn, и GitHub заполнит, и вакансии найдёт, и под каждую напишет резюме с сопроводительным письмом, и с рекрутером пообщается, и собес пройдёт, и испытательный срок… и жену твою… Короче, полный кринж. Почему это всё не работает?
1. Профили, заполненные нейроскопом, LinkedIn отправляет в теневой бан. 
Рекрутеры такие профили обходят стороной.
2. Про нейроскопные резюме и сопроводительные письма уже был мем. 
Кандидат написал, что работал с моделями «Ясасу Бибу» и «Цист Яна». Сейчас вакансий и так немного, а кандидатов - завались, поэтому рекрутеры просто реджектят нейроскоп-резюме. Надо же как-то отсеивать.
3. То же самое с общением. Сгенерированный текст все научились различать невооружённым взглядом. Ну и вам самим приятно, когда собеседник тупо отвечает как GPT? У нас в РФ к этому пока терпимее, а вот за рубежом с их культурой общения - сразу бан. Причём в прямом смысле: добавляют в чёрные списки.
Блин, как же я умираю со смеху, когда говорят, что чёрных списков не существует. Серьёзно? Мы живём в мире, где ИИ-агенты проходят собесы и откликаются на вакансии, где есть селф-драйвы и распознавание лиц в метро. И вы думаете, рекрутер не может навайбкодить что-то подобное? Может, наша slavic girl, перекатившаяся с ноготочков на HR-менеджмент, и не сможет. А вот тётя Линда, которая живёт этим десяток лет, - спокойно навайбкодит. Это её хлеб, репутация и статус. Crazy пиндосы, короче.
4. А сколько мне за последний месяц отдали ТЗ с техническими ошибками, сгенерированными нейронкой… 
Я знаю случаи, когда использование нейросети приводило к ошибкам в проде, но джуны/мидлы продолжают верить, что это революция, и бездумно копируют код из терминала в прод, не проверяя.
Я к этому отношусь очень скептически и всем зумерам ограничил права (серьезно всем младше 25 лет я не доверяю). Если нейронка выдаёт скрипт на удаление/merge/insert - десять раз проверяю перед использованием, потому что она может убить валидные данные. Но зумеры об этом не думают.
У меня команда состоит из:
3 ChatGPT,
1 Grok,
2 Claude Code,
2 Gemini,
1 Lovable,
и я на Claude Code + Gemini 
Итого. Советую чат гпт использовать для вдохновения и шлифовки уже имеющегося решения/текста. Следите, чтобы решение не было сгенерено более чем на 20% нейронкой. И подключайтесь на наши курсы "СТАРТ" по топовой скидочки, где научим вас думать лучше нейросетки в 100 раз, научим проходить hr фильтры и строить топовую карьеру 🤩. 
➡️ Записаться  
Подписаться: @chad_protocol</v>
      </c>
      <c r="I135" s="6" t="str">
        <f>IFERROR(__xludf.DUMMYFUNCTION("""COMPUTED_VALUE"""),"external")</f>
        <v>external</v>
      </c>
      <c r="J135" s="10" t="str">
        <f>IFERROR(__xludf.DUMMYFUNCTION("""COMPUTED_VALUE"""),"https://t.me/chad_protocol/510")</f>
        <v>https://t.me/chad_protocol/510</v>
      </c>
      <c r="K135" s="6">
        <f>IFERROR(__xludf.DUMMYFUNCTION("""COMPUTED_VALUE"""),6930.0)</f>
        <v>6930</v>
      </c>
      <c r="L135" s="6">
        <f>IFERROR(__xludf.DUMMYFUNCTION("""COMPUTED_VALUE"""),24.0)</f>
        <v>24</v>
      </c>
      <c r="M135" s="6"/>
      <c r="N135" s="6" t="str">
        <f>IFERROR(__xludf.DUMMYFUNCTION("""COMPUTED_VALUE"""),"Telegram")</f>
        <v>Telegram</v>
      </c>
      <c r="O135" s="6" t="str">
        <f>IFERROR(__xludf.DUMMYFUNCTION("""COMPUTED_VALUE"""),"raw")</f>
        <v>raw</v>
      </c>
      <c r="P135" s="6" t="str">
        <f>IFERROR(__xludf.DUMMYFUNCTION("""COMPUTED_VALUE"""),"Codex")</f>
        <v>Codex</v>
      </c>
      <c r="Q135" s="6" t="str">
        <f>IFERROR(__xludf.DUMMYFUNCTION("""COMPUTED_VALUE"""),"Общий контакт @vice22821; признак связи с проектом")</f>
        <v>Общий контакт @vice22821; признак связи с проектом</v>
      </c>
      <c r="R135" s="6" t="str">
        <f>IFERROR(__xludf.DUMMYFUNCTION("""COMPUTED_VALUE"""),"unknown")</f>
        <v>unknown</v>
      </c>
      <c r="S135" s="6" t="str">
        <f>IFERROR(__xludf.DUMMYFUNCTION("""COMPUTED_VALUE"""),"unknown")</f>
        <v>unknown</v>
      </c>
      <c r="T135" s="6" t="str">
        <f>IFERROR(__xludf.DUMMYFUNCTION("""COMPUTED_VALUE"""),"telegram_external")</f>
        <v>telegram_external</v>
      </c>
      <c r="U135" s="6" t="str">
        <f>IFERROR(__xludf.DUMMYFUNCTION("""COMPUTED_VALUE"""),"Промо со скидкой")</f>
        <v>Промо со скидкой</v>
      </c>
      <c r="V135" s="6" t="str">
        <f>IFERROR(__xludf.DUMMYFUNCTION("""COMPUTED_VALUE"""),"")</f>
        <v/>
      </c>
      <c r="W135" s="6" t="str">
        <f>IFERROR(__xludf.DUMMYFUNCTION("""COMPUTED_VALUE"""),"")</f>
        <v/>
      </c>
      <c r="X135" s="6"/>
      <c r="Y135" s="6" t="str">
        <f>IFERROR(__xludf.DUMMYFUNCTION("""COMPUTED_VALUE"""),"https://t.me/postypashki_old/1819
https://t.me/postypashki_old/1835
https://t.me/m/p94YcePXNjcy")</f>
        <v>https://t.me/postypashki_old/1819
https://t.me/postypashki_old/1835
https://t.me/m/p94YcePXNjcy</v>
      </c>
      <c r="Z135" s="6" t="b">
        <f>IFERROR(__xludf.DUMMYFUNCTION("""COMPUTED_VALUE"""),TRUE)</f>
        <v>1</v>
      </c>
      <c r="AA135" s="6" t="str">
        <f>IFERROR(__xludf.DUMMYFUNCTION("""COMPUTED_VALUE"""),"")</f>
        <v/>
      </c>
      <c r="AB135" s="6" t="str">
        <f>IFERROR(__xludf.DUMMYFUNCTION("""COMPUTED_VALUE"""),"")</f>
        <v/>
      </c>
      <c r="AC135" s="6" t="str">
        <f>IFERROR(__xludf.DUMMYFUNCTION("""COMPUTED_VALUE"""),"")</f>
        <v/>
      </c>
      <c r="AD135" s="6" t="str">
        <f>IFERROR(__xludf.DUMMYFUNCTION("""COMPUTED_VALUE"""),"")</f>
        <v/>
      </c>
      <c r="AE135" s="6" t="str">
        <f>IFERROR(__xludf.DUMMYFUNCTION("""COMPUTED_VALUE"""),"")</f>
        <v/>
      </c>
      <c r="AF135" s="6" t="str">
        <f>IFERROR(__xludf.DUMMYFUNCTION("""COMPUTED_VALUE"""),"Не подтверждено")</f>
        <v>Не подтверждено</v>
      </c>
      <c r="AG135" s="6" t="str">
        <f>IFERROR(__xludf.DUMMYFUNCTION("""COMPUTED_VALUE"""),"")</f>
        <v/>
      </c>
      <c r="AH135" s="6" t="str">
        <f>IFERROR(__xludf.DUMMYFUNCTION("""COMPUTED_VALUE"""),"2026-09-11T11:47:52.658878+00:00")</f>
        <v>2026-09-11T11:47:52.658878+00:00</v>
      </c>
      <c r="AI135" s="6" t="str">
        <f>IFERROR(__xludf.DUMMYFUNCTION("""COMPUTED_VALUE"""),"raw/chad_protocol/page_001.html")</f>
        <v>raw/chad_protocol/page_001.html</v>
      </c>
      <c r="AJ135" s="9" t="s">
        <v>167</v>
      </c>
      <c r="AK135" s="9" t="s">
        <v>213</v>
      </c>
      <c r="AM135" s="9" t="s">
        <v>219</v>
      </c>
      <c r="AN135" s="4" t="str">
        <f>IFERROR(__xludf.DUMMYFUNCTION("IF(OR(AJ135=""general_brand"",AJ135=""external"",AJ135=""unknown""),"""",IF(AJ135=""product_line"",IF(AK135=""START"",""Аналитика старт | Алгоритмы старт | Backend старт | ML старт"",IF(AK135=""PRO"",""AI-агенты про | Алгоритмы про | Аналитика про | ML пр"&amp;"о | Backend про"",IF(AK135=""START | PRO"",""Аналитика старт | Алгоритмы старт | Backend старт | ML старт | AI-агенты про | Алгоритмы про | Аналитика про | ML про | Backend про"",""""))),TEXTJOIN("" | "",TRUE,IF(REGEXMATCH(LOWER(AL135&amp;"" | ""&amp;E135),""анал"&amp;"итика старт""),""Аналитика старт"",""""),IF(REGEXMATCH(LOWER(AL135&amp;"" | ""&amp;E135),""алгоритмы старт""),""Алгоритмы старт"",""""),IF(REGEXMATCH(LOWER(AL135&amp;"" | ""&amp;E135),""backend старт""),""Backend старт"",""""),IF(REGEXMATCH(LOWER(AL135&amp;"" | ""&amp;E135),""ml"&amp;" старт""),""ML старт"",""""),IF(REGEXMATCH(LOWER(AL135&amp;"" | ""&amp;E135),""ai[ -]?агент""),""AI-агенты про"",""""),IF(REGEXMATCH(LOWER(AL135&amp;"" | ""&amp;E135),""алгоритмы про""),""Алгоритмы про"",""""),IF(REGEXMATCH(LOWER(AL135&amp;"" | ""&amp;E135),""аналитика про""),"""&amp;"Аналитика про"",""""),IF(REGEXMATCH(LOWER(AL135&amp;"" | ""&amp;E135),""ml про""),""ML про"",""""),IF(REGEXMATCH(LOWER(AL135&amp;"" | ""&amp;E135),""backend про""),""Backend про"",""""),IF(REGEXMATCH(LOWER(AL135&amp;"" | ""&amp;E135),""(а/в|ав|а в|ab)[ -]?тест""),""А/В-тесты"","&amp;"""""),IF(REGEXMATCH(LOWER(AL135&amp;"" | ""&amp;E135),""data science""),""Data science"",""""),IF(REGEXMATCH(LOWER(AL135&amp;"" | ""&amp;E135),""data[- ]?инжен""),""Data-инженер"",""""),IF(REGEXMATCH(LOWER(AL135&amp;"" | ""&amp;E135),""frontend""),""Frontend"",""""))))"),"Аналитика старт | Алгоритмы старт | Backend старт | ML старт")</f>
        <v>Аналитика старт | Алгоритмы старт | Backend старт | ML старт</v>
      </c>
    </row>
    <row r="136">
      <c r="A136" s="6" t="str">
        <f>IFERROR(__xludf.DUMMYFUNCTION("""COMPUTED_VALUE"""),"EXT-36")</f>
        <v>EXT-36</v>
      </c>
      <c r="B136" s="6" t="str">
        <f>IFERROR(__xludf.DUMMYFUNCTION("""COMPUTED_VALUE"""),"2026-08-08 16:40:01")</f>
        <v>2026-08-08 16:40:01</v>
      </c>
      <c r="C136" s="6" t="str">
        <f>IFERROR(__xludf.DUMMYFUNCTION("""COMPUTED_VALUE"""),"@codeof_art")</f>
        <v>@codeof_art</v>
      </c>
      <c r="D136" s="4" t="str">
        <f>IFERROR(__xludf.DUMMYFUNCTION("""COMPUTED_VALUE"""),"Промо со скидкой")</f>
        <v>Промо со скидкой</v>
      </c>
      <c r="E136" s="6" t="str">
        <f>IFERROR(__xludf.DUMMYFUNCTION("""COMPUTED_VALUE"""),"")</f>
        <v/>
      </c>
      <c r="F136" s="6" t="str">
        <f>IFERROR(__xludf.DUMMYFUNCTION("""COMPUTED_VALUE"""),"")</f>
        <v/>
      </c>
      <c r="G136" s="10" t="str">
        <f>IFERROR(__xludf.DUMMYFUNCTION("""COMPUTED_VALUE"""),"https://t.me/codeof_art/306")</f>
        <v>https://t.me/codeof_art/306</v>
      </c>
      <c r="H136" s="6" t="str">
        <f>IFERROR(__xludf.DUMMYFUNCTION("""COMPUTED_VALUE"""),"Осенний найм уже на старте!
Осенью запускаются стажировки, открываются вакансии и поэтому август — лучшее время для подготовки: понять, что спрашивают на отборах, оценить свой уровень и закрыть пробелы до начала учебы!
Поэтому не упусти финальную распро"&amp;"дажу курсов «СТАРТ» — любой курс всего за 6 490 ₽
➡Аналитика
➡Алгоритмы
➡Backend
➡Machine Learning
Почему сейчас лучшее время присоединиться:
✔️Гибкий старт: все лекции по техническим темам уже выложены и доступны — проходите в своём темпе, а куратор ос"&amp;"тается на связи и проверит дз и проекты.
✔️Карьерный блок: онлайн-семинарам по софтам. Напишете резюме, которое пройдет скрининг, даже если нет опыта, отработаете самопрезенатицию, пройдёте mock-собеседование с обратной связью.
✔️Закрытый банк вопросов с "&amp;"реальных интервью Яндекса, Т-Банка, Ozon, WB, Авито и других топ-компаний.
✔️Разбор текущего отбора на стажировок Яндекса.
✔️ Реферальная рекомендация в бигтех после успешной защиты пет-проекта.
Выгодное комбо:
➡️Алгоритмы + любой курс всего за 9 990 ₽⬅"&amp;"️
Берите Backend, ML или Аналитику и параллельно ботайте алгоритмы — они встречаются везде, без хороших алгосов не пройти отбор в хорошую компанию. 
🔊 Распродажа только 8-9 августа. 
Подробную программу смотрите на сайте
📌Для вопросов и записи на кур"&amp;"с напишите менеджеру")</f>
        <v>Осенний найм уже на старте!
Осенью запускаются стажировки, открываются вакансии и поэтому август — лучшее время для подготовки: понять, что спрашивают на отборах, оценить свой уровень и закрыть пробелы до начала учебы!
Поэтому не упусти финальную распродажу курсов «СТАРТ» — любой курс всего за 6 490 ₽
➡Аналитика
➡Алгоритмы
➡Backend
➡Machine Learning
Почему сейчас лучшее время присоединиться:
✔️Гибкий старт: все лекции по техническим темам уже выложены и доступны — проходите в своём темпе, а куратор остается на связи и проверит дз и проекты.
✔️Карьерный блок: онлайн-семинарам по софтам. Напишете резюме, которое пройдет скрининг, даже если нет опыта, отработаете самопрезенатицию, пройдёте mock-собеседование с обратной связью.
✔️Закрытый банк вопросов с реальных интервью Яндекса, Т-Банка, Ozon, WB, Авито и других топ-компаний.
✔️Разбор текущего отбора на стажировок Яндекса.
✔️ Реферальная рекомендация в бигтех после успешной защиты пет-проекта.
Выгодное комбо:
➡️Алгоритмы + любой курс всего за 9 990 ₽⬅️
Берите Backend, ML или Аналитику и параллельно ботайте алгоритмы — они встречаются везде, без хороших алгосов не пройти отбор в хорошую компанию. 
🔊 Распродажа только 8-9 августа. 
Подробную программу смотрите на сайте
📌Для вопросов и записи на курс напишите менеджеру</v>
      </c>
      <c r="I136" s="6" t="str">
        <f>IFERROR(__xludf.DUMMYFUNCTION("""COMPUTED_VALUE"""),"external")</f>
        <v>external</v>
      </c>
      <c r="J136" s="10" t="str">
        <f>IFERROR(__xludf.DUMMYFUNCTION("""COMPUTED_VALUE"""),"https://t.me/codeof_art/306")</f>
        <v>https://t.me/codeof_art/306</v>
      </c>
      <c r="K136" s="6">
        <f>IFERROR(__xludf.DUMMYFUNCTION("""COMPUTED_VALUE"""),514.0)</f>
        <v>514</v>
      </c>
      <c r="L136" s="6"/>
      <c r="M136" s="6"/>
      <c r="N136" s="6" t="str">
        <f>IFERROR(__xludf.DUMMYFUNCTION("""COMPUTED_VALUE"""),"Telegram")</f>
        <v>Telegram</v>
      </c>
      <c r="O136" s="6" t="str">
        <f>IFERROR(__xludf.DUMMYFUNCTION("""COMPUTED_VALUE"""),"raw")</f>
        <v>raw</v>
      </c>
      <c r="P136" s="6" t="str">
        <f>IFERROR(__xludf.DUMMYFUNCTION("""COMPUTED_VALUE"""),"Codex")</f>
        <v>Codex</v>
      </c>
      <c r="Q136" s="6" t="str">
        <f>IFERROR(__xludf.DUMMYFUNCTION("""COMPUTED_VALUE"""),"Общий контакт @vice22821; признак связи с проектом")</f>
        <v>Общий контакт @vice22821; признак связи с проектом</v>
      </c>
      <c r="R136" s="6" t="str">
        <f>IFERROR(__xludf.DUMMYFUNCTION("""COMPUTED_VALUE"""),"unknown")</f>
        <v>unknown</v>
      </c>
      <c r="S136" s="6" t="str">
        <f>IFERROR(__xludf.DUMMYFUNCTION("""COMPUTED_VALUE"""),"unknown")</f>
        <v>unknown</v>
      </c>
      <c r="T136" s="6" t="str">
        <f>IFERROR(__xludf.DUMMYFUNCTION("""COMPUTED_VALUE"""),"telegram_external")</f>
        <v>telegram_external</v>
      </c>
      <c r="U136" s="6" t="str">
        <f>IFERROR(__xludf.DUMMYFUNCTION("""COMPUTED_VALUE"""),"Промо со скидкой")</f>
        <v>Промо со скидкой</v>
      </c>
      <c r="V136" s="6" t="str">
        <f>IFERROR(__xludf.DUMMYFUNCTION("""COMPUTED_VALUE"""),"")</f>
        <v/>
      </c>
      <c r="W136" s="6" t="str">
        <f>IFERROR(__xludf.DUMMYFUNCTION("""COMPUTED_VALUE"""),"")</f>
        <v/>
      </c>
      <c r="X136" s="6" t="str">
        <f>IFERROR(__xludf.DUMMYFUNCTION("""COMPUTED_VALUE"""),"Forwarded from Поступашки - ШАД, Стажировки и Магистратура")</f>
        <v>Forwarded from Поступашки - ШАД, Стажировки и Магистратура</v>
      </c>
      <c r="Y136" s="6" t="str">
        <f>IFERROR(__xludf.DUMMYFUNCTION("""COMPUTED_VALUE"""),"https://t.me/postypashki_old/1835
https://old.postypashki.ru/%D0%BA%D0%B0%D1%80%D1%8C%D0%B5%D1%80%D0%BD%D1%8B%D0%B5-%D0%BA%D1%83%D1%80%D1%81%D1%8B/%D0%B0%D0%BD%D0%B0%D0%BB%D0%B8%D1%82%D0%B8%D0%BA%D0%B0-%D1%81%D1%82%D0%B0%D1%80%D1%82/
https://old.postypash"&amp;"ki.ru/%D0%BA%D0%B0%D1%80%D1%8C%D0%B5%D1%80%D0%BD%D1%8B%D0%B5-%D0%BA%D1%83%D1%80%D1%81%D1%8B/%D0%B0%D0%BB%D0%B3%D0%BE%D1%80%D0%B8%D1%82%D0%BC%D1%8B-%D1%81%D1%82%D0%B0%D1%80%D1%82/
https://old.postypashki.ru/%D0%BA%D0%B0%D1%80%D1%8C%D0%B5%D1%80%D0%BD%D1%8B%"&amp;"D0%B5-%D0%BA%D1%83%D1%80%D1%81%D1%8B/backend-%D1%81%D1%82%D0%B0%D1%80%D1%82/
https://old.postypashki.ru/%D0%BA%D0%B0%D1%80%D1%8C%D0%B5%D1%80%D0%BD%D1%8B%D0%B5-%D0%BA%D1%83%D1%80%D1%81%D1%8B/ml-%D1%81%D1%82%D0%B0%D1%80%D1%82/
https://t.me/postypashki_old/1"&amp;"833
https://old.postypashki.ru/%D0%BA%D0%B0%D1%80%D1%8C%D0%B5%D1%80%D0%BD%D1%8B%D0%B5-%D0%BA%D1%83%D1%80%D1%81%D1%8B/
https://t.me/m/p94YcePXNjcy")</f>
        <v>https://t.me/postypashki_old/1835
https://old.postypashki.ru/%D0%BA%D0%B0%D1%80%D1%8C%D0%B5%D1%80%D0%BD%D1%8B%D0%B5-%D0%BA%D1%83%D1%80%D1%81%D1%8B/%D0%B0%D0%BD%D0%B0%D0%BB%D0%B8%D1%82%D0%B8%D0%BA%D0%B0-%D1%81%D1%82%D0%B0%D1%80%D1%82/
https://old.postypashki.ru/%D0%BA%D0%B0%D1%80%D1%8C%D0%B5%D1%80%D0%BD%D1%8B%D0%B5-%D0%BA%D1%83%D1%80%D1%81%D1%8B/%D0%B0%D0%BB%D0%B3%D0%BE%D1%80%D0%B8%D1%82%D0%BC%D1%8B-%D1%81%D1%82%D0%B0%D1%80%D1%82/
https://old.postypashki.ru/%D0%BA%D0%B0%D1%80%D1%8C%D0%B5%D1%80%D0%BD%D1%8B%D0%B5-%D0%BA%D1%83%D1%80%D1%81%D1%8B/backend-%D1%81%D1%82%D0%B0%D1%80%D1%82/
https://old.postypashki.ru/%D0%BA%D0%B0%D1%80%D1%8C%D0%B5%D1%80%D0%BD%D1%8B%D0%B5-%D0%BA%D1%83%D1%80%D1%81%D1%8B/ml-%D1%81%D1%82%D0%B0%D1%80%D1%82/
https://t.me/postypashki_old/1833
https://old.postypashki.ru/%D0%BA%D0%B0%D1%80%D1%8C%D0%B5%D1%80%D0%BD%D1%8B%D0%B5-%D0%BA%D1%83%D1%80%D1%81%D1%8B/
https://t.me/m/p94YcePXNjcy</v>
      </c>
      <c r="Z136" s="6" t="b">
        <f>IFERROR(__xludf.DUMMYFUNCTION("""COMPUTED_VALUE"""),TRUE)</f>
        <v>1</v>
      </c>
      <c r="AA136" s="6" t="str">
        <f>IFERROR(__xludf.DUMMYFUNCTION("""COMPUTED_VALUE"""),"")</f>
        <v/>
      </c>
      <c r="AB136" s="6" t="str">
        <f>IFERROR(__xludf.DUMMYFUNCTION("""COMPUTED_VALUE"""),"")</f>
        <v/>
      </c>
      <c r="AC136" s="6" t="str">
        <f>IFERROR(__xludf.DUMMYFUNCTION("""COMPUTED_VALUE"""),"")</f>
        <v/>
      </c>
      <c r="AD136" s="6" t="str">
        <f>IFERROR(__xludf.DUMMYFUNCTION("""COMPUTED_VALUE"""),"")</f>
        <v/>
      </c>
      <c r="AE136" s="6" t="str">
        <f>IFERROR(__xludf.DUMMYFUNCTION("""COMPUTED_VALUE"""),"")</f>
        <v/>
      </c>
      <c r="AF136" s="6" t="str">
        <f>IFERROR(__xludf.DUMMYFUNCTION("""COMPUTED_VALUE"""),"Не подтверждено")</f>
        <v>Не подтверждено</v>
      </c>
      <c r="AG136" s="6" t="str">
        <f>IFERROR(__xludf.DUMMYFUNCTION("""COMPUTED_VALUE"""),"")</f>
        <v/>
      </c>
      <c r="AH136" s="6" t="str">
        <f>IFERROR(__xludf.DUMMYFUNCTION("""COMPUTED_VALUE"""),"2026-09-11T11:47:38.610904+00:00")</f>
        <v>2026-09-11T11:47:38.610904+00:00</v>
      </c>
      <c r="AI136" s="6" t="str">
        <f>IFERROR(__xludf.DUMMYFUNCTION("""COMPUTED_VALUE"""),"raw/codeof_art/page_001.html")</f>
        <v>raw/codeof_art/page_001.html</v>
      </c>
      <c r="AJ136" s="9" t="s">
        <v>223</v>
      </c>
      <c r="AK136" s="9" t="s">
        <v>213</v>
      </c>
      <c r="AL136" s="9" t="s">
        <v>250</v>
      </c>
      <c r="AM136" s="9" t="s">
        <v>237</v>
      </c>
      <c r="AN136" s="4" t="str">
        <f>IFERROR(__xludf.DUMMYFUNCTION("IF(OR(AJ136=""general_brand"",AJ136=""external"",AJ136=""unknown""),"""",IF(AJ136=""product_line"",IF(AK136=""START"",""Аналитика старт | Алгоритмы старт | Backend старт | ML старт"",IF(AK136=""PRO"",""AI-агенты про | Алгоритмы про | Аналитика про | ML пр"&amp;"о | Backend про"",IF(AK136=""START | PRO"",""Аналитика старт | Алгоритмы старт | Backend старт | ML старт | AI-агенты про | Алгоритмы про | Аналитика про | ML про | Backend про"",""""))),TEXTJOIN("" | "",TRUE,IF(REGEXMATCH(LOWER(AL136&amp;"" | ""&amp;E136),""анал"&amp;"итика старт""),""Аналитика старт"",""""),IF(REGEXMATCH(LOWER(AL136&amp;"" | ""&amp;E136),""алгоритмы старт""),""Алгоритмы старт"",""""),IF(REGEXMATCH(LOWER(AL136&amp;"" | ""&amp;E136),""backend старт""),""Backend старт"",""""),IF(REGEXMATCH(LOWER(AL136&amp;"" | ""&amp;E136),""ml"&amp;" старт""),""ML старт"",""""),IF(REGEXMATCH(LOWER(AL136&amp;"" | ""&amp;E136),""ai[ -]?агент""),""AI-агенты про"",""""),IF(REGEXMATCH(LOWER(AL136&amp;"" | ""&amp;E136),""алгоритмы про""),""Алгоритмы про"",""""),IF(REGEXMATCH(LOWER(AL136&amp;"" | ""&amp;E136),""аналитика про""),"""&amp;"Аналитика про"",""""),IF(REGEXMATCH(LOWER(AL136&amp;"" | ""&amp;E136),""ml про""),""ML про"",""""),IF(REGEXMATCH(LOWER(AL136&amp;"" | ""&amp;E136),""backend про""),""Backend про"",""""),IF(REGEXMATCH(LOWER(AL136&amp;"" | ""&amp;E136),""(а/в|ав|а в|ab)[ -]?тест""),""А/В-тесты"","&amp;"""""),IF(REGEXMATCH(LOWER(AL136&amp;"" | ""&amp;E136),""data science""),""Data science"",""""),IF(REGEXMATCH(LOWER(AL136&amp;"" | ""&amp;E136),""data[- ]?инжен""),""Data-инженер"",""""),IF(REGEXMATCH(LOWER(AL136&amp;"" | ""&amp;E136),""frontend""),""Frontend"",""""))))"),"Аналитика старт | Алгоритмы старт | Backend старт | ML старт")</f>
        <v>Аналитика старт | Алгоритмы старт | Backend старт | ML старт</v>
      </c>
    </row>
    <row r="137">
      <c r="A137" s="6" t="str">
        <f>IFERROR(__xludf.DUMMYFUNCTION("""COMPUTED_VALUE"""),"EXT-37")</f>
        <v>EXT-37</v>
      </c>
      <c r="B137" s="6" t="str">
        <f>IFERROR(__xludf.DUMMYFUNCTION("""COMPUTED_VALUE"""),"2026-08-08 13:34:46")</f>
        <v>2026-08-08 13:34:46</v>
      </c>
      <c r="C137" s="6" t="str">
        <f>IFERROR(__xludf.DUMMYFUNCTION("""COMPUTED_VALUE"""),"@postypashki_mems")</f>
        <v>@postypashki_mems</v>
      </c>
      <c r="D137" s="4" t="str">
        <f>IFERROR(__xludf.DUMMYFUNCTION("""COMPUTED_VALUE"""),"Промо со скидкой")</f>
        <v>Промо со скидкой</v>
      </c>
      <c r="E137" s="6" t="str">
        <f>IFERROR(__xludf.DUMMYFUNCTION("""COMPUTED_VALUE"""),"")</f>
        <v/>
      </c>
      <c r="F137" s="6" t="str">
        <f>IFERROR(__xludf.DUMMYFUNCTION("""COMPUTED_VALUE"""),"")</f>
        <v/>
      </c>
      <c r="G137" s="10" t="str">
        <f>IFERROR(__xludf.DUMMYFUNCTION("""COMPUTED_VALUE"""),"https://t.me/postypashki_mems/1373")</f>
        <v>https://t.me/postypashki_mems/1373</v>
      </c>
      <c r="H137" s="6" t="str">
        <f>IFERROR(__xludf.DUMMYFUNCTION("""COMPUTED_VALUE"""),"Осенний найм уже на старте!
Осенью запускаются стажировки, открываются вакансии и поэтому август — лучшее время для подготовки: понять, что спрашивают на отборах, оценить свой уровень и закрыть пробелы до начала учебы!
Поэтому не упусти финальную распро"&amp;"дажу курсов «СТАРТ» — любой курс всего за 6 490 ₽
➡Аналитика
➡Алгоритмы
➡Backend
➡Machine Learning
Почему сейчас лучшее время присоединиться:
✔️Гибкий старт: все лекции по техническим темам уже выложены и доступны — проходите в своём темпе, а куратор ос"&amp;"тается на связи и проверит дз и проекты.
✔️Карьерный блок: онлайн-семинарам по софтам. Напишете резюме, которое пройдет скрининг, даже если нет опыта, отработаете самопрезенатицию, пройдёте mock-собеседование с обратной связью.
✔️Закрытый банк вопросов с "&amp;"реальных интервью Яндекса, Т-Банка, Ozon, WB, Авито и других топ-компаний.
✔️Разбор текущего отбора на стажировок Яндекса.
✔️ Реферальная рекомендация в бигтех после успешной защиты пет-проекта.
Выгодное комбо:
➡️Алгоритмы + любой курс всего за 9 990 ₽⬅"&amp;"️
Берите Backend, ML или Аналитику и параллельно ботайте алгоритмы — они встречаются везде, без хороших алгосов не пройти отбор в хорошую компанию. 
🔊 Распродажа только 8-9 августа. 
Подробную программу смотрите на сайте
📌Для вопросов и записи на кур"&amp;"с напишите менеджеру")</f>
        <v>Осенний найм уже на старте!
Осенью запускаются стажировки, открываются вакансии и поэтому август — лучшее время для подготовки: понять, что спрашивают на отборах, оценить свой уровень и закрыть пробелы до начала учебы!
Поэтому не упусти финальную распродажу курсов «СТАРТ» — любой курс всего за 6 490 ₽
➡Аналитика
➡Алгоритмы
➡Backend
➡Machine Learning
Почему сейчас лучшее время присоединиться:
✔️Гибкий старт: все лекции по техническим темам уже выложены и доступны — проходите в своём темпе, а куратор остается на связи и проверит дз и проекты.
✔️Карьерный блок: онлайн-семинарам по софтам. Напишете резюме, которое пройдет скрининг, даже если нет опыта, отработаете самопрезенатицию, пройдёте mock-собеседование с обратной связью.
✔️Закрытый банк вопросов с реальных интервью Яндекса, Т-Банка, Ozon, WB, Авито и других топ-компаний.
✔️Разбор текущего отбора на стажировок Яндекса.
✔️ Реферальная рекомендация в бигтех после успешной защиты пет-проекта.
Выгодное комбо:
➡️Алгоритмы + любой курс всего за 9 990 ₽⬅️
Берите Backend, ML или Аналитику и параллельно ботайте алгоритмы — они встречаются везде, без хороших алгосов не пройти отбор в хорошую компанию. 
🔊 Распродажа только 8-9 августа. 
Подробную программу смотрите на сайте
📌Для вопросов и записи на курс напишите менеджеру</v>
      </c>
      <c r="I137" s="6" t="str">
        <f>IFERROR(__xludf.DUMMYFUNCTION("""COMPUTED_VALUE"""),"external")</f>
        <v>external</v>
      </c>
      <c r="J137" s="10" t="str">
        <f>IFERROR(__xludf.DUMMYFUNCTION("""COMPUTED_VALUE"""),"https://t.me/postypashki_mems/1373")</f>
        <v>https://t.me/postypashki_mems/1373</v>
      </c>
      <c r="K137" s="6">
        <f>IFERROR(__xludf.DUMMYFUNCTION("""COMPUTED_VALUE"""),1870.0)</f>
        <v>1870</v>
      </c>
      <c r="L137" s="6">
        <f>IFERROR(__xludf.DUMMYFUNCTION("""COMPUTED_VALUE"""),1.0)</f>
        <v>1</v>
      </c>
      <c r="M137" s="6"/>
      <c r="N137" s="6" t="str">
        <f>IFERROR(__xludf.DUMMYFUNCTION("""COMPUTED_VALUE"""),"Telegram")</f>
        <v>Telegram</v>
      </c>
      <c r="O137" s="6" t="str">
        <f>IFERROR(__xludf.DUMMYFUNCTION("""COMPUTED_VALUE"""),"raw")</f>
        <v>raw</v>
      </c>
      <c r="P137" s="6" t="str">
        <f>IFERROR(__xludf.DUMMYFUNCTION("""COMPUTED_VALUE"""),"Codex")</f>
        <v>Codex</v>
      </c>
      <c r="Q137" s="6" t="str">
        <f>IFERROR(__xludf.DUMMYFUNCTION("""COMPUTED_VALUE"""),"Общий контакт @vice22821; признак связи с проектом")</f>
        <v>Общий контакт @vice22821; признак связи с проектом</v>
      </c>
      <c r="R137" s="6" t="str">
        <f>IFERROR(__xludf.DUMMYFUNCTION("""COMPUTED_VALUE"""),"unknown")</f>
        <v>unknown</v>
      </c>
      <c r="S137" s="6" t="str">
        <f>IFERROR(__xludf.DUMMYFUNCTION("""COMPUTED_VALUE"""),"unknown")</f>
        <v>unknown</v>
      </c>
      <c r="T137" s="6" t="str">
        <f>IFERROR(__xludf.DUMMYFUNCTION("""COMPUTED_VALUE"""),"telegram_external")</f>
        <v>telegram_external</v>
      </c>
      <c r="U137" s="6" t="str">
        <f>IFERROR(__xludf.DUMMYFUNCTION("""COMPUTED_VALUE"""),"Промо со скидкой")</f>
        <v>Промо со скидкой</v>
      </c>
      <c r="V137" s="6" t="str">
        <f>IFERROR(__xludf.DUMMYFUNCTION("""COMPUTED_VALUE"""),"")</f>
        <v/>
      </c>
      <c r="W137" s="6" t="str">
        <f>IFERROR(__xludf.DUMMYFUNCTION("""COMPUTED_VALUE"""),"")</f>
        <v/>
      </c>
      <c r="X137" s="6" t="str">
        <f>IFERROR(__xludf.DUMMYFUNCTION("""COMPUTED_VALUE"""),"Forwarded from Поступашки - ШАД, Стажировки и Магистратура")</f>
        <v>Forwarded from Поступашки - ШАД, Стажировки и Магистратура</v>
      </c>
      <c r="Y137" s="6" t="str">
        <f>IFERROR(__xludf.DUMMYFUNCTION("""COMPUTED_VALUE"""),"https://t.me/postypashki_old/1835
https://old.postypashki.ru/%D0%BA%D0%B0%D1%80%D1%8C%D0%B5%D1%80%D0%BD%D1%8B%D0%B5-%D0%BA%D1%83%D1%80%D1%81%D1%8B/%D0%B0%D0%BD%D0%B0%D0%BB%D0%B8%D1%82%D0%B8%D0%BA%D0%B0-%D1%81%D1%82%D0%B0%D1%80%D1%82/
https://old.postypash"&amp;"ki.ru/%D0%BA%D0%B0%D1%80%D1%8C%D0%B5%D1%80%D0%BD%D1%8B%D0%B5-%D0%BA%D1%83%D1%80%D1%81%D1%8B/%D0%B0%D0%BB%D0%B3%D0%BE%D1%80%D0%B8%D1%82%D0%BC%D1%8B-%D1%81%D1%82%D0%B0%D1%80%D1%82/
https://old.postypashki.ru/%D0%BA%D0%B0%D1%80%D1%8C%D0%B5%D1%80%D0%BD%D1%8B%"&amp;"D0%B5-%D0%BA%D1%83%D1%80%D1%81%D1%8B/backend-%D1%81%D1%82%D0%B0%D1%80%D1%82/
https://old.postypashki.ru/%D0%BA%D0%B0%D1%80%D1%8C%D0%B5%D1%80%D0%BD%D1%8B%D0%B5-%D0%BA%D1%83%D1%80%D1%81%D1%8B/ml-%D1%81%D1%82%D0%B0%D1%80%D1%82/
https://t.me/postypashki_old/1"&amp;"833
https://old.postypashki.ru/%D0%BA%D0%B0%D1%80%D1%8C%D0%B5%D1%80%D0%BD%D1%8B%D0%B5-%D0%BA%D1%83%D1%80%D1%81%D1%8B/
https://t.me/m/p94YcePXNjcy")</f>
        <v>https://t.me/postypashki_old/1835
https://old.postypashki.ru/%D0%BA%D0%B0%D1%80%D1%8C%D0%B5%D1%80%D0%BD%D1%8B%D0%B5-%D0%BA%D1%83%D1%80%D1%81%D1%8B/%D0%B0%D0%BD%D0%B0%D0%BB%D0%B8%D1%82%D0%B8%D0%BA%D0%B0-%D1%81%D1%82%D0%B0%D1%80%D1%82/
https://old.postypashki.ru/%D0%BA%D0%B0%D1%80%D1%8C%D0%B5%D1%80%D0%BD%D1%8B%D0%B5-%D0%BA%D1%83%D1%80%D1%81%D1%8B/%D0%B0%D0%BB%D0%B3%D0%BE%D1%80%D0%B8%D1%82%D0%BC%D1%8B-%D1%81%D1%82%D0%B0%D1%80%D1%82/
https://old.postypashki.ru/%D0%BA%D0%B0%D1%80%D1%8C%D0%B5%D1%80%D0%BD%D1%8B%D0%B5-%D0%BA%D1%83%D1%80%D1%81%D1%8B/backend-%D1%81%D1%82%D0%B0%D1%80%D1%82/
https://old.postypashki.ru/%D0%BA%D0%B0%D1%80%D1%8C%D0%B5%D1%80%D0%BD%D1%8B%D0%B5-%D0%BA%D1%83%D1%80%D1%81%D1%8B/ml-%D1%81%D1%82%D0%B0%D1%80%D1%82/
https://t.me/postypashki_old/1833
https://old.postypashki.ru/%D0%BA%D0%B0%D1%80%D1%8C%D0%B5%D1%80%D0%BD%D1%8B%D0%B5-%D0%BA%D1%83%D1%80%D1%81%D1%8B/
https://t.me/m/p94YcePXNjcy</v>
      </c>
      <c r="Z137" s="6" t="b">
        <f>IFERROR(__xludf.DUMMYFUNCTION("""COMPUTED_VALUE"""),TRUE)</f>
        <v>1</v>
      </c>
      <c r="AA137" s="6" t="str">
        <f>IFERROR(__xludf.DUMMYFUNCTION("""COMPUTED_VALUE"""),"")</f>
        <v/>
      </c>
      <c r="AB137" s="6" t="str">
        <f>IFERROR(__xludf.DUMMYFUNCTION("""COMPUTED_VALUE"""),"")</f>
        <v/>
      </c>
      <c r="AC137" s="6" t="str">
        <f>IFERROR(__xludf.DUMMYFUNCTION("""COMPUTED_VALUE"""),"")</f>
        <v/>
      </c>
      <c r="AD137" s="6" t="str">
        <f>IFERROR(__xludf.DUMMYFUNCTION("""COMPUTED_VALUE"""),"")</f>
        <v/>
      </c>
      <c r="AE137" s="6" t="str">
        <f>IFERROR(__xludf.DUMMYFUNCTION("""COMPUTED_VALUE"""),"")</f>
        <v/>
      </c>
      <c r="AF137" s="6" t="str">
        <f>IFERROR(__xludf.DUMMYFUNCTION("""COMPUTED_VALUE"""),"Не подтверждено")</f>
        <v>Не подтверждено</v>
      </c>
      <c r="AG137" s="6" t="str">
        <f>IFERROR(__xludf.DUMMYFUNCTION("""COMPUTED_VALUE"""),"")</f>
        <v/>
      </c>
      <c r="AH137" s="6" t="str">
        <f>IFERROR(__xludf.DUMMYFUNCTION("""COMPUTED_VALUE"""),"2026-09-11T11:48:00.259598+00:00")</f>
        <v>2026-09-11T11:48:00.259598+00:00</v>
      </c>
      <c r="AI137" s="6" t="str">
        <f>IFERROR(__xludf.DUMMYFUNCTION("""COMPUTED_VALUE"""),"raw/postypashki_mems/page_002.html")</f>
        <v>raw/postypashki_mems/page_002.html</v>
      </c>
      <c r="AJ137" s="9" t="s">
        <v>223</v>
      </c>
      <c r="AK137" s="9" t="s">
        <v>213</v>
      </c>
      <c r="AL137" s="9" t="s">
        <v>250</v>
      </c>
      <c r="AM137" s="9" t="s">
        <v>237</v>
      </c>
      <c r="AN137" s="4" t="str">
        <f>IFERROR(__xludf.DUMMYFUNCTION("IF(OR(AJ137=""general_brand"",AJ137=""external"",AJ137=""unknown""),"""",IF(AJ137=""product_line"",IF(AK137=""START"",""Аналитика старт | Алгоритмы старт | Backend старт | ML старт"",IF(AK137=""PRO"",""AI-агенты про | Алгоритмы про | Аналитика про | ML пр"&amp;"о | Backend про"",IF(AK137=""START | PRO"",""Аналитика старт | Алгоритмы старт | Backend старт | ML старт | AI-агенты про | Алгоритмы про | Аналитика про | ML про | Backend про"",""""))),TEXTJOIN("" | "",TRUE,IF(REGEXMATCH(LOWER(AL137&amp;"" | ""&amp;E137),""анал"&amp;"итика старт""),""Аналитика старт"",""""),IF(REGEXMATCH(LOWER(AL137&amp;"" | ""&amp;E137),""алгоритмы старт""),""Алгоритмы старт"",""""),IF(REGEXMATCH(LOWER(AL137&amp;"" | ""&amp;E137),""backend старт""),""Backend старт"",""""),IF(REGEXMATCH(LOWER(AL137&amp;"" | ""&amp;E137),""ml"&amp;" старт""),""ML старт"",""""),IF(REGEXMATCH(LOWER(AL137&amp;"" | ""&amp;E137),""ai[ -]?агент""),""AI-агенты про"",""""),IF(REGEXMATCH(LOWER(AL137&amp;"" | ""&amp;E137),""алгоритмы про""),""Алгоритмы про"",""""),IF(REGEXMATCH(LOWER(AL137&amp;"" | ""&amp;E137),""аналитика про""),"""&amp;"Аналитика про"",""""),IF(REGEXMATCH(LOWER(AL137&amp;"" | ""&amp;E137),""ml про""),""ML про"",""""),IF(REGEXMATCH(LOWER(AL137&amp;"" | ""&amp;E137),""backend про""),""Backend про"",""""),IF(REGEXMATCH(LOWER(AL137&amp;"" | ""&amp;E137),""(а/в|ав|а в|ab)[ -]?тест""),""А/В-тесты"","&amp;"""""),IF(REGEXMATCH(LOWER(AL137&amp;"" | ""&amp;E137),""data science""),""Data science"",""""),IF(REGEXMATCH(LOWER(AL137&amp;"" | ""&amp;E137),""data[- ]?инжен""),""Data-инженер"",""""),IF(REGEXMATCH(LOWER(AL137&amp;"" | ""&amp;E137),""frontend""),""Frontend"",""""))))"),"Аналитика старт | Алгоритмы старт | Backend старт | ML старт")</f>
        <v>Аналитика старт | Алгоритмы старт | Backend старт | ML старт</v>
      </c>
    </row>
    <row r="138">
      <c r="A138" s="6" t="str">
        <f>IFERROR(__xludf.DUMMYFUNCTION("""COMPUTED_VALUE"""),"EXT-38")</f>
        <v>EXT-38</v>
      </c>
      <c r="B138" s="6" t="str">
        <f>IFERROR(__xludf.DUMMYFUNCTION("""COMPUTED_VALUE"""),"2026-08-08 15:29:40")</f>
        <v>2026-08-08 15:29:40</v>
      </c>
      <c r="C138" s="6" t="str">
        <f>IFERROR(__xludf.DUMMYFUNCTION("""COMPUTED_VALUE"""),"@zadachi_ds")</f>
        <v>@zadachi_ds</v>
      </c>
      <c r="D138" s="4" t="str">
        <f>IFERROR(__xludf.DUMMYFUNCTION("""COMPUTED_VALUE"""),"Промо со скидкой")</f>
        <v>Промо со скидкой</v>
      </c>
      <c r="E138" s="6" t="str">
        <f>IFERROR(__xludf.DUMMYFUNCTION("""COMPUTED_VALUE"""),"")</f>
        <v/>
      </c>
      <c r="F138" s="6" t="str">
        <f>IFERROR(__xludf.DUMMYFUNCTION("""COMPUTED_VALUE"""),"")</f>
        <v/>
      </c>
      <c r="G138" s="10" t="str">
        <f>IFERROR(__xludf.DUMMYFUNCTION("""COMPUTED_VALUE"""),"https://t.me/zadachi_ds/389")</f>
        <v>https://t.me/zadachi_ds/389</v>
      </c>
      <c r="H138" s="6" t="str">
        <f>IFERROR(__xludf.DUMMYFUNCTION("""COMPUTED_VALUE"""),"Почему без алгоритмов - ты первый кандидат на сокращение
Часто слышу от зумеров: ""Я же модели обучаю, зачем мне эти ваши Дейкстры и динамическое программирование?""
Сейчас разложу по полочкам, почему без алгоритмов ты - не ML-специалист, а пользователь "&amp;"sklearn и первый кандидат на сокращение.
Собеседование
В любую крупную российскую или зарубежную компанию (Яндекс, Т-банк, HFT, FAANG+) техсобес состоит из двух частей: ML-секция и алгоритмическая (лайв-кодинг).
Можно идеально отвечать про градиентный бу"&amp;"стинг и attention, но запороть банальную задачку на словари или графы и всё, до свидания. Твоё место в Алабуге.
ML - это не только fit и predict
Как только уходишь чуть дальше ноутбука, начинается:
• написание кастомных функций потерь и слоёв,
• эффектив"&amp;"ные пайплайны обработки данных,
• инференс в продакшене с жёсткими ограничениями по памяти и скорости.
Без понимания сложности, хеш-таблиц, деревьев и очередей ты либо закопаешь сервер, либо будешь ждать ответа три секунды. Пользователь ждать не будет. По"&amp;"нимание таких смежных вещей особенно важно в эпоху нейросетей, когда fit-predict может написать любой ChatGPT.
Структура мышления
Я раньше тоже думал, что это сказки бабушек типа ""математика ум в порядок приводит»"" но сейчас, проведя сотню+ собесов и п"&amp;"оменторив сотню джунов/стажеров, понимаю, что в этом реально что-то есть. По образу мысли сразу понятно, ботал ли человек алгоритмы или нет.
Всё-таки алгоритмы - это гимнастика для ума. Динамическое программирование учит разбивать задачу на подзадачи, гра"&amp;"фы - видеть скрытые зависимости, жадные алгоритмы - быстро оценивать компромиссы. Все эти навыки переносятся напрямую на дизайн ML-систем.
ML-дизайн и архитектура
На секции system design в топ-проектах любят копать вглубь: интервьюер хочет понять, шаришь"&amp;" ты или нет, потянешь или нет. Когда проектируешь рекомендательную систему или поиск, нужно понимать, как организовать индексы, как быстро искать ближайших соседей (ANN), как строить граф знаний, как шардировать данные.
Алгоритмы и структуры данных - это "&amp;"скелет, на котором держится вся ML-инфраструктура. Думайте.
Скорость разработки
Представь: тебе нужно найти топ-100 похожих товаров среди 10 миллионов за 50 мс.
Без знаний LSH, HNSW, KD-деревьев ты либо напишешь брутфорс (и ляжешь спать на часок), либо п"&amp;"росто не пройдёшь system design-интервью. Конечно, можно спросить у GPT, что тут придумать, но без понимания алгоритмов ты не сможешь критически оценить его решение и рискуешь уронить прод. Всё-таки GPT не панацея: он может решать учебные задачки про коня"&amp;" в вакууме, но на реальных задачах навалит кринжа, потому что банально не знает всей специфики твоей задачи.
Реальная задача
Помнишь тот кейс из X5 Digital: «Есть миллион заказов, надо в реальном времени пересчитывать матрицу цен доставки в зависимости о"&amp;"т загрузки» (https://t.me/zadachi_ds/388)? Да, там RL, но обёртка вся на алгоритмах: очереди, графы маршрутов, быстрое обновление Q-функции. Без алгоритмов модель даже не долетит до прода.
Короче 
Алгоритмы - это то, что отделяет реального ML-специалиста"&amp;", который будет расти и развиваться, от человека-функции, которого уже завтра заменят нейросети. Хочешь расти, развиваться и не остаться на помойке? Прокачивай фундамент, на котором всё строится. Для этого советую наш курс по алгоритмам, на который действ"&amp;"ует финальная скидка до конца выходных: 6 495 ₽. А если возьмёшь комбо: ML + алгоритмы, то тебя ждёт очень приятная цена: 9 900 ₽. ➡️ Записаться  
Подписаться: @zadachi_ds")</f>
        <v>Почему без алгоритмов - ты первый кандидат на сокращение
Часто слышу от зумеров: "Я же модели обучаю, зачем мне эти ваши Дейкстры и динамическое программирование?"
Сейчас разложу по полочкам, почему без алгоритмов ты - не ML-специалист, а пользователь sklearn и первый кандидат на сокращение.
Собеседование
В любую крупную российскую или зарубежную компанию (Яндекс, Т-банк, HFT, FAANG+) техсобес состоит из двух частей: ML-секция и алгоритмическая (лайв-кодинг).
Можно идеально отвечать про градиентный бустинг и attention, но запороть банальную задачку на словари или графы и всё, до свидания. Твоё место в Алабуге.
ML - это не только fit и predict
Как только уходишь чуть дальше ноутбука, начинается:
• написание кастомных функций потерь и слоёв,
• эффективные пайплайны обработки данных,
• инференс в продакшене с жёсткими ограничениями по памяти и скорости.
Без понимания сложности, хеш-таблиц, деревьев и очередей ты либо закопаешь сервер, либо будешь ждать ответа три секунды. Пользователь ждать не будет. Понимание таких смежных вещей особенно важно в эпоху нейросетей, когда fit-predict может написать любой ChatGPT.
Структура мышления
Я раньше тоже думал, что это сказки бабушек типа "математика ум в порядок приводит»" но сейчас, проведя сотню+ собесов и поменторив сотню джунов/стажеров, понимаю, что в этом реально что-то есть. По образу мысли сразу понятно, ботал ли человек алгоритмы или нет.
Всё-таки алгоритмы - это гимнастика для ума. Динамическое программирование учит разбивать задачу на подзадачи, графы - видеть скрытые зависимости, жадные алгоритмы - быстро оценивать компромиссы. Все эти навыки переносятся напрямую на дизайн ML-систем.
ML-дизайн и архитектура
На секции system design в топ-проектах любят копать вглубь: интервьюер хочет понять, шаришь ты или нет, потянешь или нет. Когда проектируешь рекомендательную систему или поиск, нужно понимать, как организовать индексы, как быстро искать ближайших соседей (ANN), как строить граф знаний, как шардировать данные.
Алгоритмы и структуры данных - это скелет, на котором держится вся ML-инфраструктура. Думайте.
Скорость разработки
Представь: тебе нужно найти топ-100 похожих товаров среди 10 миллионов за 50 мс.
Без знаний LSH, HNSW, KD-деревьев ты либо напишешь брутфорс (и ляжешь спать на часок), либо просто не пройдёшь system design-интервью. Конечно, можно спросить у GPT, что тут придумать, но без понимания алгоритмов ты не сможешь критически оценить его решение и рискуешь уронить прод. Всё-таки GPT не панацея: он может решать учебные задачки про коня в вакууме, но на реальных задачах навалит кринжа, потому что банально не знает всей специфики твоей задачи.
Реальная задача
Помнишь тот кейс из X5 Digital: «Есть миллион заказов, надо в реальном времени пересчитывать матрицу цен доставки в зависимости от загрузки» (https://t.me/zadachi_ds/388)? Да, там RL, но обёртка вся на алгоритмах: очереди, графы маршрутов, быстрое обновление Q-функции. Без алгоритмов модель даже не долетит до прода.
Короче 
Алгоритмы - это то, что отделяет реального ML-специалиста, который будет расти и развиваться, от человека-функции, которого уже завтра заменят нейросети. Хочешь расти, развиваться и не остаться на помойке? Прокачивай фундамент, на котором всё строится. Для этого советую наш курс по алгоритмам, на который действует финальная скидка до конца выходных: 6 495 ₽. А если возьмёшь комбо: ML + алгоритмы, то тебя ждёт очень приятная цена: 9 900 ₽. ➡️ Записаться  
Подписаться: @zadachi_ds</v>
      </c>
      <c r="I138" s="6" t="str">
        <f>IFERROR(__xludf.DUMMYFUNCTION("""COMPUTED_VALUE"""),"external")</f>
        <v>external</v>
      </c>
      <c r="J138" s="10" t="str">
        <f>IFERROR(__xludf.DUMMYFUNCTION("""COMPUTED_VALUE"""),"https://t.me/zadachi_ds/389")</f>
        <v>https://t.me/zadachi_ds/389</v>
      </c>
      <c r="K138" s="6">
        <f>IFERROR(__xludf.DUMMYFUNCTION("""COMPUTED_VALUE"""),4540.0)</f>
        <v>4540</v>
      </c>
      <c r="L138" s="6">
        <f>IFERROR(__xludf.DUMMYFUNCTION("""COMPUTED_VALUE"""),10.0)</f>
        <v>10</v>
      </c>
      <c r="M138" s="6"/>
      <c r="N138" s="6" t="str">
        <f>IFERROR(__xludf.DUMMYFUNCTION("""COMPUTED_VALUE"""),"Telegram")</f>
        <v>Telegram</v>
      </c>
      <c r="O138" s="6" t="str">
        <f>IFERROR(__xludf.DUMMYFUNCTION("""COMPUTED_VALUE"""),"raw")</f>
        <v>raw</v>
      </c>
      <c r="P138" s="6" t="str">
        <f>IFERROR(__xludf.DUMMYFUNCTION("""COMPUTED_VALUE"""),"Codex")</f>
        <v>Codex</v>
      </c>
      <c r="Q138" s="6" t="str">
        <f>IFERROR(__xludf.DUMMYFUNCTION("""COMPUTED_VALUE"""),"Общий контакт @vice22821; признак связи с проектом")</f>
        <v>Общий контакт @vice22821; признак связи с проектом</v>
      </c>
      <c r="R138" s="6" t="str">
        <f>IFERROR(__xludf.DUMMYFUNCTION("""COMPUTED_VALUE"""),"unknown")</f>
        <v>unknown</v>
      </c>
      <c r="S138" s="6" t="str">
        <f>IFERROR(__xludf.DUMMYFUNCTION("""COMPUTED_VALUE"""),"unknown")</f>
        <v>unknown</v>
      </c>
      <c r="T138" s="6" t="str">
        <f>IFERROR(__xludf.DUMMYFUNCTION("""COMPUTED_VALUE"""),"telegram_external")</f>
        <v>telegram_external</v>
      </c>
      <c r="U138" s="6" t="str">
        <f>IFERROR(__xludf.DUMMYFUNCTION("""COMPUTED_VALUE"""),"Промо со скидкой")</f>
        <v>Промо со скидкой</v>
      </c>
      <c r="V138" s="6" t="str">
        <f>IFERROR(__xludf.DUMMYFUNCTION("""COMPUTED_VALUE"""),"")</f>
        <v/>
      </c>
      <c r="W138" s="6" t="str">
        <f>IFERROR(__xludf.DUMMYFUNCTION("""COMPUTED_VALUE"""),"")</f>
        <v/>
      </c>
      <c r="X138" s="6"/>
      <c r="Y138" s="6" t="str">
        <f>IFERROR(__xludf.DUMMYFUNCTION("""COMPUTED_VALUE"""),"https://t.me/postypashki_old/1835
https://t.me/m/p94YcePXNjcy")</f>
        <v>https://t.me/postypashki_old/1835
https://t.me/m/p94YcePXNjcy</v>
      </c>
      <c r="Z138" s="6" t="b">
        <f>IFERROR(__xludf.DUMMYFUNCTION("""COMPUTED_VALUE"""),TRUE)</f>
        <v>1</v>
      </c>
      <c r="AA138" s="6" t="str">
        <f>IFERROR(__xludf.DUMMYFUNCTION("""COMPUTED_VALUE"""),"")</f>
        <v/>
      </c>
      <c r="AB138" s="6" t="str">
        <f>IFERROR(__xludf.DUMMYFUNCTION("""COMPUTED_VALUE"""),"")</f>
        <v/>
      </c>
      <c r="AC138" s="6" t="str">
        <f>IFERROR(__xludf.DUMMYFUNCTION("""COMPUTED_VALUE"""),"")</f>
        <v/>
      </c>
      <c r="AD138" s="6" t="str">
        <f>IFERROR(__xludf.DUMMYFUNCTION("""COMPUTED_VALUE"""),"")</f>
        <v/>
      </c>
      <c r="AE138" s="6" t="str">
        <f>IFERROR(__xludf.DUMMYFUNCTION("""COMPUTED_VALUE"""),"")</f>
        <v/>
      </c>
      <c r="AF138" s="6" t="str">
        <f>IFERROR(__xludf.DUMMYFUNCTION("""COMPUTED_VALUE"""),"Не подтверждено")</f>
        <v>Не подтверждено</v>
      </c>
      <c r="AG138" s="6" t="str">
        <f>IFERROR(__xludf.DUMMYFUNCTION("""COMPUTED_VALUE"""),"")</f>
        <v/>
      </c>
      <c r="AH138" s="6" t="str">
        <f>IFERROR(__xludf.DUMMYFUNCTION("""COMPUTED_VALUE"""),"2026-09-11T11:47:41.193466+00:00")</f>
        <v>2026-09-11T11:47:41.193466+00:00</v>
      </c>
      <c r="AI138" s="6" t="str">
        <f>IFERROR(__xludf.DUMMYFUNCTION("""COMPUTED_VALUE"""),"raw/zadachi_ds/page_001.html")</f>
        <v>raw/zadachi_ds/page_001.html</v>
      </c>
      <c r="AJ138" s="9" t="s">
        <v>223</v>
      </c>
      <c r="AK138" s="9" t="s">
        <v>213</v>
      </c>
      <c r="AL138" s="9" t="s">
        <v>253</v>
      </c>
      <c r="AM138" s="9" t="s">
        <v>235</v>
      </c>
      <c r="AN138" s="4" t="str">
        <f>IFERROR(__xludf.DUMMYFUNCTION("IF(OR(AJ138=""general_brand"",AJ138=""external"",AJ138=""unknown""),"""",IF(AJ138=""product_line"",IF(AK138=""START"",""Аналитика старт | Алгоритмы старт | Backend старт | ML старт"",IF(AK138=""PRO"",""AI-агенты про | Алгоритмы про | Аналитика про | ML пр"&amp;"о | Backend про"",IF(AK138=""START | PRO"",""Аналитика старт | Алгоритмы старт | Backend старт | ML старт | AI-агенты про | Алгоритмы про | Аналитика про | ML про | Backend про"",""""))),TEXTJOIN("" | "",TRUE,IF(REGEXMATCH(LOWER(AL138&amp;"" | ""&amp;E138),""анал"&amp;"итика старт""),""Аналитика старт"",""""),IF(REGEXMATCH(LOWER(AL138&amp;"" | ""&amp;E138),""алгоритмы старт""),""Алгоритмы старт"",""""),IF(REGEXMATCH(LOWER(AL138&amp;"" | ""&amp;E138),""backend старт""),""Backend старт"",""""),IF(REGEXMATCH(LOWER(AL138&amp;"" | ""&amp;E138),""ml"&amp;" старт""),""ML старт"",""""),IF(REGEXMATCH(LOWER(AL138&amp;"" | ""&amp;E138),""ai[ -]?агент""),""AI-агенты про"",""""),IF(REGEXMATCH(LOWER(AL138&amp;"" | ""&amp;E138),""алгоритмы про""),""Алгоритмы про"",""""),IF(REGEXMATCH(LOWER(AL138&amp;"" | ""&amp;E138),""аналитика про""),"""&amp;"Аналитика про"",""""),IF(REGEXMATCH(LOWER(AL138&amp;"" | ""&amp;E138),""ml про""),""ML про"",""""),IF(REGEXMATCH(LOWER(AL138&amp;"" | ""&amp;E138),""backend про""),""Backend про"",""""),IF(REGEXMATCH(LOWER(AL138&amp;"" | ""&amp;E138),""(а/в|ав|а в|ab)[ -]?тест""),""А/В-тесты"","&amp;"""""),IF(REGEXMATCH(LOWER(AL138&amp;"" | ""&amp;E138),""data science""),""Data science"",""""),IF(REGEXMATCH(LOWER(AL138&amp;"" | ""&amp;E138),""data[- ]?инжен""),""Data-инженер"",""""),IF(REGEXMATCH(LOWER(AL138&amp;"" | ""&amp;E138),""frontend""),""Frontend"",""""))))"),"Алгоритмы старт | ML старт")</f>
        <v>Алгоритмы старт | ML старт</v>
      </c>
    </row>
    <row r="139">
      <c r="A139" s="6" t="str">
        <f>IFERROR(__xludf.DUMMYFUNCTION("""COMPUTED_VALUE"""),"EXT-39")</f>
        <v>EXT-39</v>
      </c>
      <c r="B139" s="6" t="str">
        <f>IFERROR(__xludf.DUMMYFUNCTION("""COMPUTED_VALUE"""),"2026-08-09 13:55:52")</f>
        <v>2026-08-09 13:55:52</v>
      </c>
      <c r="C139" s="6" t="str">
        <f>IFERROR(__xludf.DUMMYFUNCTION("""COMPUTED_VALUE"""),"@ProdAnalysis")</f>
        <v>@ProdAnalysis</v>
      </c>
      <c r="D139" s="4" t="str">
        <f>IFERROR(__xludf.DUMMYFUNCTION("""COMPUTED_VALUE"""),"Промо со скидкой")</f>
        <v>Промо со скидкой</v>
      </c>
      <c r="E139" s="6" t="str">
        <f>IFERROR(__xludf.DUMMYFUNCTION("""COMPUTED_VALUE"""),"")</f>
        <v/>
      </c>
      <c r="F139" s="6" t="str">
        <f>IFERROR(__xludf.DUMMYFUNCTION("""COMPUTED_VALUE"""),"")</f>
        <v/>
      </c>
      <c r="G139" s="10" t="str">
        <f>IFERROR(__xludf.DUMMYFUNCTION("""COMPUTED_VALUE"""),"https://t.me/ProdAnalysis/148")</f>
        <v>https://t.me/ProdAnalysis/148</v>
      </c>
      <c r="H139" s="6" t="str">
        <f>IFERROR(__xludf.DUMMYFUNCTION("""COMPUTED_VALUE"""),"Дайджест вакансий для аналитиков 💵
Многие не знают, где искать вакансии, поэтому мы сделали это за вас. 
Наша первая подборка вакансий для аналитиков!
Здесь собраны актуальные вакансии на стажера/джуна в Озон, ВТБ, Т-Банк и тд. 
📌 АНАЛИТИКА
→ ВТБ — С"&amp;"тажёр в «Цифровые помощники»
→ Альфа-Банк — Стажёр в департамент продаж и развития малого и микробизнеса
→ Альфа-Банк — Стажёр в отдел разработки дебетовых продуктов
→ Ozon — Стажёр-аналитик в коммерцию
→ Ozon — Младший аналитик данных
→ Ozon — Стажёр про"&amp;"дуктовый аналитик, Производство Fulfillment
→ МТС — Стажёр Data Analyst Geo
→ Т-Банк - Младший продуктовый аналитик 
→ Магнит — Стажер-продуктовый аналитик (направление данных и метрик)
Перед откликом внимательно читайте требования и делайте так, чтобы в"&amp;"аш стек и опыт максимально подходил вакансии.
А если есть трудности с резюме, пониманием, как устроен отбор, то ждем вас на курсе аналитика СТАРТ (на них кст идет распродажа) - скоро как раз будут семинары про резюме, софты, поиск работы 🤑
Подписаться:"&amp;" @ProdAnalysis")</f>
        <v>Дайджест вакансий для аналитиков 💵
Многие не знают, где искать вакансии, поэтому мы сделали это за вас. 
Наша первая подборка вакансий для аналитиков!
Здесь собраны актуальные вакансии на стажера/джуна в Озон, ВТБ, Т-Банк и тд. 
📌 АНАЛИТИКА
→ ВТБ — Стажёр в «Цифровые помощники»
→ Альфа-Банк — Стажёр в департамент продаж и развития малого и микробизнеса
→ Альфа-Банк — Стажёр в отдел разработки дебетовых продуктов
→ Ozon — Стажёр-аналитик в коммерцию
→ Ozon — Младший аналитик данных
→ Ozon — Стажёр продуктовый аналитик, Производство Fulfillment
→ МТС — Стажёр Data Analyst Geo
→ Т-Банк - Младший продуктовый аналитик 
→ Магнит — Стажер-продуктовый аналитик (направление данных и метрик)
Перед откликом внимательно читайте требования и делайте так, чтобы ваш стек и опыт максимально подходил вакансии.
А если есть трудности с резюме, пониманием, как устроен отбор, то ждем вас на курсе аналитика СТАРТ (на них кст идет распродажа) - скоро как раз будут семинары про резюме, софты, поиск работы 🤑
Подписаться: @ProdAnalysis</v>
      </c>
      <c r="I139" s="6" t="str">
        <f>IFERROR(__xludf.DUMMYFUNCTION("""COMPUTED_VALUE"""),"external")</f>
        <v>external</v>
      </c>
      <c r="J139" s="10" t="str">
        <f>IFERROR(__xludf.DUMMYFUNCTION("""COMPUTED_VALUE"""),"https://t.me/ProdAnalysis/148")</f>
        <v>https://t.me/ProdAnalysis/148</v>
      </c>
      <c r="K139" s="6">
        <f>IFERROR(__xludf.DUMMYFUNCTION("""COMPUTED_VALUE"""),1500.0)</f>
        <v>1500</v>
      </c>
      <c r="L139" s="6">
        <f>IFERROR(__xludf.DUMMYFUNCTION("""COMPUTED_VALUE"""),5.0)</f>
        <v>5</v>
      </c>
      <c r="M139" s="6"/>
      <c r="N139" s="6" t="str">
        <f>IFERROR(__xludf.DUMMYFUNCTION("""COMPUTED_VALUE"""),"Telegram")</f>
        <v>Telegram</v>
      </c>
      <c r="O139" s="6" t="str">
        <f>IFERROR(__xludf.DUMMYFUNCTION("""COMPUTED_VALUE"""),"raw")</f>
        <v>raw</v>
      </c>
      <c r="P139" s="6" t="str">
        <f>IFERROR(__xludf.DUMMYFUNCTION("""COMPUTED_VALUE"""),"Codex")</f>
        <v>Codex</v>
      </c>
      <c r="Q139" s="6" t="str">
        <f>IFERROR(__xludf.DUMMYFUNCTION("""COMPUTED_VALUE"""),"Общий контакт @vice22821; признак связи с проектом")</f>
        <v>Общий контакт @vice22821; признак связи с проектом</v>
      </c>
      <c r="R139" s="6" t="str">
        <f>IFERROR(__xludf.DUMMYFUNCTION("""COMPUTED_VALUE"""),"unknown")</f>
        <v>unknown</v>
      </c>
      <c r="S139" s="6" t="str">
        <f>IFERROR(__xludf.DUMMYFUNCTION("""COMPUTED_VALUE"""),"unknown")</f>
        <v>unknown</v>
      </c>
      <c r="T139" s="6" t="str">
        <f>IFERROR(__xludf.DUMMYFUNCTION("""COMPUTED_VALUE"""),"telegram_external")</f>
        <v>telegram_external</v>
      </c>
      <c r="U139" s="6" t="str">
        <f>IFERROR(__xludf.DUMMYFUNCTION("""COMPUTED_VALUE"""),"Промо со скидкой")</f>
        <v>Промо со скидкой</v>
      </c>
      <c r="V139" s="6" t="str">
        <f>IFERROR(__xludf.DUMMYFUNCTION("""COMPUTED_VALUE"""),"")</f>
        <v/>
      </c>
      <c r="W139" s="6" t="str">
        <f>IFERROR(__xludf.DUMMYFUNCTION("""COMPUTED_VALUE"""),"")</f>
        <v/>
      </c>
      <c r="X139" s="6"/>
      <c r="Y139" s="10" t="str">
        <f>IFERROR(__xludf.DUMMYFUNCTION("""COMPUTED_VALUE"""),"https://t.me/postypashki_old/1835")</f>
        <v>https://t.me/postypashki_old/1835</v>
      </c>
      <c r="Z139" s="6" t="b">
        <f>IFERROR(__xludf.DUMMYFUNCTION("""COMPUTED_VALUE"""),TRUE)</f>
        <v>1</v>
      </c>
      <c r="AA139" s="6" t="str">
        <f>IFERROR(__xludf.DUMMYFUNCTION("""COMPUTED_VALUE"""),"")</f>
        <v/>
      </c>
      <c r="AB139" s="6" t="str">
        <f>IFERROR(__xludf.DUMMYFUNCTION("""COMPUTED_VALUE"""),"")</f>
        <v/>
      </c>
      <c r="AC139" s="6" t="str">
        <f>IFERROR(__xludf.DUMMYFUNCTION("""COMPUTED_VALUE"""),"")</f>
        <v/>
      </c>
      <c r="AD139" s="6" t="str">
        <f>IFERROR(__xludf.DUMMYFUNCTION("""COMPUTED_VALUE"""),"")</f>
        <v/>
      </c>
      <c r="AE139" s="6" t="str">
        <f>IFERROR(__xludf.DUMMYFUNCTION("""COMPUTED_VALUE"""),"")</f>
        <v/>
      </c>
      <c r="AF139" s="6" t="str">
        <f>IFERROR(__xludf.DUMMYFUNCTION("""COMPUTED_VALUE"""),"Не подтверждено")</f>
        <v>Не подтверждено</v>
      </c>
      <c r="AG139" s="6" t="str">
        <f>IFERROR(__xludf.DUMMYFUNCTION("""COMPUTED_VALUE"""),"")</f>
        <v/>
      </c>
      <c r="AH139" s="6" t="str">
        <f>IFERROR(__xludf.DUMMYFUNCTION("""COMPUTED_VALUE"""),"2026-09-11T11:47:35.971287+00:00")</f>
        <v>2026-09-11T11:47:35.971287+00:00</v>
      </c>
      <c r="AI139" s="6" t="str">
        <f>IFERROR(__xludf.DUMMYFUNCTION("""COMPUTED_VALUE"""),"raw/ProdAnalysis/page_001.html")</f>
        <v>raw/ProdAnalysis/page_001.html</v>
      </c>
      <c r="AJ139" s="9" t="s">
        <v>224</v>
      </c>
      <c r="AK139" s="9" t="s">
        <v>213</v>
      </c>
      <c r="AL139" s="9" t="s">
        <v>230</v>
      </c>
      <c r="AM139" s="9" t="s">
        <v>228</v>
      </c>
      <c r="AN139" s="4" t="str">
        <f>IFERROR(__xludf.DUMMYFUNCTION("IF(OR(AJ139=""general_brand"",AJ139=""external"",AJ139=""unknown""),"""",IF(AJ139=""product_line"",IF(AK139=""START"",""Аналитика старт | Алгоритмы старт | Backend старт | ML старт"",IF(AK139=""PRO"",""AI-агенты про | Алгоритмы про | Аналитика про | ML пр"&amp;"о | Backend про"",IF(AK139=""START | PRO"",""Аналитика старт | Алгоритмы старт | Backend старт | ML старт | AI-агенты про | Алгоритмы про | Аналитика про | ML про | Backend про"",""""))),TEXTJOIN("" | "",TRUE,IF(REGEXMATCH(LOWER(AL139&amp;"" | ""&amp;E139),""анал"&amp;"итика старт""),""Аналитика старт"",""""),IF(REGEXMATCH(LOWER(AL139&amp;"" | ""&amp;E139),""алгоритмы старт""),""Алгоритмы старт"",""""),IF(REGEXMATCH(LOWER(AL139&amp;"" | ""&amp;E139),""backend старт""),""Backend старт"",""""),IF(REGEXMATCH(LOWER(AL139&amp;"" | ""&amp;E139),""ml"&amp;" старт""),""ML старт"",""""),IF(REGEXMATCH(LOWER(AL139&amp;"" | ""&amp;E139),""ai[ -]?агент""),""AI-агенты про"",""""),IF(REGEXMATCH(LOWER(AL139&amp;"" | ""&amp;E139),""алгоритмы про""),""Алгоритмы про"",""""),IF(REGEXMATCH(LOWER(AL139&amp;"" | ""&amp;E139),""аналитика про""),"""&amp;"Аналитика про"",""""),IF(REGEXMATCH(LOWER(AL139&amp;"" | ""&amp;E139),""ml про""),""ML про"",""""),IF(REGEXMATCH(LOWER(AL139&amp;"" | ""&amp;E139),""backend про""),""Backend про"",""""),IF(REGEXMATCH(LOWER(AL139&amp;"" | ""&amp;E139),""(а/в|ав|а в|ab)[ -]?тест""),""А/В-тесты"","&amp;"""""),IF(REGEXMATCH(LOWER(AL139&amp;"" | ""&amp;E139),""data science""),""Data science"",""""),IF(REGEXMATCH(LOWER(AL139&amp;"" | ""&amp;E139),""data[- ]?инжен""),""Data-инженер"",""""),IF(REGEXMATCH(LOWER(AL139&amp;"" | ""&amp;E139),""frontend""),""Frontend"",""""))))"),"Аналитика старт")</f>
        <v>Аналитика старт</v>
      </c>
    </row>
    <row r="140">
      <c r="A140" s="6" t="str">
        <f>IFERROR(__xludf.DUMMYFUNCTION("""COMPUTED_VALUE"""),"EXT-40")</f>
        <v>EXT-40</v>
      </c>
      <c r="B140" s="6" t="str">
        <f>IFERROR(__xludf.DUMMYFUNCTION("""COMPUTED_VALUE"""),"2026-08-10 22:29:02")</f>
        <v>2026-08-10 22:29:02</v>
      </c>
      <c r="C140" s="6" t="str">
        <f>IFERROR(__xludf.DUMMYFUNCTION("""COMPUTED_VALUE"""),"@ProdAnalysis")</f>
        <v>@ProdAnalysis</v>
      </c>
      <c r="D140" s="4" t="str">
        <f>IFERROR(__xludf.DUMMYFUNCTION("""COMPUTED_VALUE"""),"Промо со скидкой")</f>
        <v>Промо со скидкой</v>
      </c>
      <c r="E140" s="6" t="str">
        <f>IFERROR(__xludf.DUMMYFUNCTION("""COMPUTED_VALUE"""),"")</f>
        <v/>
      </c>
      <c r="F140" s="6" t="str">
        <f>IFERROR(__xludf.DUMMYFUNCTION("""COMPUTED_VALUE"""),"")</f>
        <v/>
      </c>
      <c r="G140" s="10" t="str">
        <f>IFERROR(__xludf.DUMMYFUNCTION("""COMPUTED_VALUE"""),"https://t.me/ProdAnalysis/149")</f>
        <v>https://t.me/ProdAnalysis/149</v>
      </c>
      <c r="H140" s="6" t="str">
        <f>IFERROR(__xludf.DUMMYFUNCTION("""COMPUTED_VALUE"""),"У России три пути: 18+, ***** и IT
И кажется, у нас случился переход между карьерными треками…
Нам неважно, какой у человека бэкграунд и чем он занимался раньше. Важно, куда он хочет прийти и что готов для этого делать.
Наша студентка, Алина, решила кар"&amp;"динально сменить сферу, пришла на «СТАРТ» и теперь готовится к своей новой цели — получить оффер в Яндекс.
Можно следить за успехами и учиться вместе с Алиной. На наши курсы старт, идут финальные 4 часа скидки. 
➡️ Записаться")</f>
        <v>У России три пути: 18+, ***** и IT
И кажется, у нас случился переход между карьерными треками…
Нам неважно, какой у человека бэкграунд и чем он занимался раньше. Важно, куда он хочет прийти и что готов для этого делать.
Наша студентка, Алина, решила кардинально сменить сферу, пришла на «СТАРТ» и теперь готовится к своей новой цели — получить оффер в Яндекс.
Можно следить за успехами и учиться вместе с Алиной. На наши курсы старт, идут финальные 4 часа скидки. 
➡️ Записаться</v>
      </c>
      <c r="I140" s="6" t="str">
        <f>IFERROR(__xludf.DUMMYFUNCTION("""COMPUTED_VALUE"""),"external")</f>
        <v>external</v>
      </c>
      <c r="J140" s="10" t="str">
        <f>IFERROR(__xludf.DUMMYFUNCTION("""COMPUTED_VALUE"""),"https://t.me/ProdAnalysis/149")</f>
        <v>https://t.me/ProdAnalysis/149</v>
      </c>
      <c r="K140" s="6">
        <f>IFERROR(__xludf.DUMMYFUNCTION("""COMPUTED_VALUE"""),1130.0)</f>
        <v>1130</v>
      </c>
      <c r="L140" s="6"/>
      <c r="M140" s="6"/>
      <c r="N140" s="6" t="str">
        <f>IFERROR(__xludf.DUMMYFUNCTION("""COMPUTED_VALUE"""),"Telegram")</f>
        <v>Telegram</v>
      </c>
      <c r="O140" s="6" t="str">
        <f>IFERROR(__xludf.DUMMYFUNCTION("""COMPUTED_VALUE"""),"raw")</f>
        <v>raw</v>
      </c>
      <c r="P140" s="6" t="str">
        <f>IFERROR(__xludf.DUMMYFUNCTION("""COMPUTED_VALUE"""),"Codex")</f>
        <v>Codex</v>
      </c>
      <c r="Q140" s="6" t="str">
        <f>IFERROR(__xludf.DUMMYFUNCTION("""COMPUTED_VALUE"""),"Общий контакт @vice22821; признак связи с проектом")</f>
        <v>Общий контакт @vice22821; признак связи с проектом</v>
      </c>
      <c r="R140" s="6" t="str">
        <f>IFERROR(__xludf.DUMMYFUNCTION("""COMPUTED_VALUE"""),"unknown")</f>
        <v>unknown</v>
      </c>
      <c r="S140" s="6" t="str">
        <f>IFERROR(__xludf.DUMMYFUNCTION("""COMPUTED_VALUE"""),"unknown")</f>
        <v>unknown</v>
      </c>
      <c r="T140" s="6" t="str">
        <f>IFERROR(__xludf.DUMMYFUNCTION("""COMPUTED_VALUE"""),"telegram_external")</f>
        <v>telegram_external</v>
      </c>
      <c r="U140" s="6" t="str">
        <f>IFERROR(__xludf.DUMMYFUNCTION("""COMPUTED_VALUE"""),"Промо со скидкой")</f>
        <v>Промо со скидкой</v>
      </c>
      <c r="V140" s="6" t="str">
        <f>IFERROR(__xludf.DUMMYFUNCTION("""COMPUTED_VALUE"""),"")</f>
        <v/>
      </c>
      <c r="W140" s="6" t="str">
        <f>IFERROR(__xludf.DUMMYFUNCTION("""COMPUTED_VALUE"""),"")</f>
        <v/>
      </c>
      <c r="X140" s="6" t="str">
        <f>IFERROR(__xludf.DUMMYFUNCTION("""COMPUTED_VALUE"""),"Forwarded from Поступашки - ШАД, Стажировки и Магистратура")</f>
        <v>Forwarded from Поступашки - ШАД, Стажировки и Магистратура</v>
      </c>
      <c r="Y140" s="6" t="str">
        <f>IFERROR(__xludf.DUMMYFUNCTION("""COMPUTED_VALUE"""),"https://t.me/postypashki_old/1840
https://t.me/postypashki_old/1757
https://t.me/postypashki_old/1835
https://t.me/m/p94YcePXNjcy")</f>
        <v>https://t.me/postypashki_old/1840
https://t.me/postypashki_old/1757
https://t.me/postypashki_old/1835
https://t.me/m/p94YcePXNjcy</v>
      </c>
      <c r="Z140" s="6" t="b">
        <f>IFERROR(__xludf.DUMMYFUNCTION("""COMPUTED_VALUE"""),TRUE)</f>
        <v>1</v>
      </c>
      <c r="AA140" s="6" t="str">
        <f>IFERROR(__xludf.DUMMYFUNCTION("""COMPUTED_VALUE"""),"")</f>
        <v/>
      </c>
      <c r="AB140" s="6" t="str">
        <f>IFERROR(__xludf.DUMMYFUNCTION("""COMPUTED_VALUE"""),"")</f>
        <v/>
      </c>
      <c r="AC140" s="6" t="str">
        <f>IFERROR(__xludf.DUMMYFUNCTION("""COMPUTED_VALUE"""),"")</f>
        <v/>
      </c>
      <c r="AD140" s="6" t="str">
        <f>IFERROR(__xludf.DUMMYFUNCTION("""COMPUTED_VALUE"""),"")</f>
        <v/>
      </c>
      <c r="AE140" s="6" t="str">
        <f>IFERROR(__xludf.DUMMYFUNCTION("""COMPUTED_VALUE"""),"")</f>
        <v/>
      </c>
      <c r="AF140" s="6" t="str">
        <f>IFERROR(__xludf.DUMMYFUNCTION("""COMPUTED_VALUE"""),"Не подтверждено")</f>
        <v>Не подтверждено</v>
      </c>
      <c r="AG140" s="6" t="str">
        <f>IFERROR(__xludf.DUMMYFUNCTION("""COMPUTED_VALUE"""),"")</f>
        <v/>
      </c>
      <c r="AH140" s="6" t="str">
        <f>IFERROR(__xludf.DUMMYFUNCTION("""COMPUTED_VALUE"""),"2026-09-11T11:47:35.971287+00:00")</f>
        <v>2026-09-11T11:47:35.971287+00:00</v>
      </c>
      <c r="AI140" s="6" t="str">
        <f>IFERROR(__xludf.DUMMYFUNCTION("""COMPUTED_VALUE"""),"raw/ProdAnalysis/page_001.html")</f>
        <v>raw/ProdAnalysis/page_001.html</v>
      </c>
      <c r="AJ140" s="9" t="s">
        <v>167</v>
      </c>
      <c r="AK140" s="9" t="s">
        <v>213</v>
      </c>
      <c r="AM140" s="9" t="s">
        <v>219</v>
      </c>
      <c r="AN140" s="4" t="str">
        <f>IFERROR(__xludf.DUMMYFUNCTION("IF(OR(AJ140=""general_brand"",AJ140=""external"",AJ140=""unknown""),"""",IF(AJ140=""product_line"",IF(AK140=""START"",""Аналитика старт | Алгоритмы старт | Backend старт | ML старт"",IF(AK140=""PRO"",""AI-агенты про | Алгоритмы про | Аналитика про | ML пр"&amp;"о | Backend про"",IF(AK140=""START | PRO"",""Аналитика старт | Алгоритмы старт | Backend старт | ML старт | AI-агенты про | Алгоритмы про | Аналитика про | ML про | Backend про"",""""))),TEXTJOIN("" | "",TRUE,IF(REGEXMATCH(LOWER(AL140&amp;"" | ""&amp;E140),""анал"&amp;"итика старт""),""Аналитика старт"",""""),IF(REGEXMATCH(LOWER(AL140&amp;"" | ""&amp;E140),""алгоритмы старт""),""Алгоритмы старт"",""""),IF(REGEXMATCH(LOWER(AL140&amp;"" | ""&amp;E140),""backend старт""),""Backend старт"",""""),IF(REGEXMATCH(LOWER(AL140&amp;"" | ""&amp;E140),""ml"&amp;" старт""),""ML старт"",""""),IF(REGEXMATCH(LOWER(AL140&amp;"" | ""&amp;E140),""ai[ -]?агент""),""AI-агенты про"",""""),IF(REGEXMATCH(LOWER(AL140&amp;"" | ""&amp;E140),""алгоритмы про""),""Алгоритмы про"",""""),IF(REGEXMATCH(LOWER(AL140&amp;"" | ""&amp;E140),""аналитика про""),"""&amp;"Аналитика про"",""""),IF(REGEXMATCH(LOWER(AL140&amp;"" | ""&amp;E140),""ml про""),""ML про"",""""),IF(REGEXMATCH(LOWER(AL140&amp;"" | ""&amp;E140),""backend про""),""Backend про"",""""),IF(REGEXMATCH(LOWER(AL140&amp;"" | ""&amp;E140),""(а/в|ав|а в|ab)[ -]?тест""),""А/В-тесты"","&amp;"""""),IF(REGEXMATCH(LOWER(AL140&amp;"" | ""&amp;E140),""data science""),""Data science"",""""),IF(REGEXMATCH(LOWER(AL140&amp;"" | ""&amp;E140),""data[- ]?инжен""),""Data-инженер"",""""),IF(REGEXMATCH(LOWER(AL140&amp;"" | ""&amp;E140),""frontend""),""Frontend"",""""))))"),"Аналитика старт | Алгоритмы старт | Backend старт | ML старт")</f>
        <v>Аналитика старт | Алгоритмы старт | Backend старт | ML старт</v>
      </c>
    </row>
    <row r="141">
      <c r="A141" s="6" t="str">
        <f>IFERROR(__xludf.DUMMYFUNCTION("""COMPUTED_VALUE"""),"EXT-41")</f>
        <v>EXT-41</v>
      </c>
      <c r="B141" s="6" t="str">
        <f>IFERROR(__xludf.DUMMYFUNCTION("""COMPUTED_VALUE"""),"2026-08-10 22:29:02")</f>
        <v>2026-08-10 22:29:02</v>
      </c>
      <c r="C141" s="6" t="str">
        <f>IFERROR(__xludf.DUMMYFUNCTION("""COMPUTED_VALUE"""),"@ProdAnalysis")</f>
        <v>@ProdAnalysis</v>
      </c>
      <c r="D141" s="4" t="str">
        <f>IFERROR(__xludf.DUMMYFUNCTION("""COMPUTED_VALUE"""),"Прочий контент")</f>
        <v>Прочий контент</v>
      </c>
      <c r="E141" s="6" t="str">
        <f>IFERROR(__xludf.DUMMYFUNCTION("""COMPUTED_VALUE"""),"")</f>
        <v/>
      </c>
      <c r="F141" s="6" t="str">
        <f>IFERROR(__xludf.DUMMYFUNCTION("""COMPUTED_VALUE"""),"")</f>
        <v/>
      </c>
      <c r="G141" s="10" t="str">
        <f>IFERROR(__xludf.DUMMYFUNCTION("""COMPUTED_VALUE"""),"https://t.me/ProdAnalysis/150")</f>
        <v>https://t.me/ProdAnalysis/150</v>
      </c>
      <c r="H141" s="6"/>
      <c r="I141" s="6" t="str">
        <f>IFERROR(__xludf.DUMMYFUNCTION("""COMPUTED_VALUE"""),"external")</f>
        <v>external</v>
      </c>
      <c r="J141" s="10" t="str">
        <f>IFERROR(__xludf.DUMMYFUNCTION("""COMPUTED_VALUE"""),"https://t.me/ProdAnalysis/150")</f>
        <v>https://t.me/ProdAnalysis/150</v>
      </c>
      <c r="K141" s="6">
        <f>IFERROR(__xludf.DUMMYFUNCTION("""COMPUTED_VALUE"""),1160.0)</f>
        <v>1160</v>
      </c>
      <c r="L141" s="6">
        <f>IFERROR(__xludf.DUMMYFUNCTION("""COMPUTED_VALUE"""),10.0)</f>
        <v>10</v>
      </c>
      <c r="M141" s="6"/>
      <c r="N141" s="6" t="str">
        <f>IFERROR(__xludf.DUMMYFUNCTION("""COMPUTED_VALUE"""),"Telegram")</f>
        <v>Telegram</v>
      </c>
      <c r="O141" s="6" t="str">
        <f>IFERROR(__xludf.DUMMYFUNCTION("""COMPUTED_VALUE"""),"raw")</f>
        <v>raw</v>
      </c>
      <c r="P141" s="6" t="str">
        <f>IFERROR(__xludf.DUMMYFUNCTION("""COMPUTED_VALUE"""),"Codex")</f>
        <v>Codex</v>
      </c>
      <c r="Q141" s="6" t="str">
        <f>IFERROR(__xludf.DUMMYFUNCTION("""COMPUTED_VALUE"""),"Общий контакт @vice22821; признак связи с проектом")</f>
        <v>Общий контакт @vice22821; признак связи с проектом</v>
      </c>
      <c r="R141" s="6" t="str">
        <f>IFERROR(__xludf.DUMMYFUNCTION("""COMPUTED_VALUE"""),"unknown")</f>
        <v>unknown</v>
      </c>
      <c r="S141" s="6" t="str">
        <f>IFERROR(__xludf.DUMMYFUNCTION("""COMPUTED_VALUE"""),"unknown")</f>
        <v>unknown</v>
      </c>
      <c r="T141" s="6" t="str">
        <f>IFERROR(__xludf.DUMMYFUNCTION("""COMPUTED_VALUE"""),"telegram_external")</f>
        <v>telegram_external</v>
      </c>
      <c r="U141" s="6" t="str">
        <f>IFERROR(__xludf.DUMMYFUNCTION("""COMPUTED_VALUE"""),"Прочий контент")</f>
        <v>Прочий контент</v>
      </c>
      <c r="V141" s="6" t="str">
        <f>IFERROR(__xludf.DUMMYFUNCTION("""COMPUTED_VALUE"""),"")</f>
        <v/>
      </c>
      <c r="W141" s="6" t="str">
        <f>IFERROR(__xludf.DUMMYFUNCTION("""COMPUTED_VALUE"""),"")</f>
        <v/>
      </c>
      <c r="X141" s="6" t="str">
        <f>IFERROR(__xludf.DUMMYFUNCTION("""COMPUTED_VALUE"""),"Forwarded from Поступашки - ШАД, Стажировки и Магистратура")</f>
        <v>Forwarded from Поступашки - ШАД, Стажировки и Магистратура</v>
      </c>
      <c r="Y141" s="10" t="str">
        <f>IFERROR(__xludf.DUMMYFUNCTION("""COMPUTED_VALUE"""),"https://t.me/postypashki_old/1841")</f>
        <v>https://t.me/postypashki_old/1841</v>
      </c>
      <c r="Z141" s="6" t="b">
        <f>IFERROR(__xludf.DUMMYFUNCTION("""COMPUTED_VALUE"""),FALSE)</f>
        <v>0</v>
      </c>
      <c r="AA141" s="6" t="str">
        <f>IFERROR(__xludf.DUMMYFUNCTION("""COMPUTED_VALUE"""),"")</f>
        <v/>
      </c>
      <c r="AB141" s="6" t="str">
        <f>IFERROR(__xludf.DUMMYFUNCTION("""COMPUTED_VALUE"""),"")</f>
        <v/>
      </c>
      <c r="AC141" s="6" t="str">
        <f>IFERROR(__xludf.DUMMYFUNCTION("""COMPUTED_VALUE"""),"")</f>
        <v/>
      </c>
      <c r="AD141" s="6" t="str">
        <f>IFERROR(__xludf.DUMMYFUNCTION("""COMPUTED_VALUE"""),"")</f>
        <v/>
      </c>
      <c r="AE141" s="6" t="str">
        <f>IFERROR(__xludf.DUMMYFUNCTION("""COMPUTED_VALUE"""),"")</f>
        <v/>
      </c>
      <c r="AF141" s="6" t="str">
        <f>IFERROR(__xludf.DUMMYFUNCTION("""COMPUTED_VALUE"""),"Не подтверждено")</f>
        <v>Не подтверждено</v>
      </c>
      <c r="AG141" s="6" t="str">
        <f>IFERROR(__xludf.DUMMYFUNCTION("""COMPUTED_VALUE"""),"")</f>
        <v/>
      </c>
      <c r="AH141" s="6" t="str">
        <f>IFERROR(__xludf.DUMMYFUNCTION("""COMPUTED_VALUE"""),"2026-09-11T11:47:35.971287+00:00")</f>
        <v>2026-09-11T11:47:35.971287+00:00</v>
      </c>
      <c r="AI141" s="6" t="str">
        <f>IFERROR(__xludf.DUMMYFUNCTION("""COMPUTED_VALUE"""),"raw/ProdAnalysis/page_001.html")</f>
        <v>raw/ProdAnalysis/page_001.html</v>
      </c>
      <c r="AJ141" s="9" t="s">
        <v>208</v>
      </c>
      <c r="AM141" s="9" t="s">
        <v>229</v>
      </c>
      <c r="AN141" s="6" t="str">
        <f>IFERROR(__xludf.DUMMYFUNCTION("IF(OR(AJ141=""general_brand"",AJ141=""external"",AJ141=""unknown""),"""",IF(AJ141=""product_line"",IF(AK141=""START"",""Аналитика старт | Алгоритмы старт | Backend старт | ML старт"",IF(AK141=""PRO"",""AI-агенты про | Алгоритмы про | Аналитика про | ML пр"&amp;"о | Backend про"",IF(AK141=""START | PRO"",""Аналитика старт | Алгоритмы старт | Backend старт | ML старт | AI-агенты про | Алгоритмы про | Аналитика про | ML про | Backend про"",""""))),TEXTJOIN("" | "",TRUE,IF(REGEXMATCH(LOWER(AL141&amp;"" | ""&amp;E141),""анал"&amp;"итика старт""),""Аналитика старт"",""""),IF(REGEXMATCH(LOWER(AL141&amp;"" | ""&amp;E141),""алгоритмы старт""),""Алгоритмы старт"",""""),IF(REGEXMATCH(LOWER(AL141&amp;"" | ""&amp;E141),""backend старт""),""Backend старт"",""""),IF(REGEXMATCH(LOWER(AL141&amp;"" | ""&amp;E141),""ml"&amp;" старт""),""ML старт"",""""),IF(REGEXMATCH(LOWER(AL141&amp;"" | ""&amp;E141),""ai[ -]?агент""),""AI-агенты про"",""""),IF(REGEXMATCH(LOWER(AL141&amp;"" | ""&amp;E141),""алгоритмы про""),""Алгоритмы про"",""""),IF(REGEXMATCH(LOWER(AL141&amp;"" | ""&amp;E141),""аналитика про""),"""&amp;"Аналитика про"",""""),IF(REGEXMATCH(LOWER(AL141&amp;"" | ""&amp;E141),""ml про""),""ML про"",""""),IF(REGEXMATCH(LOWER(AL141&amp;"" | ""&amp;E141),""backend про""),""Backend про"",""""),IF(REGEXMATCH(LOWER(AL141&amp;"" | ""&amp;E141),""(а/в|ав|а в|ab)[ -]?тест""),""А/В-тесты"","&amp;"""""),IF(REGEXMATCH(LOWER(AL141&amp;"" | ""&amp;E141),""data science""),""Data science"",""""),IF(REGEXMATCH(LOWER(AL141&amp;"" | ""&amp;E141),""data[- ]?инжен""),""Data-инженер"",""""),IF(REGEXMATCH(LOWER(AL141&amp;"" | ""&amp;E141),""frontend""),""Frontend"",""""))))"),"")</f>
        <v/>
      </c>
    </row>
    <row r="142">
      <c r="A142" s="6" t="str">
        <f>IFERROR(__xludf.DUMMYFUNCTION("""COMPUTED_VALUE"""),"EXT-42")</f>
        <v>EXT-42</v>
      </c>
      <c r="B142" s="6" t="str">
        <f>IFERROR(__xludf.DUMMYFUNCTION("""COMPUTED_VALUE"""),"2026-08-10 18:01:31")</f>
        <v>2026-08-10 18:01:31</v>
      </c>
      <c r="C142" s="6" t="str">
        <f>IFERROR(__xludf.DUMMYFUNCTION("""COMPUTED_VALUE"""),"@algoses")</f>
        <v>@algoses</v>
      </c>
      <c r="D142" s="4" t="str">
        <f>IFERROR(__xludf.DUMMYFUNCTION("""COMPUTED_VALUE"""),"Промо со скидкой")</f>
        <v>Промо со скидкой</v>
      </c>
      <c r="E142" s="6" t="str">
        <f>IFERROR(__xludf.DUMMYFUNCTION("""COMPUTED_VALUE"""),"")</f>
        <v/>
      </c>
      <c r="F142" s="6" t="str">
        <f>IFERROR(__xludf.DUMMYFUNCTION("""COMPUTED_VALUE"""),"")</f>
        <v/>
      </c>
      <c r="G142" s="10" t="str">
        <f>IFERROR(__xludf.DUMMYFUNCTION("""COMPUTED_VALUE"""),"https://t.me/algoses/595")</f>
        <v>https://t.me/algoses/595</v>
      </c>
      <c r="H142" s="6" t="str">
        <f>IFERROR(__xludf.DUMMYFUNCTION("""COMPUTED_VALUE"""),"Нужны ли алгоритмы сейчас, в эпоху ИИ, на собесах
До 2025 года из каждого утюга вы слышали про эти ""алгособесы"". Любой отбор в школы, на стажировки или штатные позиции обязательно выглядел как школьная олимпиада по программированию. А основная подготов"&amp;"ка к выходу на работу заключалась в нарешивании Литкода.
Почему так происходило
Оценить весь огромный стек технологий за часовое собеседование - нереально. Почти любая рабочая задача в бигтехе, которая проверяет твой реальный уровень, занимает минимум не"&amp;"делю работы. Очевидно, в часовой формат такое не укладывается, поэтому для оценки кандидата пошли по иному пути:
1. рассказ про опыт и свои харды;
2. решение брейн-тизеров и алгоритмических задач.
По первому пункту кандидат, конечно, может обмануть, есл"&amp;"и хорошо проработает легенду. Но обычно таких ребят быстро ловят - им не хватает скиллов, чтобы придумать качественную и непротиворечивую историю. А вот вторым пунктом выступили алгоритмы, которые идеально подходят сразу для аналитики, ML и бэкенда. Во вс"&amp;"ех этих направлениях так или иначе присутствует написание кода, а алгоритмический аппарат дает незаменимый навык быстро рефакторить код и видеть его структуру.
А что сейчас
Некоторые компании отказались от отдельных алгособесов, но оставили задачки в дру"&amp;"гих секциях (livecoding). Однако в крупных бигтехах алгосекция все так же существует. Более того, в зарубежных вакансиях алгоритмические секции сейчас, наоборот, снова в тренде.
Чем обусловлен небольшой спад тренда? Компании перегрели кандидатов: на секц"&amp;"иях стали спрашивать слишком простые задачки, которые при хорошей подготовке никак не отражают объективно твое умение строить алгоритмы. По сути, их можно просто ""зарешать"" количеством, и на собесе ты решишь задачу не потому, что придумал решение, а пот"&amp;"ому что встречал похожую идею раньше.
Но альтернативу алгосам так и не придумали. Давать математический брейн-тизер бэкендеру странно, а усложнить алгозадачу до уровня, где нельзя натренировать типовые паттерны - перебор, ведь это лишь метод проверки мышл"&amp;"ения, спрашивать вкатуна систем дизайн- ту мач. 
Главный вывод.
Алгоритмический аппарат в эпоху LLM станет как никогда актуальным. Ваша задача на работе будет сводиться к тому, чтобы быстро валидировать код, написанный нейросеткой. Это значит, что вам ну"&amp;"жно моментально разбираться в чужом коде и видеть узкие места. Именно такие навыки и тренируют алгоритмические задачки.
Поэтому не стоит надеяться, что алгосы пропадут с рынка. В будущем это будет наиболее актуальный и надежный инструмент проверки твоего"&amp;" инженерного мышления.
Что с этим делать и как подготовиться
Если вы готовитесь к собеседованиям, важно понимать: алгоритмы - это не про запоминание 500 задач, а про тренировку шаблонов мышления. Чтобы решать задачи за 20 минут, нужно не заучивать код, а"&amp;" видеть структуру задачи сходу.
Но просто читать про это недостаточно. Чтобы выйти на алгособес уверенно, нужна системная практика с разбором реальных кейсов.
Если хотите оставаться в тренде IT-рынка и его жестких требований, советую наши курсы «Старт». "&amp;"У нас есть отдельный курс по алгоритмам, разбор реальных задач с собеседований в топ-компаниях и подходы, которые учат именно думать, а не зубрить.
Специально для подписчиков канала мы продлили финальные скидки на обучение на 24 часа. Если давно хотели п"&amp;"рокачать свой алгоритмический аппарат до уровня топ-компаний, сейчас лучший момент. Это последний шанс взять комбо: алгоритмы + любой курс по специальности по хорошей цене и уже осенью залутать оффер! 
➡️ Записаться
Подписаться: @algoses")</f>
        <v>Нужны ли алгоритмы сейчас, в эпоху ИИ, на собесах
До 2025 года из каждого утюга вы слышали про эти "алгособесы". Любой отбор в школы, на стажировки или штатные позиции обязательно выглядел как школьная олимпиада по программированию. А основная подготовка к выходу на работу заключалась в нарешивании Литкода.
Почему так происходило
Оценить весь огромный стек технологий за часовое собеседование - нереально. Почти любая рабочая задача в бигтехе, которая проверяет твой реальный уровень, занимает минимум неделю работы. Очевидно, в часовой формат такое не укладывается, поэтому для оценки кандидата пошли по иному пути:
1. рассказ про опыт и свои харды;
2. решение брейн-тизеров и алгоритмических задач.
По первому пункту кандидат, конечно, может обмануть, если хорошо проработает легенду. Но обычно таких ребят быстро ловят - им не хватает скиллов, чтобы придумать качественную и непротиворечивую историю. А вот вторым пунктом выступили алгоритмы, которые идеально подходят сразу для аналитики, ML и бэкенда. Во всех этих направлениях так или иначе присутствует написание кода, а алгоритмический аппарат дает незаменимый навык быстро рефакторить код и видеть его структуру.
А что сейчас
Некоторые компании отказались от отдельных алгособесов, но оставили задачки в других секциях (livecoding). Однако в крупных бигтехах алгосекция все так же существует. Более того, в зарубежных вакансиях алгоритмические секции сейчас, наоборот, снова в тренде.
Чем обусловлен небольшой спад тренда? Компании перегрели кандидатов: на секциях стали спрашивать слишком простые задачки, которые при хорошей подготовке никак не отражают объективно твое умение строить алгоритмы. По сути, их можно просто "зарешать" количеством, и на собесе ты решишь задачу не потому, что придумал решение, а потому что встречал похожую идею раньше.
Но альтернативу алгосам так и не придумали. Давать математический брейн-тизер бэкендеру странно, а усложнить алгозадачу до уровня, где нельзя натренировать типовые паттерны - перебор, ведь это лишь метод проверки мышления, спрашивать вкатуна систем дизайн- ту мач. 
Главный вывод.
Алгоритмический аппарат в эпоху LLM станет как никогда актуальным. Ваша задача на работе будет сводиться к тому, чтобы быстро валидировать код, написанный нейросеткой. Это значит, что вам нужно моментально разбираться в чужом коде и видеть узкие места. Именно такие навыки и тренируют алгоритмические задачки.
Поэтому не стоит надеяться, что алгосы пропадут с рынка. В будущем это будет наиболее актуальный и надежный инструмент проверки твоего инженерного мышления.
Что с этим делать и как подготовиться
Если вы готовитесь к собеседованиям, важно понимать: алгоритмы - это не про запоминание 500 задач, а про тренировку шаблонов мышления. Чтобы решать задачи за 20 минут, нужно не заучивать код, а видеть структуру задачи сходу.
Но просто читать про это недостаточно. Чтобы выйти на алгособес уверенно, нужна системная практика с разбором реальных кейсов.
Если хотите оставаться в тренде IT-рынка и его жестких требований, советую наши курсы «Старт». У нас есть отдельный курс по алгоритмам, разбор реальных задач с собеседований в топ-компаниях и подходы, которые учат именно думать, а не зубрить.
Специально для подписчиков канала мы продлили финальные скидки на обучение на 24 часа. Если давно хотели прокачать свой алгоритмический аппарат до уровня топ-компаний, сейчас лучший момент. Это последний шанс взять комбо: алгоритмы + любой курс по специальности по хорошей цене и уже осенью залутать оффер! 
➡️ Записаться
Подписаться: @algoses</v>
      </c>
      <c r="I142" s="6" t="str">
        <f>IFERROR(__xludf.DUMMYFUNCTION("""COMPUTED_VALUE"""),"external")</f>
        <v>external</v>
      </c>
      <c r="J142" s="10" t="str">
        <f>IFERROR(__xludf.DUMMYFUNCTION("""COMPUTED_VALUE"""),"https://t.me/algoses/595")</f>
        <v>https://t.me/algoses/595</v>
      </c>
      <c r="K142" s="6">
        <f>IFERROR(__xludf.DUMMYFUNCTION("""COMPUTED_VALUE"""),3750.0)</f>
        <v>3750</v>
      </c>
      <c r="L142" s="6">
        <f>IFERROR(__xludf.DUMMYFUNCTION("""COMPUTED_VALUE"""),2.0)</f>
        <v>2</v>
      </c>
      <c r="M142" s="6"/>
      <c r="N142" s="6" t="str">
        <f>IFERROR(__xludf.DUMMYFUNCTION("""COMPUTED_VALUE"""),"Telegram")</f>
        <v>Telegram</v>
      </c>
      <c r="O142" s="6" t="str">
        <f>IFERROR(__xludf.DUMMYFUNCTION("""COMPUTED_VALUE"""),"raw")</f>
        <v>raw</v>
      </c>
      <c r="P142" s="6" t="str">
        <f>IFERROR(__xludf.DUMMYFUNCTION("""COMPUTED_VALUE"""),"Codex")</f>
        <v>Codex</v>
      </c>
      <c r="Q142" s="6" t="str">
        <f>IFERROR(__xludf.DUMMYFUNCTION("""COMPUTED_VALUE"""),"Общий контакт @vice22821; признак связи с проектом")</f>
        <v>Общий контакт @vice22821; признак связи с проектом</v>
      </c>
      <c r="R142" s="6" t="str">
        <f>IFERROR(__xludf.DUMMYFUNCTION("""COMPUTED_VALUE"""),"unknown")</f>
        <v>unknown</v>
      </c>
      <c r="S142" s="6" t="str">
        <f>IFERROR(__xludf.DUMMYFUNCTION("""COMPUTED_VALUE"""),"unknown")</f>
        <v>unknown</v>
      </c>
      <c r="T142" s="6" t="str">
        <f>IFERROR(__xludf.DUMMYFUNCTION("""COMPUTED_VALUE"""),"telegram_external")</f>
        <v>telegram_external</v>
      </c>
      <c r="U142" s="6" t="str">
        <f>IFERROR(__xludf.DUMMYFUNCTION("""COMPUTED_VALUE"""),"Промо со скидкой")</f>
        <v>Промо со скидкой</v>
      </c>
      <c r="V142" s="6" t="str">
        <f>IFERROR(__xludf.DUMMYFUNCTION("""COMPUTED_VALUE"""),"")</f>
        <v/>
      </c>
      <c r="W142" s="6" t="str">
        <f>IFERROR(__xludf.DUMMYFUNCTION("""COMPUTED_VALUE"""),"")</f>
        <v/>
      </c>
      <c r="X142" s="6"/>
      <c r="Y142" s="6" t="str">
        <f>IFERROR(__xludf.DUMMYFUNCTION("""COMPUTED_VALUE"""),"https://t.me/postypashki_old/1757
https://t.me/postypashki_old/1835
https://t.me/m/p94YcePXNjcy")</f>
        <v>https://t.me/postypashki_old/1757
https://t.me/postypashki_old/1835
https://t.me/m/p94YcePXNjcy</v>
      </c>
      <c r="Z142" s="6" t="b">
        <f>IFERROR(__xludf.DUMMYFUNCTION("""COMPUTED_VALUE"""),TRUE)</f>
        <v>1</v>
      </c>
      <c r="AA142" s="6" t="str">
        <f>IFERROR(__xludf.DUMMYFUNCTION("""COMPUTED_VALUE"""),"")</f>
        <v/>
      </c>
      <c r="AB142" s="6" t="str">
        <f>IFERROR(__xludf.DUMMYFUNCTION("""COMPUTED_VALUE"""),"")</f>
        <v/>
      </c>
      <c r="AC142" s="6" t="str">
        <f>IFERROR(__xludf.DUMMYFUNCTION("""COMPUTED_VALUE"""),"")</f>
        <v/>
      </c>
      <c r="AD142" s="6" t="str">
        <f>IFERROR(__xludf.DUMMYFUNCTION("""COMPUTED_VALUE"""),"")</f>
        <v/>
      </c>
      <c r="AE142" s="6" t="str">
        <f>IFERROR(__xludf.DUMMYFUNCTION("""COMPUTED_VALUE"""),"")</f>
        <v/>
      </c>
      <c r="AF142" s="6" t="str">
        <f>IFERROR(__xludf.DUMMYFUNCTION("""COMPUTED_VALUE"""),"Не подтверждено")</f>
        <v>Не подтверждено</v>
      </c>
      <c r="AG142" s="6" t="str">
        <f>IFERROR(__xludf.DUMMYFUNCTION("""COMPUTED_VALUE"""),"")</f>
        <v/>
      </c>
      <c r="AH142" s="6" t="str">
        <f>IFERROR(__xludf.DUMMYFUNCTION("""COMPUTED_VALUE"""),"2026-09-11T11:47:45.461461+00:00")</f>
        <v>2026-09-11T11:47:45.461461+00:00</v>
      </c>
      <c r="AI142" s="6" t="str">
        <f>IFERROR(__xludf.DUMMYFUNCTION("""COMPUTED_VALUE"""),"raw/algoses/page_001.html")</f>
        <v>raw/algoses/page_001.html</v>
      </c>
      <c r="AJ142" s="9" t="s">
        <v>224</v>
      </c>
      <c r="AK142" s="9" t="s">
        <v>213</v>
      </c>
      <c r="AL142" s="9" t="s">
        <v>234</v>
      </c>
      <c r="AM142" s="9" t="s">
        <v>235</v>
      </c>
      <c r="AN142" s="4" t="str">
        <f>IFERROR(__xludf.DUMMYFUNCTION("IF(OR(AJ142=""general_brand"",AJ142=""external"",AJ142=""unknown""),"""",IF(AJ142=""product_line"",IF(AK142=""START"",""Аналитика старт | Алгоритмы старт | Backend старт | ML старт"",IF(AK142=""PRO"",""AI-агенты про | Алгоритмы про | Аналитика про | ML пр"&amp;"о | Backend про"",IF(AK142=""START | PRO"",""Аналитика старт | Алгоритмы старт | Backend старт | ML старт | AI-агенты про | Алгоритмы про | Аналитика про | ML про | Backend про"",""""))),TEXTJOIN("" | "",TRUE,IF(REGEXMATCH(LOWER(AL142&amp;"" | ""&amp;E142),""анал"&amp;"итика старт""),""Аналитика старт"",""""),IF(REGEXMATCH(LOWER(AL142&amp;"" | ""&amp;E142),""алгоритмы старт""),""Алгоритмы старт"",""""),IF(REGEXMATCH(LOWER(AL142&amp;"" | ""&amp;E142),""backend старт""),""Backend старт"",""""),IF(REGEXMATCH(LOWER(AL142&amp;"" | ""&amp;E142),""ml"&amp;" старт""),""ML старт"",""""),IF(REGEXMATCH(LOWER(AL142&amp;"" | ""&amp;E142),""ai[ -]?агент""),""AI-агенты про"",""""),IF(REGEXMATCH(LOWER(AL142&amp;"" | ""&amp;E142),""алгоритмы про""),""Алгоритмы про"",""""),IF(REGEXMATCH(LOWER(AL142&amp;"" | ""&amp;E142),""аналитика про""),"""&amp;"Аналитика про"",""""),IF(REGEXMATCH(LOWER(AL142&amp;"" | ""&amp;E142),""ml про""),""ML про"",""""),IF(REGEXMATCH(LOWER(AL142&amp;"" | ""&amp;E142),""backend про""),""Backend про"",""""),IF(REGEXMATCH(LOWER(AL142&amp;"" | ""&amp;E142),""(а/в|ав|а в|ab)[ -]?тест""),""А/В-тесты"","&amp;"""""),IF(REGEXMATCH(LOWER(AL142&amp;"" | ""&amp;E142),""data science""),""Data science"",""""),IF(REGEXMATCH(LOWER(AL142&amp;"" | ""&amp;E142),""data[- ]?инжен""),""Data-инженер"",""""),IF(REGEXMATCH(LOWER(AL142&amp;"" | ""&amp;E142),""frontend""),""Frontend"",""""))))"),"Алгоритмы старт")</f>
        <v>Алгоритмы старт</v>
      </c>
    </row>
    <row r="143">
      <c r="A143" s="6" t="str">
        <f>IFERROR(__xludf.DUMMYFUNCTION("""COMPUTED_VALUE"""),"EXT-43")</f>
        <v>EXT-43</v>
      </c>
      <c r="B143" s="6" t="str">
        <f>IFERROR(__xludf.DUMMYFUNCTION("""COMPUTED_VALUE"""),"2026-08-10 21:49:10")</f>
        <v>2026-08-10 21:49:10</v>
      </c>
      <c r="C143" s="6" t="str">
        <f>IFERROR(__xludf.DUMMYFUNCTION("""COMPUTED_VALUE"""),"@algoses")</f>
        <v>@algoses</v>
      </c>
      <c r="D143" s="4" t="str">
        <f>IFERROR(__xludf.DUMMYFUNCTION("""COMPUTED_VALUE"""),"Промо со скидкой")</f>
        <v>Промо со скидкой</v>
      </c>
      <c r="E143" s="6" t="str">
        <f>IFERROR(__xludf.DUMMYFUNCTION("""COMPUTED_VALUE"""),"")</f>
        <v/>
      </c>
      <c r="F143" s="6" t="str">
        <f>IFERROR(__xludf.DUMMYFUNCTION("""COMPUTED_VALUE"""),"")</f>
        <v/>
      </c>
      <c r="G143" s="10" t="str">
        <f>IFERROR(__xludf.DUMMYFUNCTION("""COMPUTED_VALUE"""),"https://t.me/algoses/596")</f>
        <v>https://t.me/algoses/596</v>
      </c>
      <c r="H143" s="6" t="str">
        <f>IFERROR(__xludf.DUMMYFUNCTION("""COMPUTED_VALUE"""),"У России три пути: 18+, ***** и IT
И кажется, у нас случился переход между карьерными треками…
Нам неважно, какой у человека бэкграунд и чем он занимался раньше. Важно, куда он хочет прийти и что готов для этого делать.
Наша студентка, Алина, решила кар"&amp;"динально сменить сферу, пришла на «СТАРТ» и теперь готовится к своей новой цели — получить оффер в Яндекс.
Можно следить за успехами и учиться вместе с Алиной. На наши курсы старт, идут финальные 4 часа скидки. 
➡️ Записаться")</f>
        <v>У России три пути: 18+, ***** и IT
И кажется, у нас случился переход между карьерными треками…
Нам неважно, какой у человека бэкграунд и чем он занимался раньше. Важно, куда он хочет прийти и что готов для этого делать.
Наша студентка, Алина, решила кардинально сменить сферу, пришла на «СТАРТ» и теперь готовится к своей новой цели — получить оффер в Яндекс.
Можно следить за успехами и учиться вместе с Алиной. На наши курсы старт, идут финальные 4 часа скидки. 
➡️ Записаться</v>
      </c>
      <c r="I143" s="6" t="str">
        <f>IFERROR(__xludf.DUMMYFUNCTION("""COMPUTED_VALUE"""),"external")</f>
        <v>external</v>
      </c>
      <c r="J143" s="10" t="str">
        <f>IFERROR(__xludf.DUMMYFUNCTION("""COMPUTED_VALUE"""),"https://t.me/algoses/596")</f>
        <v>https://t.me/algoses/596</v>
      </c>
      <c r="K143" s="6">
        <f>IFERROR(__xludf.DUMMYFUNCTION("""COMPUTED_VALUE"""),1060.0)</f>
        <v>1060</v>
      </c>
      <c r="L143" s="6"/>
      <c r="M143" s="6"/>
      <c r="N143" s="6" t="str">
        <f>IFERROR(__xludf.DUMMYFUNCTION("""COMPUTED_VALUE"""),"Telegram")</f>
        <v>Telegram</v>
      </c>
      <c r="O143" s="6" t="str">
        <f>IFERROR(__xludf.DUMMYFUNCTION("""COMPUTED_VALUE"""),"raw")</f>
        <v>raw</v>
      </c>
      <c r="P143" s="6" t="str">
        <f>IFERROR(__xludf.DUMMYFUNCTION("""COMPUTED_VALUE"""),"Codex")</f>
        <v>Codex</v>
      </c>
      <c r="Q143" s="6" t="str">
        <f>IFERROR(__xludf.DUMMYFUNCTION("""COMPUTED_VALUE"""),"Общий контакт @vice22821; признак связи с проектом")</f>
        <v>Общий контакт @vice22821; признак связи с проектом</v>
      </c>
      <c r="R143" s="6" t="str">
        <f>IFERROR(__xludf.DUMMYFUNCTION("""COMPUTED_VALUE"""),"unknown")</f>
        <v>unknown</v>
      </c>
      <c r="S143" s="6" t="str">
        <f>IFERROR(__xludf.DUMMYFUNCTION("""COMPUTED_VALUE"""),"unknown")</f>
        <v>unknown</v>
      </c>
      <c r="T143" s="6" t="str">
        <f>IFERROR(__xludf.DUMMYFUNCTION("""COMPUTED_VALUE"""),"telegram_external")</f>
        <v>telegram_external</v>
      </c>
      <c r="U143" s="6" t="str">
        <f>IFERROR(__xludf.DUMMYFUNCTION("""COMPUTED_VALUE"""),"Промо со скидкой")</f>
        <v>Промо со скидкой</v>
      </c>
      <c r="V143" s="6" t="str">
        <f>IFERROR(__xludf.DUMMYFUNCTION("""COMPUTED_VALUE"""),"")</f>
        <v/>
      </c>
      <c r="W143" s="6" t="str">
        <f>IFERROR(__xludf.DUMMYFUNCTION("""COMPUTED_VALUE"""),"")</f>
        <v/>
      </c>
      <c r="X143" s="6" t="str">
        <f>IFERROR(__xludf.DUMMYFUNCTION("""COMPUTED_VALUE"""),"Forwarded from Поступашки - ШАД, Стажировки и Магистратура")</f>
        <v>Forwarded from Поступашки - ШАД, Стажировки и Магистратура</v>
      </c>
      <c r="Y143" s="6" t="str">
        <f>IFERROR(__xludf.DUMMYFUNCTION("""COMPUTED_VALUE"""),"https://t.me/postypashki_old/1840
https://t.me/postypashki_old/1757
https://t.me/postypashki_old/1835
https://t.me/m/p94YcePXNjcy")</f>
        <v>https://t.me/postypashki_old/1840
https://t.me/postypashki_old/1757
https://t.me/postypashki_old/1835
https://t.me/m/p94YcePXNjcy</v>
      </c>
      <c r="Z143" s="6" t="b">
        <f>IFERROR(__xludf.DUMMYFUNCTION("""COMPUTED_VALUE"""),TRUE)</f>
        <v>1</v>
      </c>
      <c r="AA143" s="6" t="str">
        <f>IFERROR(__xludf.DUMMYFUNCTION("""COMPUTED_VALUE"""),"")</f>
        <v/>
      </c>
      <c r="AB143" s="6" t="str">
        <f>IFERROR(__xludf.DUMMYFUNCTION("""COMPUTED_VALUE"""),"")</f>
        <v/>
      </c>
      <c r="AC143" s="6" t="str">
        <f>IFERROR(__xludf.DUMMYFUNCTION("""COMPUTED_VALUE"""),"")</f>
        <v/>
      </c>
      <c r="AD143" s="6" t="str">
        <f>IFERROR(__xludf.DUMMYFUNCTION("""COMPUTED_VALUE"""),"")</f>
        <v/>
      </c>
      <c r="AE143" s="6" t="str">
        <f>IFERROR(__xludf.DUMMYFUNCTION("""COMPUTED_VALUE"""),"")</f>
        <v/>
      </c>
      <c r="AF143" s="6" t="str">
        <f>IFERROR(__xludf.DUMMYFUNCTION("""COMPUTED_VALUE"""),"Не подтверждено")</f>
        <v>Не подтверждено</v>
      </c>
      <c r="AG143" s="6" t="str">
        <f>IFERROR(__xludf.DUMMYFUNCTION("""COMPUTED_VALUE"""),"")</f>
        <v/>
      </c>
      <c r="AH143" s="6" t="str">
        <f>IFERROR(__xludf.DUMMYFUNCTION("""COMPUTED_VALUE"""),"2026-09-11T11:47:45.461461+00:00")</f>
        <v>2026-09-11T11:47:45.461461+00:00</v>
      </c>
      <c r="AI143" s="6" t="str">
        <f>IFERROR(__xludf.DUMMYFUNCTION("""COMPUTED_VALUE"""),"raw/algoses/page_001.html")</f>
        <v>raw/algoses/page_001.html</v>
      </c>
      <c r="AJ143" s="9" t="s">
        <v>167</v>
      </c>
      <c r="AK143" s="9" t="s">
        <v>213</v>
      </c>
      <c r="AM143" s="9" t="s">
        <v>219</v>
      </c>
      <c r="AN143" s="4" t="str">
        <f>IFERROR(__xludf.DUMMYFUNCTION("IF(OR(AJ143=""general_brand"",AJ143=""external"",AJ143=""unknown""),"""",IF(AJ143=""product_line"",IF(AK143=""START"",""Аналитика старт | Алгоритмы старт | Backend старт | ML старт"",IF(AK143=""PRO"",""AI-агенты про | Алгоритмы про | Аналитика про | ML пр"&amp;"о | Backend про"",IF(AK143=""START | PRO"",""Аналитика старт | Алгоритмы старт | Backend старт | ML старт | AI-агенты про | Алгоритмы про | Аналитика про | ML про | Backend про"",""""))),TEXTJOIN("" | "",TRUE,IF(REGEXMATCH(LOWER(AL143&amp;"" | ""&amp;E143),""анал"&amp;"итика старт""),""Аналитика старт"",""""),IF(REGEXMATCH(LOWER(AL143&amp;"" | ""&amp;E143),""алгоритмы старт""),""Алгоритмы старт"",""""),IF(REGEXMATCH(LOWER(AL143&amp;"" | ""&amp;E143),""backend старт""),""Backend старт"",""""),IF(REGEXMATCH(LOWER(AL143&amp;"" | ""&amp;E143),""ml"&amp;" старт""),""ML старт"",""""),IF(REGEXMATCH(LOWER(AL143&amp;"" | ""&amp;E143),""ai[ -]?агент""),""AI-агенты про"",""""),IF(REGEXMATCH(LOWER(AL143&amp;"" | ""&amp;E143),""алгоритмы про""),""Алгоритмы про"",""""),IF(REGEXMATCH(LOWER(AL143&amp;"" | ""&amp;E143),""аналитика про""),"""&amp;"Аналитика про"",""""),IF(REGEXMATCH(LOWER(AL143&amp;"" | ""&amp;E143),""ml про""),""ML про"",""""),IF(REGEXMATCH(LOWER(AL143&amp;"" | ""&amp;E143),""backend про""),""Backend про"",""""),IF(REGEXMATCH(LOWER(AL143&amp;"" | ""&amp;E143),""(а/в|ав|а в|ab)[ -]?тест""),""А/В-тесты"","&amp;"""""),IF(REGEXMATCH(LOWER(AL143&amp;"" | ""&amp;E143),""data science""),""Data science"",""""),IF(REGEXMATCH(LOWER(AL143&amp;"" | ""&amp;E143),""data[- ]?инжен""),""Data-инженер"",""""),IF(REGEXMATCH(LOWER(AL143&amp;"" | ""&amp;E143),""frontend""),""Frontend"",""""))))"),"Аналитика старт | Алгоритмы старт | Backend старт | ML старт")</f>
        <v>Аналитика старт | Алгоритмы старт | Backend старт | ML старт</v>
      </c>
    </row>
    <row r="144">
      <c r="A144" s="6" t="str">
        <f>IFERROR(__xludf.DUMMYFUNCTION("""COMPUTED_VALUE"""),"EXT-44")</f>
        <v>EXT-44</v>
      </c>
      <c r="B144" s="6" t="str">
        <f>IFERROR(__xludf.DUMMYFUNCTION("""COMPUTED_VALUE"""),"2026-08-10 21:49:10")</f>
        <v>2026-08-10 21:49:10</v>
      </c>
      <c r="C144" s="6" t="str">
        <f>IFERROR(__xludf.DUMMYFUNCTION("""COMPUTED_VALUE"""),"@algoses")</f>
        <v>@algoses</v>
      </c>
      <c r="D144" s="4" t="str">
        <f>IFERROR(__xludf.DUMMYFUNCTION("""COMPUTED_VALUE"""),"Прочий контент")</f>
        <v>Прочий контент</v>
      </c>
      <c r="E144" s="6" t="str">
        <f>IFERROR(__xludf.DUMMYFUNCTION("""COMPUTED_VALUE"""),"")</f>
        <v/>
      </c>
      <c r="F144" s="6" t="str">
        <f>IFERROR(__xludf.DUMMYFUNCTION("""COMPUTED_VALUE"""),"")</f>
        <v/>
      </c>
      <c r="G144" s="10" t="str">
        <f>IFERROR(__xludf.DUMMYFUNCTION("""COMPUTED_VALUE"""),"https://t.me/algoses/597")</f>
        <v>https://t.me/algoses/597</v>
      </c>
      <c r="H144" s="6"/>
      <c r="I144" s="6" t="str">
        <f>IFERROR(__xludf.DUMMYFUNCTION("""COMPUTED_VALUE"""),"external")</f>
        <v>external</v>
      </c>
      <c r="J144" s="10" t="str">
        <f>IFERROR(__xludf.DUMMYFUNCTION("""COMPUTED_VALUE"""),"https://t.me/algoses/597")</f>
        <v>https://t.me/algoses/597</v>
      </c>
      <c r="K144" s="6">
        <f>IFERROR(__xludf.DUMMYFUNCTION("""COMPUTED_VALUE"""),1050.0)</f>
        <v>1050</v>
      </c>
      <c r="L144" s="6">
        <f>IFERROR(__xludf.DUMMYFUNCTION("""COMPUTED_VALUE"""),21.0)</f>
        <v>21</v>
      </c>
      <c r="M144" s="6"/>
      <c r="N144" s="6" t="str">
        <f>IFERROR(__xludf.DUMMYFUNCTION("""COMPUTED_VALUE"""),"Telegram")</f>
        <v>Telegram</v>
      </c>
      <c r="O144" s="6" t="str">
        <f>IFERROR(__xludf.DUMMYFUNCTION("""COMPUTED_VALUE"""),"raw")</f>
        <v>raw</v>
      </c>
      <c r="P144" s="6" t="str">
        <f>IFERROR(__xludf.DUMMYFUNCTION("""COMPUTED_VALUE"""),"Codex")</f>
        <v>Codex</v>
      </c>
      <c r="Q144" s="6" t="str">
        <f>IFERROR(__xludf.DUMMYFUNCTION("""COMPUTED_VALUE"""),"Общий контакт @vice22821; признак связи с проектом")</f>
        <v>Общий контакт @vice22821; признак связи с проектом</v>
      </c>
      <c r="R144" s="6" t="str">
        <f>IFERROR(__xludf.DUMMYFUNCTION("""COMPUTED_VALUE"""),"unknown")</f>
        <v>unknown</v>
      </c>
      <c r="S144" s="6" t="str">
        <f>IFERROR(__xludf.DUMMYFUNCTION("""COMPUTED_VALUE"""),"unknown")</f>
        <v>unknown</v>
      </c>
      <c r="T144" s="6" t="str">
        <f>IFERROR(__xludf.DUMMYFUNCTION("""COMPUTED_VALUE"""),"telegram_external")</f>
        <v>telegram_external</v>
      </c>
      <c r="U144" s="6" t="str">
        <f>IFERROR(__xludf.DUMMYFUNCTION("""COMPUTED_VALUE"""),"Прочий контент")</f>
        <v>Прочий контент</v>
      </c>
      <c r="V144" s="6" t="str">
        <f>IFERROR(__xludf.DUMMYFUNCTION("""COMPUTED_VALUE"""),"")</f>
        <v/>
      </c>
      <c r="W144" s="6" t="str">
        <f>IFERROR(__xludf.DUMMYFUNCTION("""COMPUTED_VALUE"""),"")</f>
        <v/>
      </c>
      <c r="X144" s="6" t="str">
        <f>IFERROR(__xludf.DUMMYFUNCTION("""COMPUTED_VALUE"""),"Forwarded from Поступашки - ШАД, Стажировки и Магистратура")</f>
        <v>Forwarded from Поступашки - ШАД, Стажировки и Магистратура</v>
      </c>
      <c r="Y144" s="10" t="str">
        <f>IFERROR(__xludf.DUMMYFUNCTION("""COMPUTED_VALUE"""),"https://t.me/postypashki_old/1841")</f>
        <v>https://t.me/postypashki_old/1841</v>
      </c>
      <c r="Z144" s="6" t="b">
        <f>IFERROR(__xludf.DUMMYFUNCTION("""COMPUTED_VALUE"""),FALSE)</f>
        <v>0</v>
      </c>
      <c r="AA144" s="6" t="str">
        <f>IFERROR(__xludf.DUMMYFUNCTION("""COMPUTED_VALUE"""),"")</f>
        <v/>
      </c>
      <c r="AB144" s="6" t="str">
        <f>IFERROR(__xludf.DUMMYFUNCTION("""COMPUTED_VALUE"""),"")</f>
        <v/>
      </c>
      <c r="AC144" s="6" t="str">
        <f>IFERROR(__xludf.DUMMYFUNCTION("""COMPUTED_VALUE"""),"")</f>
        <v/>
      </c>
      <c r="AD144" s="6" t="str">
        <f>IFERROR(__xludf.DUMMYFUNCTION("""COMPUTED_VALUE"""),"")</f>
        <v/>
      </c>
      <c r="AE144" s="6" t="str">
        <f>IFERROR(__xludf.DUMMYFUNCTION("""COMPUTED_VALUE"""),"")</f>
        <v/>
      </c>
      <c r="AF144" s="6" t="str">
        <f>IFERROR(__xludf.DUMMYFUNCTION("""COMPUTED_VALUE"""),"Не подтверждено")</f>
        <v>Не подтверждено</v>
      </c>
      <c r="AG144" s="6" t="str">
        <f>IFERROR(__xludf.DUMMYFUNCTION("""COMPUTED_VALUE"""),"")</f>
        <v/>
      </c>
      <c r="AH144" s="6" t="str">
        <f>IFERROR(__xludf.DUMMYFUNCTION("""COMPUTED_VALUE"""),"2026-09-11T11:47:45.461461+00:00")</f>
        <v>2026-09-11T11:47:45.461461+00:00</v>
      </c>
      <c r="AI144" s="6" t="str">
        <f>IFERROR(__xludf.DUMMYFUNCTION("""COMPUTED_VALUE"""),"raw/algoses/page_001.html")</f>
        <v>raw/algoses/page_001.html</v>
      </c>
      <c r="AJ144" s="9" t="s">
        <v>208</v>
      </c>
      <c r="AM144" s="9" t="s">
        <v>229</v>
      </c>
      <c r="AN144" s="6" t="str">
        <f>IFERROR(__xludf.DUMMYFUNCTION("IF(OR(AJ144=""general_brand"",AJ144=""external"",AJ144=""unknown""),"""",IF(AJ144=""product_line"",IF(AK144=""START"",""Аналитика старт | Алгоритмы старт | Backend старт | ML старт"",IF(AK144=""PRO"",""AI-агенты про | Алгоритмы про | Аналитика про | ML пр"&amp;"о | Backend про"",IF(AK144=""START | PRO"",""Аналитика старт | Алгоритмы старт | Backend старт | ML старт | AI-агенты про | Алгоритмы про | Аналитика про | ML про | Backend про"",""""))),TEXTJOIN("" | "",TRUE,IF(REGEXMATCH(LOWER(AL144&amp;"" | ""&amp;E144),""анал"&amp;"итика старт""),""Аналитика старт"",""""),IF(REGEXMATCH(LOWER(AL144&amp;"" | ""&amp;E144),""алгоритмы старт""),""Алгоритмы старт"",""""),IF(REGEXMATCH(LOWER(AL144&amp;"" | ""&amp;E144),""backend старт""),""Backend старт"",""""),IF(REGEXMATCH(LOWER(AL144&amp;"" | ""&amp;E144),""ml"&amp;" старт""),""ML старт"",""""),IF(REGEXMATCH(LOWER(AL144&amp;"" | ""&amp;E144),""ai[ -]?агент""),""AI-агенты про"",""""),IF(REGEXMATCH(LOWER(AL144&amp;"" | ""&amp;E144),""алгоритмы про""),""Алгоритмы про"",""""),IF(REGEXMATCH(LOWER(AL144&amp;"" | ""&amp;E144),""аналитика про""),"""&amp;"Аналитика про"",""""),IF(REGEXMATCH(LOWER(AL144&amp;"" | ""&amp;E144),""ml про""),""ML про"",""""),IF(REGEXMATCH(LOWER(AL144&amp;"" | ""&amp;E144),""backend про""),""Backend про"",""""),IF(REGEXMATCH(LOWER(AL144&amp;"" | ""&amp;E144),""(а/в|ав|а в|ab)[ -]?тест""),""А/В-тесты"","&amp;"""""),IF(REGEXMATCH(LOWER(AL144&amp;"" | ""&amp;E144),""data science""),""Data science"",""""),IF(REGEXMATCH(LOWER(AL144&amp;"" | ""&amp;E144),""data[- ]?инжен""),""Data-инженер"",""""),IF(REGEXMATCH(LOWER(AL144&amp;"" | ""&amp;E144),""frontend""),""Frontend"",""""))))"),"")</f>
        <v/>
      </c>
    </row>
    <row r="145">
      <c r="A145" s="6" t="str">
        <f>IFERROR(__xludf.DUMMYFUNCTION("""COMPUTED_VALUE"""),"EXT-45")</f>
        <v>EXT-45</v>
      </c>
      <c r="B145" s="6" t="str">
        <f>IFERROR(__xludf.DUMMYFUNCTION("""COMPUTED_VALUE"""),"2026-08-10 18:50:40")</f>
        <v>2026-08-10 18:50:40</v>
      </c>
      <c r="C145" s="6" t="str">
        <f>IFERROR(__xludf.DUMMYFUNCTION("""COMPUTED_VALUE"""),"@chad_protocol")</f>
        <v>@chad_protocol</v>
      </c>
      <c r="D145" s="4" t="str">
        <f>IFERROR(__xludf.DUMMYFUNCTION("""COMPUTED_VALUE"""),"Промо со скидкой")</f>
        <v>Промо со скидкой</v>
      </c>
      <c r="E145" s="6" t="str">
        <f>IFERROR(__xludf.DUMMYFUNCTION("""COMPUTED_VALUE"""),"")</f>
        <v/>
      </c>
      <c r="F145" s="6" t="str">
        <f>IFERROR(__xludf.DUMMYFUNCTION("""COMPUTED_VALUE"""),"")</f>
        <v/>
      </c>
      <c r="G145" s="10" t="str">
        <f>IFERROR(__xludf.DUMMYFUNCTION("""COMPUTED_VALUE"""),"https://t.me/chad_protocol/512")</f>
        <v>https://t.me/chad_protocol/512</v>
      </c>
      <c r="H145" s="6" t="str">
        <f>IFERROR(__xludf.DUMMYFUNCTION("""COMPUTED_VALUE"""),"Кому сейчас проще найти работу в эпоху ИИ
Кто-то ловит офферы пачками за месяц, а кто-то и сидит без приглашений и не понимает, что происходит. Виной всему - не столько кризис, сколько влияние ИИ и перенасыщение рынка некоторыми специалистами. В этом пос"&amp;"те разложу ситуацию по каждой специальности, опираясь на реальные кейсы, и расскажу, за кем ИТ-компании сейчас охотятся по-настоящему, а кто рискует остаться за бортом эпохи ИИ.
ML-инженеры.
Традиционно горячая точка сейчас сосредоточена вокруг ML. Ажиот"&amp;"аж на рынке подогревает спрос настолько, что инженеров любого уровня (от мидлов до лидов) хантят напрямую. У моих коллег процесс от отклика до подписания оффера укладывается в 1-2 месяца.
Младшие грейды тоже чувствую себя хорошо, единственное порог входа "&amp;"повысился: год назад достаточно было знать классический мл и основы DL. Сейчас же нужно обладать представлениями о рекомендательных системах, динамическом ценообразовании, матчинге, nlp, cv, llm, систем дизайне - это базовый минимум. Конечно нужно обладат"&amp;"ь лишь представлениями, а не полноценным опытом работы. Также сейчас будет плюсом обладать представлениями об оркестрации, пайплайнах, а также аналитическом стеке (бизнесс метрики, АВ тесты). Все пытаются ответить на вопрос может ли специалист с нейросетя"&amp;"ми стать таким человеком-оркестром. 
DevOps и SRE.
Без комментариев. Инфраструктурщики - это реальный дефицит. В любой компании, которая хочет масштабироваться, эти ребята жизненно необходимы. Их буквально ""сметают"" с рынка, а время поиска работы часто"&amp;" измеряется не месяцами, а неделями.
Backend-разработчики.
Здесь все очень нестабильно. В моем окружении есть примеры, когда бэкендеры получали по 2–3 оффера в месяц. Но есть и те, кто застревает в поиске надолго. Здесь огромную роль играет конкретный ст"&amp;"ек, и единого тренда по всей сфере нет. Например, go-разработку накачали хайпом онлайн школы и менторы, обещая изи оффер на 400+ тыс за пару месяцев. По итогу приходится пробиваться через толпы вкатунов-накрутчиков. Аналогично с питон разработкой: очень м"&amp;"ного вкатунов, хоть и вакансий тоже много. Сам ожидаю, что на питон-разработку будет давление со стороны нейросетей. 
Специалисты по LLM и DS (классика).
Вакансий сейчас здесь не так много, как кажется, однако процесс трудоустройства часто проходит предс"&amp;"казуемо. Если вы проходите собеседование и подтверждаете свою квалификацию, оффер вам практически гарантирован. Выбор компаний небольшой, но они ценят сильных кандидатов.
Data-направление (Аналитики и DE)
Это самый тяжелый сегмент. Сегмент Data сейчас пе"&amp;"реживает эффект перенасыщения. Огромный наплыв соискателей: одни приходят из смежных ИТ-специальностей с опытом, другие - новички, которые хотят быстро вкатиться в случае аналитики или поверили в хайп больших данных в случае DE. Вдобавок, требования к DA "&amp;"и DE у разных компаний кардинально отличаются, и подготовиться ко всем вариациям собеседований непросто. 
Вообще все пытаются ответить на вопрос ""сможет ли допустим какой-нибудь аналитик найбкодить архитектуру?"". Если сможет, то рынок DE скукожится и в "&amp;"основном вакансии будут на ""сложные архитектуры"". У аналитиков пока тренд, что их пытаются соответственно перебросить на ""гибридные задачи"": навайбкодить архитектуру, поделать задачи Data Scientistа и так далее. Вакансий дата-аналитика и продуктового "&amp;"аналитика в традиционном понимании сейчас мало. 
Frontend, QA, Business/System Analysts
Мне кажется, это самая жестокая реальность. Рынок здесь перегрет кандидатами настолько, что решение о найме часто принимается ""на глаз"" и похоже на лотерею. С учето"&amp;"м активного внедрения ИИ, базовые задачи этих специалистов уже начинают упраздняться или выполняться автоматикой, что только усугубляет ситуацию.
Если хотите оставаться в тренде айти рынка и его требований, то советую наши курсы старт, на который мы прод"&amp;"лили финальные скидки на 24 часа. 
➡️ Записаться
Подписаться: @chad_protocol")</f>
        <v>Кому сейчас проще найти работу в эпоху ИИ
Кто-то ловит офферы пачками за месяц, а кто-то и сидит без приглашений и не понимает, что происходит. Виной всему - не столько кризис, сколько влияние ИИ и перенасыщение рынка некоторыми специалистами. В этом посте разложу ситуацию по каждой специальности, опираясь на реальные кейсы, и расскажу, за кем ИТ-компании сейчас охотятся по-настоящему, а кто рискует остаться за бортом эпохи ИИ.
ML-инженеры.
Традиционно горячая точка сейчас сосредоточена вокруг ML. Ажиотаж на рынке подогревает спрос настолько, что инженеров любого уровня (от мидлов до лидов) хантят напрямую. У моих коллег процесс от отклика до подписания оффера укладывается в 1-2 месяца.
Младшие грейды тоже чувствую себя хорошо, единственное порог входа повысился: год назад достаточно было знать классический мл и основы DL. Сейчас же нужно обладать представлениями о рекомендательных системах, динамическом ценообразовании, матчинге, nlp, cv, llm, систем дизайне - это базовый минимум. Конечно нужно обладать лишь представлениями, а не полноценным опытом работы. Также сейчас будет плюсом обладать представлениями об оркестрации, пайплайнах, а также аналитическом стеке (бизнесс метрики, АВ тесты). Все пытаются ответить на вопрос может ли специалист с нейросетями стать таким человеком-оркестром. 
DevOps и SRE.
Без комментариев. Инфраструктурщики - это реальный дефицит. В любой компании, которая хочет масштабироваться, эти ребята жизненно необходимы. Их буквально "сметают" с рынка, а время поиска работы часто измеряется не месяцами, а неделями.
Backend-разработчики.
Здесь все очень нестабильно. В моем окружении есть примеры, когда бэкендеры получали по 2–3 оффера в месяц. Но есть и те, кто застревает в поиске надолго. Здесь огромную роль играет конкретный стек, и единого тренда по всей сфере нет. Например, go-разработку накачали хайпом онлайн школы и менторы, обещая изи оффер на 400+ тыс за пару месяцев. По итогу приходится пробиваться через толпы вкатунов-накрутчиков. Аналогично с питон разработкой: очень много вкатунов, хоть и вакансий тоже много. Сам ожидаю, что на питон-разработку будет давление со стороны нейросетей. 
Специалисты по LLM и DS (классика).
Вакансий сейчас здесь не так много, как кажется, однако процесс трудоустройства часто проходит предсказуемо. Если вы проходите собеседование и подтверждаете свою квалификацию, оффер вам практически гарантирован. Выбор компаний небольшой, но они ценят сильных кандидатов.
Data-направление (Аналитики и DE)
Это самый тяжелый сегмент. Сегмент Data сейчас переживает эффект перенасыщения. Огромный наплыв соискателей: одни приходят из смежных ИТ-специальностей с опытом, другие - новички, которые хотят быстро вкатиться в случае аналитики или поверили в хайп больших данных в случае DE. Вдобавок, требования к DA и DE у разных компаний кардинально отличаются, и подготовиться ко всем вариациям собеседований непросто. 
Вообще все пытаются ответить на вопрос "сможет ли допустим какой-нибудь аналитик найбкодить архитектуру?". Если сможет, то рынок DE скукожится и в основном вакансии будут на "сложные архитектуры". У аналитиков пока тренд, что их пытаются соответственно перебросить на "гибридные задачи": навайбкодить архитектуру, поделать задачи Data Scientistа и так далее. Вакансий дата-аналитика и продуктового аналитика в традиционном понимании сейчас мало. 
Frontend, QA, Business/System Analysts
Мне кажется, это самая жестокая реальность. Рынок здесь перегрет кандидатами настолько, что решение о найме часто принимается "на глаз" и похоже на лотерею. С учетом активного внедрения ИИ, базовые задачи этих специалистов уже начинают упраздняться или выполняться автоматикой, что только усугубляет ситуацию.
Если хотите оставаться в тренде айти рынка и его требований, то советую наши курсы старт, на который мы продлили финальные скидки на 24 часа. 
➡️ Записаться
Подписаться: @chad_protocol</v>
      </c>
      <c r="I145" s="6" t="str">
        <f>IFERROR(__xludf.DUMMYFUNCTION("""COMPUTED_VALUE"""),"external")</f>
        <v>external</v>
      </c>
      <c r="J145" s="10" t="str">
        <f>IFERROR(__xludf.DUMMYFUNCTION("""COMPUTED_VALUE"""),"https://t.me/chad_protocol/512")</f>
        <v>https://t.me/chad_protocol/512</v>
      </c>
      <c r="K145" s="6">
        <f>IFERROR(__xludf.DUMMYFUNCTION("""COMPUTED_VALUE"""),6630.0)</f>
        <v>6630</v>
      </c>
      <c r="L145" s="6">
        <f>IFERROR(__xludf.DUMMYFUNCTION("""COMPUTED_VALUE"""),13.0)</f>
        <v>13</v>
      </c>
      <c r="M145" s="6"/>
      <c r="N145" s="6" t="str">
        <f>IFERROR(__xludf.DUMMYFUNCTION("""COMPUTED_VALUE"""),"Telegram")</f>
        <v>Telegram</v>
      </c>
      <c r="O145" s="6" t="str">
        <f>IFERROR(__xludf.DUMMYFUNCTION("""COMPUTED_VALUE"""),"raw")</f>
        <v>raw</v>
      </c>
      <c r="P145" s="6" t="str">
        <f>IFERROR(__xludf.DUMMYFUNCTION("""COMPUTED_VALUE"""),"Codex")</f>
        <v>Codex</v>
      </c>
      <c r="Q145" s="6" t="str">
        <f>IFERROR(__xludf.DUMMYFUNCTION("""COMPUTED_VALUE"""),"Общий контакт @vice22821; признак связи с проектом")</f>
        <v>Общий контакт @vice22821; признак связи с проектом</v>
      </c>
      <c r="R145" s="6" t="str">
        <f>IFERROR(__xludf.DUMMYFUNCTION("""COMPUTED_VALUE"""),"unknown")</f>
        <v>unknown</v>
      </c>
      <c r="S145" s="6" t="str">
        <f>IFERROR(__xludf.DUMMYFUNCTION("""COMPUTED_VALUE"""),"unknown")</f>
        <v>unknown</v>
      </c>
      <c r="T145" s="6" t="str">
        <f>IFERROR(__xludf.DUMMYFUNCTION("""COMPUTED_VALUE"""),"telegram_external")</f>
        <v>telegram_external</v>
      </c>
      <c r="U145" s="6" t="str">
        <f>IFERROR(__xludf.DUMMYFUNCTION("""COMPUTED_VALUE"""),"Промо со скидкой")</f>
        <v>Промо со скидкой</v>
      </c>
      <c r="V145" s="6" t="str">
        <f>IFERROR(__xludf.DUMMYFUNCTION("""COMPUTED_VALUE"""),"")</f>
        <v/>
      </c>
      <c r="W145" s="6" t="str">
        <f>IFERROR(__xludf.DUMMYFUNCTION("""COMPUTED_VALUE"""),"")</f>
        <v/>
      </c>
      <c r="X145" s="6"/>
      <c r="Y145" s="6" t="str">
        <f>IFERROR(__xludf.DUMMYFUNCTION("""COMPUTED_VALUE"""),"https://t.me/postypashki_old/1757
https://t.me/postypashki_old/1835
https://t.me/m/p94YcePXNjcy")</f>
        <v>https://t.me/postypashki_old/1757
https://t.me/postypashki_old/1835
https://t.me/m/p94YcePXNjcy</v>
      </c>
      <c r="Z145" s="6" t="b">
        <f>IFERROR(__xludf.DUMMYFUNCTION("""COMPUTED_VALUE"""),TRUE)</f>
        <v>1</v>
      </c>
      <c r="AA145" s="6" t="str">
        <f>IFERROR(__xludf.DUMMYFUNCTION("""COMPUTED_VALUE"""),"")</f>
        <v/>
      </c>
      <c r="AB145" s="6" t="str">
        <f>IFERROR(__xludf.DUMMYFUNCTION("""COMPUTED_VALUE"""),"")</f>
        <v/>
      </c>
      <c r="AC145" s="6" t="str">
        <f>IFERROR(__xludf.DUMMYFUNCTION("""COMPUTED_VALUE"""),"")</f>
        <v/>
      </c>
      <c r="AD145" s="6" t="str">
        <f>IFERROR(__xludf.DUMMYFUNCTION("""COMPUTED_VALUE"""),"")</f>
        <v/>
      </c>
      <c r="AE145" s="6" t="str">
        <f>IFERROR(__xludf.DUMMYFUNCTION("""COMPUTED_VALUE"""),"")</f>
        <v/>
      </c>
      <c r="AF145" s="6" t="str">
        <f>IFERROR(__xludf.DUMMYFUNCTION("""COMPUTED_VALUE"""),"Не подтверждено")</f>
        <v>Не подтверждено</v>
      </c>
      <c r="AG145" s="6" t="str">
        <f>IFERROR(__xludf.DUMMYFUNCTION("""COMPUTED_VALUE"""),"")</f>
        <v/>
      </c>
      <c r="AH145" s="6" t="str">
        <f>IFERROR(__xludf.DUMMYFUNCTION("""COMPUTED_VALUE"""),"2026-09-11T11:47:52.658878+00:00")</f>
        <v>2026-09-11T11:47:52.658878+00:00</v>
      </c>
      <c r="AI145" s="6" t="str">
        <f>IFERROR(__xludf.DUMMYFUNCTION("""COMPUTED_VALUE"""),"raw/chad_protocol/page_001.html")</f>
        <v>raw/chad_protocol/page_001.html</v>
      </c>
      <c r="AJ145" s="9" t="s">
        <v>167</v>
      </c>
      <c r="AK145" s="9" t="s">
        <v>213</v>
      </c>
      <c r="AM145" s="9" t="s">
        <v>219</v>
      </c>
      <c r="AN145" s="4" t="str">
        <f>IFERROR(__xludf.DUMMYFUNCTION("IF(OR(AJ145=""general_brand"",AJ145=""external"",AJ145=""unknown""),"""",IF(AJ145=""product_line"",IF(AK145=""START"",""Аналитика старт | Алгоритмы старт | Backend старт | ML старт"",IF(AK145=""PRO"",""AI-агенты про | Алгоритмы про | Аналитика про | ML пр"&amp;"о | Backend про"",IF(AK145=""START | PRO"",""Аналитика старт | Алгоритмы старт | Backend старт | ML старт | AI-агенты про | Алгоритмы про | Аналитика про | ML про | Backend про"",""""))),TEXTJOIN("" | "",TRUE,IF(REGEXMATCH(LOWER(AL145&amp;"" | ""&amp;E145),""анал"&amp;"итика старт""),""Аналитика старт"",""""),IF(REGEXMATCH(LOWER(AL145&amp;"" | ""&amp;E145),""алгоритмы старт""),""Алгоритмы старт"",""""),IF(REGEXMATCH(LOWER(AL145&amp;"" | ""&amp;E145),""backend старт""),""Backend старт"",""""),IF(REGEXMATCH(LOWER(AL145&amp;"" | ""&amp;E145),""ml"&amp;" старт""),""ML старт"",""""),IF(REGEXMATCH(LOWER(AL145&amp;"" | ""&amp;E145),""ai[ -]?агент""),""AI-агенты про"",""""),IF(REGEXMATCH(LOWER(AL145&amp;"" | ""&amp;E145),""алгоритмы про""),""Алгоритмы про"",""""),IF(REGEXMATCH(LOWER(AL145&amp;"" | ""&amp;E145),""аналитика про""),"""&amp;"Аналитика про"",""""),IF(REGEXMATCH(LOWER(AL145&amp;"" | ""&amp;E145),""ml про""),""ML про"",""""),IF(REGEXMATCH(LOWER(AL145&amp;"" | ""&amp;E145),""backend про""),""Backend про"",""""),IF(REGEXMATCH(LOWER(AL145&amp;"" | ""&amp;E145),""(а/в|ав|а в|ab)[ -]?тест""),""А/В-тесты"","&amp;"""""),IF(REGEXMATCH(LOWER(AL145&amp;"" | ""&amp;E145),""data science""),""Data science"",""""),IF(REGEXMATCH(LOWER(AL145&amp;"" | ""&amp;E145),""data[- ]?инжен""),""Data-инженер"",""""),IF(REGEXMATCH(LOWER(AL145&amp;"" | ""&amp;E145),""frontend""),""Frontend"",""""))))"),"Аналитика старт | Алгоритмы старт | Backend старт | ML старт")</f>
        <v>Аналитика старт | Алгоритмы старт | Backend старт | ML старт</v>
      </c>
    </row>
    <row r="146">
      <c r="A146" s="6" t="str">
        <f>IFERROR(__xludf.DUMMYFUNCTION("""COMPUTED_VALUE"""),"EXT-46")</f>
        <v>EXT-46</v>
      </c>
      <c r="B146" s="6" t="str">
        <f>IFERROR(__xludf.DUMMYFUNCTION("""COMPUTED_VALUE"""),"2026-08-10 20:43:48")</f>
        <v>2026-08-10 20:43:48</v>
      </c>
      <c r="C146" s="6" t="str">
        <f>IFERROR(__xludf.DUMMYFUNCTION("""COMPUTED_VALUE"""),"@chad_protocol")</f>
        <v>@chad_protocol</v>
      </c>
      <c r="D146" s="4" t="str">
        <f>IFERROR(__xludf.DUMMYFUNCTION("""COMPUTED_VALUE"""),"Промо со скидкой")</f>
        <v>Промо со скидкой</v>
      </c>
      <c r="E146" s="6" t="str">
        <f>IFERROR(__xludf.DUMMYFUNCTION("""COMPUTED_VALUE"""),"")</f>
        <v/>
      </c>
      <c r="F146" s="6" t="str">
        <f>IFERROR(__xludf.DUMMYFUNCTION("""COMPUTED_VALUE"""),"")</f>
        <v/>
      </c>
      <c r="G146" s="10" t="str">
        <f>IFERROR(__xludf.DUMMYFUNCTION("""COMPUTED_VALUE"""),"https://t.me/chad_protocol/513")</f>
        <v>https://t.me/chad_protocol/513</v>
      </c>
      <c r="H146" s="6" t="str">
        <f>IFERROR(__xludf.DUMMYFUNCTION("""COMPUTED_VALUE"""),"У России три пути: 18+, ***** и IT
И кажется, у нас случился переход между карьерными треками…
Нам неважно, какой у человека бэкграунд и чем он занимался раньше. Важно, куда он хочет прийти и что готов для этого делать.
Наша студентка, Алина, решила кар"&amp;"динально сменить сферу, пришла на «СТАРТ» и теперь готовится к своей новой цели — получить оффер в Яндекс.
Можно следить за успехами и учиться вместе с Алиной. На наши курсы старт, идут финальные 4 часа скидки. 
➡️ Записаться")</f>
        <v>У России три пути: 18+, ***** и IT
И кажется, у нас случился переход между карьерными треками…
Нам неважно, какой у человека бэкграунд и чем он занимался раньше. Важно, куда он хочет прийти и что готов для этого делать.
Наша студентка, Алина, решила кардинально сменить сферу, пришла на «СТАРТ» и теперь готовится к своей новой цели — получить оффер в Яндекс.
Можно следить за успехами и учиться вместе с Алиной. На наши курсы старт, идут финальные 4 часа скидки. 
➡️ Записаться</v>
      </c>
      <c r="I146" s="6" t="str">
        <f>IFERROR(__xludf.DUMMYFUNCTION("""COMPUTED_VALUE"""),"external")</f>
        <v>external</v>
      </c>
      <c r="J146" s="10" t="str">
        <f>IFERROR(__xludf.DUMMYFUNCTION("""COMPUTED_VALUE"""),"https://t.me/chad_protocol/513")</f>
        <v>https://t.me/chad_protocol/513</v>
      </c>
      <c r="K146" s="6">
        <f>IFERROR(__xludf.DUMMYFUNCTION("""COMPUTED_VALUE"""),5870.0)</f>
        <v>5870</v>
      </c>
      <c r="L146" s="6">
        <f>IFERROR(__xludf.DUMMYFUNCTION("""COMPUTED_VALUE"""),7.0)</f>
        <v>7</v>
      </c>
      <c r="M146" s="6"/>
      <c r="N146" s="6" t="str">
        <f>IFERROR(__xludf.DUMMYFUNCTION("""COMPUTED_VALUE"""),"Telegram")</f>
        <v>Telegram</v>
      </c>
      <c r="O146" s="6" t="str">
        <f>IFERROR(__xludf.DUMMYFUNCTION("""COMPUTED_VALUE"""),"raw")</f>
        <v>raw</v>
      </c>
      <c r="P146" s="6" t="str">
        <f>IFERROR(__xludf.DUMMYFUNCTION("""COMPUTED_VALUE"""),"Codex")</f>
        <v>Codex</v>
      </c>
      <c r="Q146" s="6" t="str">
        <f>IFERROR(__xludf.DUMMYFUNCTION("""COMPUTED_VALUE"""),"Общий контакт @vice22821; признак связи с проектом")</f>
        <v>Общий контакт @vice22821; признак связи с проектом</v>
      </c>
      <c r="R146" s="6" t="str">
        <f>IFERROR(__xludf.DUMMYFUNCTION("""COMPUTED_VALUE"""),"unknown")</f>
        <v>unknown</v>
      </c>
      <c r="S146" s="6" t="str">
        <f>IFERROR(__xludf.DUMMYFUNCTION("""COMPUTED_VALUE"""),"unknown")</f>
        <v>unknown</v>
      </c>
      <c r="T146" s="6" t="str">
        <f>IFERROR(__xludf.DUMMYFUNCTION("""COMPUTED_VALUE"""),"telegram_external")</f>
        <v>telegram_external</v>
      </c>
      <c r="U146" s="6" t="str">
        <f>IFERROR(__xludf.DUMMYFUNCTION("""COMPUTED_VALUE"""),"Промо со скидкой")</f>
        <v>Промо со скидкой</v>
      </c>
      <c r="V146" s="6" t="str">
        <f>IFERROR(__xludf.DUMMYFUNCTION("""COMPUTED_VALUE"""),"")</f>
        <v/>
      </c>
      <c r="W146" s="6" t="str">
        <f>IFERROR(__xludf.DUMMYFUNCTION("""COMPUTED_VALUE"""),"")</f>
        <v/>
      </c>
      <c r="X146" s="6"/>
      <c r="Y146" s="6" t="str">
        <f>IFERROR(__xludf.DUMMYFUNCTION("""COMPUTED_VALUE"""),"https://t.me/postypashki_old/1757
https://t.me/postypashki_old/1835
https://t.me/m/p94YcePXNjcy")</f>
        <v>https://t.me/postypashki_old/1757
https://t.me/postypashki_old/1835
https://t.me/m/p94YcePXNjcy</v>
      </c>
      <c r="Z146" s="6" t="b">
        <f>IFERROR(__xludf.DUMMYFUNCTION("""COMPUTED_VALUE"""),TRUE)</f>
        <v>1</v>
      </c>
      <c r="AA146" s="6" t="str">
        <f>IFERROR(__xludf.DUMMYFUNCTION("""COMPUTED_VALUE"""),"")</f>
        <v/>
      </c>
      <c r="AB146" s="6" t="str">
        <f>IFERROR(__xludf.DUMMYFUNCTION("""COMPUTED_VALUE"""),"")</f>
        <v/>
      </c>
      <c r="AC146" s="6" t="str">
        <f>IFERROR(__xludf.DUMMYFUNCTION("""COMPUTED_VALUE"""),"")</f>
        <v/>
      </c>
      <c r="AD146" s="6" t="str">
        <f>IFERROR(__xludf.DUMMYFUNCTION("""COMPUTED_VALUE"""),"")</f>
        <v/>
      </c>
      <c r="AE146" s="6" t="str">
        <f>IFERROR(__xludf.DUMMYFUNCTION("""COMPUTED_VALUE"""),"")</f>
        <v/>
      </c>
      <c r="AF146" s="6" t="str">
        <f>IFERROR(__xludf.DUMMYFUNCTION("""COMPUTED_VALUE"""),"Не подтверждено")</f>
        <v>Не подтверждено</v>
      </c>
      <c r="AG146" s="6" t="str">
        <f>IFERROR(__xludf.DUMMYFUNCTION("""COMPUTED_VALUE"""),"")</f>
        <v/>
      </c>
      <c r="AH146" s="6" t="str">
        <f>IFERROR(__xludf.DUMMYFUNCTION("""COMPUTED_VALUE"""),"2026-09-11T11:47:52.658878+00:00")</f>
        <v>2026-09-11T11:47:52.658878+00:00</v>
      </c>
      <c r="AI146" s="6" t="str">
        <f>IFERROR(__xludf.DUMMYFUNCTION("""COMPUTED_VALUE"""),"raw/chad_protocol/page_001.html")</f>
        <v>raw/chad_protocol/page_001.html</v>
      </c>
      <c r="AJ146" s="9" t="s">
        <v>167</v>
      </c>
      <c r="AK146" s="9" t="s">
        <v>213</v>
      </c>
      <c r="AM146" s="9" t="s">
        <v>219</v>
      </c>
      <c r="AN146" s="4" t="str">
        <f>IFERROR(__xludf.DUMMYFUNCTION("IF(OR(AJ146=""general_brand"",AJ146=""external"",AJ146=""unknown""),"""",IF(AJ146=""product_line"",IF(AK146=""START"",""Аналитика старт | Алгоритмы старт | Backend старт | ML старт"",IF(AK146=""PRO"",""AI-агенты про | Алгоритмы про | Аналитика про | ML пр"&amp;"о | Backend про"",IF(AK146=""START | PRO"",""Аналитика старт | Алгоритмы старт | Backend старт | ML старт | AI-агенты про | Алгоритмы про | Аналитика про | ML про | Backend про"",""""))),TEXTJOIN("" | "",TRUE,IF(REGEXMATCH(LOWER(AL146&amp;"" | ""&amp;E146),""анал"&amp;"итика старт""),""Аналитика старт"",""""),IF(REGEXMATCH(LOWER(AL146&amp;"" | ""&amp;E146),""алгоритмы старт""),""Алгоритмы старт"",""""),IF(REGEXMATCH(LOWER(AL146&amp;"" | ""&amp;E146),""backend старт""),""Backend старт"",""""),IF(REGEXMATCH(LOWER(AL146&amp;"" | ""&amp;E146),""ml"&amp;" старт""),""ML старт"",""""),IF(REGEXMATCH(LOWER(AL146&amp;"" | ""&amp;E146),""ai[ -]?агент""),""AI-агенты про"",""""),IF(REGEXMATCH(LOWER(AL146&amp;"" | ""&amp;E146),""алгоритмы про""),""Алгоритмы про"",""""),IF(REGEXMATCH(LOWER(AL146&amp;"" | ""&amp;E146),""аналитика про""),"""&amp;"Аналитика про"",""""),IF(REGEXMATCH(LOWER(AL146&amp;"" | ""&amp;E146),""ml про""),""ML про"",""""),IF(REGEXMATCH(LOWER(AL146&amp;"" | ""&amp;E146),""backend про""),""Backend про"",""""),IF(REGEXMATCH(LOWER(AL146&amp;"" | ""&amp;E146),""(а/в|ав|а в|ab)[ -]?тест""),""А/В-тесты"","&amp;"""""),IF(REGEXMATCH(LOWER(AL146&amp;"" | ""&amp;E146),""data science""),""Data science"",""""),IF(REGEXMATCH(LOWER(AL146&amp;"" | ""&amp;E146),""data[- ]?инжен""),""Data-инженер"",""""),IF(REGEXMATCH(LOWER(AL146&amp;"" | ""&amp;E146),""frontend""),""Frontend"",""""))))"),"Аналитика старт | Алгоритмы старт | Backend старт | ML старт")</f>
        <v>Аналитика старт | Алгоритмы старт | Backend старт | ML старт</v>
      </c>
    </row>
    <row r="147">
      <c r="A147" s="6" t="str">
        <f>IFERROR(__xludf.DUMMYFUNCTION("""COMPUTED_VALUE"""),"EXT-47")</f>
        <v>EXT-47</v>
      </c>
      <c r="B147" s="6" t="str">
        <f>IFERROR(__xludf.DUMMYFUNCTION("""COMPUTED_VALUE"""),"2026-08-10 18:24:52")</f>
        <v>2026-08-10 18:24:52</v>
      </c>
      <c r="C147" s="6" t="str">
        <f>IFERROR(__xludf.DUMMYFUNCTION("""COMPUTED_VALUE"""),"@codeof_art")</f>
        <v>@codeof_art</v>
      </c>
      <c r="D147" s="4" t="str">
        <f>IFERROR(__xludf.DUMMYFUNCTION("""COMPUTED_VALUE"""),"Промо со скидкой")</f>
        <v>Промо со скидкой</v>
      </c>
      <c r="E147" s="6" t="str">
        <f>IFERROR(__xludf.DUMMYFUNCTION("""COMPUTED_VALUE"""),"")</f>
        <v/>
      </c>
      <c r="F147" s="6" t="str">
        <f>IFERROR(__xludf.DUMMYFUNCTION("""COMPUTED_VALUE"""),"")</f>
        <v/>
      </c>
      <c r="G147" s="10" t="str">
        <f>IFERROR(__xludf.DUMMYFUNCTION("""COMPUTED_VALUE"""),"https://t.me/codeof_art/307")</f>
        <v>https://t.me/codeof_art/307</v>
      </c>
      <c r="H147" s="6" t="str">
        <f>IFERROR(__xludf.DUMMYFUNCTION("""COMPUTED_VALUE"""),"System Design: frontend
Сегодня разберём задачку, которую реально дают на секции систем дизайн в Авито. Условие короткое: «спроектируй конструктор виджетов на JS-фреймворке» — штука, где из готовых блоков собираешь кусок интерфейса (карточку, баннер, сек"&amp;"цию на выдаче) и выкатываешь пользователям.
Первое, что приходит в голову — drag-n-drop: таскаешь блоки по канвасу, а на выходе он генерит React-компоненты. За полчаса набросал, вроде работает. И вот тут ты уже проиграл: ты сделал «редактор, который выпл"&amp;"ёвывает вёрстку», а задача была про систему, которой пользуются не только разработчики и которая живёт дольше одного релиза фронта. Дальше весь пост — как из первого прийти во второе.
Начнем с вопросов, а не с кода
Условие специально дают без требований:"&amp;" ждут, что ты сам очертишь границы. Так что не лезь в код, сначала спроси. И главный вопрос один: кто собирает интерфейс в этом конструкторе и где потом рендерится результат. Звучит организационно, а на деле именно он задаёт всю архитектуру — сейчас увиди"&amp;"шь как.
Идём за этим вопросом
Скорее всего дадут такой ответ(тут зависит от интервьюера конечно же, в какую степь он захочет уйти): собирать интерфейс часто будет не разработчик, а контент-менеджер. А результат должен приезжать не только на веб, но и на "&amp;"iOS с Android - и без релиза приложения. И это меняет всё: JS в стор мгновенно не докатишь, нативную вёрстку из React не соберёшь. Значит выход конструктора в принципе не может быть кодом. Отсюда рождается ядро всей задачи: конструктор не генерит вёрстку,"&amp;" он собирает её описание — сериализуемое дерево, JSON: какие виджеты, в каком порядке, с какими параметрами. А рисует это дерево отдельный рендер-движок, свой на каждой платформе. Вёрстка тут — данные, а не код. Называется это Backend-Driven UI; в Авито р"&amp;"овно ради этого построили движок Beduin. Придёшь к этому сам — ответ уже не джуна, а если и назвать в качестве примера известную реализацию твоей идеи, то это +реп сразу.
Раз вёрстка — это данные
Дальше всё вытекает из этой мысли. Виджет — независимый пе"&amp;"реиспользуемый блок с контрактом: строго типизированные параметры, у каждого свой тип и обязательность. И первый жирный плюсик: форму настройки не пишем руками под каждый блок, а генерим из контракта. Разработчик зарегистрировал виджет в каталоге, описал "&amp;"параметры — конструктор сам построил форму. Иначе на сотне виджетов утонешь в формочках. У Авито это так и устроено в их Bricks — привести известную реализацию к своим мыслям всегда +реп.
Где сыпятся
Все грабли — из той же мысли «это данные». Забыл про н"&amp;"её — провалился. Наверное, самое тонкое место - превью. Блок, который контент-менеджер видит в редакторе, должен рендериться по тем же правилам, что и прод у юзера — из того же описания и тем же рендером, а не отдельным мокапом на React. Иначе разойдутся:"&amp;" собрал красиво, опубликовал, а у юзера поехало. Никакого eval — это прямое следствие того, что описание есть данные. JSON пришёл из админки, где сидит не разработчик: валидируем по схеме (те ли типы, на месте ли обязательные поля, разрешённый ли виджет),"&amp;" но не исполняем. Начнёшь evalить — получишь дыру в безопасности и падение на первом же кривом вводе.
И то, на чём спотыкаются новички: не перерисовывай весь канвас на каждое изменение. Поменяли цвет у кнопки — обнови только кнопку. Иначе на большом маке"&amp;"те редактор залагает на каждое нажатие.
Что тут на самом деле проверяют
Всё сводится к одному: понимаешь ли ты, что редактор с блоками — самая маленькая часть задачи. Собрать вёрстку из виджетов умеет и джун, это верхушка. А спроектировать надо то, что п"&amp;"од ней: как это описание хранить и версионировать, доставлять на веб и обе мобилки, подтягивать в блоки живые данные, катить без релиза и откатывать, если сломается. Задал один вопрос «кто собирает и где рендерится» — и вся эта система развернулась сама.
"&amp;"
В следующем посте — задача от Яндекса, которую дают бэкендерам! 
Кстати, если хотите оставаться в тренде айти рынка и его требований, то советую наши курсы старт, на который мы продлили финальные скидки на 24 часа. 
➡️ Записаться
Подписаться: @codeof_ar"&amp;"t
Вступить в чатик: @code_of_art")</f>
        <v>System Design: frontend
Сегодня разберём задачку, которую реально дают на секции систем дизайн в Авито. Условие короткое: «спроектируй конструктор виджетов на JS-фреймворке» — штука, где из готовых блоков собираешь кусок интерфейса (карточку, баннер, секцию на выдаче) и выкатываешь пользователям.
Первое, что приходит в голову — drag-n-drop: таскаешь блоки по канвасу, а на выходе он генерит React-компоненты. За полчаса набросал, вроде работает. И вот тут ты уже проиграл: ты сделал «редактор, который выплёвывает вёрстку», а задача была про систему, которой пользуются не только разработчики и которая живёт дольше одного релиза фронта. Дальше весь пост — как из первого прийти во второе.
Начнем с вопросов, а не с кода
Условие специально дают без требований: ждут, что ты сам очертишь границы. Так что не лезь в код, сначала спроси. И главный вопрос один: кто собирает интерфейс в этом конструкторе и где потом рендерится результат. Звучит организационно, а на деле именно он задаёт всю архитектуру — сейчас увидишь как.
Идём за этим вопросом
Скорее всего дадут такой ответ(тут зависит от интервьюера конечно же, в какую степь он захочет уйти): собирать интерфейс часто будет не разработчик, а контент-менеджер. А результат должен приезжать не только на веб, но и на iOS с Android - и без релиза приложения. И это меняет всё: JS в стор мгновенно не докатишь, нативную вёрстку из React не соберёшь. Значит выход конструктора в принципе не может быть кодом. Отсюда рождается ядро всей задачи: конструктор не генерит вёрстку, он собирает её описание — сериализуемое дерево, JSON: какие виджеты, в каком порядке, с какими параметрами. А рисует это дерево отдельный рендер-движок, свой на каждой платформе. Вёрстка тут — данные, а не код. Называется это Backend-Driven UI; в Авито ровно ради этого построили движок Beduin. Придёшь к этому сам — ответ уже не джуна, а если и назвать в качестве примера известную реализацию твоей идеи, то это +реп сразу.
Раз вёрстка — это данные
Дальше всё вытекает из этой мысли. Виджет — независимый переиспользуемый блок с контрактом: строго типизированные параметры, у каждого свой тип и обязательность. И первый жирный плюсик: форму настройки не пишем руками под каждый блок, а генерим из контракта. Разработчик зарегистрировал виджет в каталоге, описал параметры — конструктор сам построил форму. Иначе на сотне виджетов утонешь в формочках. У Авито это так и устроено в их Bricks — привести известную реализацию к своим мыслям всегда +реп.
Где сыпятся
Все грабли — из той же мысли «это данные». Забыл про неё — провалился. Наверное, самое тонкое место - превью. Блок, который контент-менеджер видит в редакторе, должен рендериться по тем же правилам, что и прод у юзера — из того же описания и тем же рендером, а не отдельным мокапом на React. Иначе разойдутся: собрал красиво, опубликовал, а у юзера поехало. Никакого eval — это прямое следствие того, что описание есть данные. JSON пришёл из админки, где сидит не разработчик: валидируем по схеме (те ли типы, на месте ли обязательные поля, разрешённый ли виджет), но не исполняем. Начнёшь evalить — получишь дыру в безопасности и падение на первом же кривом вводе.
И то, на чём спотыкаются новички: не перерисовывай весь канвас на каждое изменение. Поменяли цвет у кнопки — обнови только кнопку. Иначе на большом макете редактор залагает на каждое нажатие.
Что тут на самом деле проверяют
Всё сводится к одному: понимаешь ли ты, что редактор с блоками — самая маленькая часть задачи. Собрать вёрстку из виджетов умеет и джун, это верхушка. А спроектировать надо то, что под ней: как это описание хранить и версионировать, доставлять на веб и обе мобилки, подтягивать в блоки живые данные, катить без релиза и откатывать, если сломается. Задал один вопрос «кто собирает и где рендерится» — и вся эта система развернулась сама.
В следующем посте — задача от Яндекса, которую дают бэкендерам! 
Кстати, если хотите оставаться в тренде айти рынка и его требований, то советую наши курсы старт, на который мы продлили финальные скидки на 24 часа. 
➡️ Записаться
Подписаться: @codeof_art
Вступить в чатик: @code_of_art</v>
      </c>
      <c r="I147" s="6" t="str">
        <f>IFERROR(__xludf.DUMMYFUNCTION("""COMPUTED_VALUE"""),"external")</f>
        <v>external</v>
      </c>
      <c r="J147" s="10" t="str">
        <f>IFERROR(__xludf.DUMMYFUNCTION("""COMPUTED_VALUE"""),"https://t.me/codeof_art/307")</f>
        <v>https://t.me/codeof_art/307</v>
      </c>
      <c r="K147" s="6">
        <f>IFERROR(__xludf.DUMMYFUNCTION("""COMPUTED_VALUE"""),746.0)</f>
        <v>746</v>
      </c>
      <c r="L147" s="6">
        <f>IFERROR(__xludf.DUMMYFUNCTION("""COMPUTED_VALUE"""),6.0)</f>
        <v>6</v>
      </c>
      <c r="M147" s="6"/>
      <c r="N147" s="6" t="str">
        <f>IFERROR(__xludf.DUMMYFUNCTION("""COMPUTED_VALUE"""),"Telegram")</f>
        <v>Telegram</v>
      </c>
      <c r="O147" s="6" t="str">
        <f>IFERROR(__xludf.DUMMYFUNCTION("""COMPUTED_VALUE"""),"raw")</f>
        <v>raw</v>
      </c>
      <c r="P147" s="6" t="str">
        <f>IFERROR(__xludf.DUMMYFUNCTION("""COMPUTED_VALUE"""),"Codex")</f>
        <v>Codex</v>
      </c>
      <c r="Q147" s="6" t="str">
        <f>IFERROR(__xludf.DUMMYFUNCTION("""COMPUTED_VALUE"""),"Общий контакт @vice22821; признак связи с проектом")</f>
        <v>Общий контакт @vice22821; признак связи с проектом</v>
      </c>
      <c r="R147" s="6" t="str">
        <f>IFERROR(__xludf.DUMMYFUNCTION("""COMPUTED_VALUE"""),"unknown")</f>
        <v>unknown</v>
      </c>
      <c r="S147" s="6" t="str">
        <f>IFERROR(__xludf.DUMMYFUNCTION("""COMPUTED_VALUE"""),"unknown")</f>
        <v>unknown</v>
      </c>
      <c r="T147" s="6" t="str">
        <f>IFERROR(__xludf.DUMMYFUNCTION("""COMPUTED_VALUE"""),"telegram_external")</f>
        <v>telegram_external</v>
      </c>
      <c r="U147" s="6" t="str">
        <f>IFERROR(__xludf.DUMMYFUNCTION("""COMPUTED_VALUE"""),"Промо со скидкой")</f>
        <v>Промо со скидкой</v>
      </c>
      <c r="V147" s="6" t="str">
        <f>IFERROR(__xludf.DUMMYFUNCTION("""COMPUTED_VALUE"""),"")</f>
        <v/>
      </c>
      <c r="W147" s="6" t="str">
        <f>IFERROR(__xludf.DUMMYFUNCTION("""COMPUTED_VALUE"""),"")</f>
        <v/>
      </c>
      <c r="X147" s="6"/>
      <c r="Y147" s="6" t="str">
        <f>IFERROR(__xludf.DUMMYFUNCTION("""COMPUTED_VALUE"""),"https://t.me/postypashki_old/1757
https://t.me/postypashki_old/1835
https://t.me/m/p94YcePXNjcy")</f>
        <v>https://t.me/postypashki_old/1757
https://t.me/postypashki_old/1835
https://t.me/m/p94YcePXNjcy</v>
      </c>
      <c r="Z147" s="6" t="b">
        <f>IFERROR(__xludf.DUMMYFUNCTION("""COMPUTED_VALUE"""),TRUE)</f>
        <v>1</v>
      </c>
      <c r="AA147" s="6" t="str">
        <f>IFERROR(__xludf.DUMMYFUNCTION("""COMPUTED_VALUE"""),"")</f>
        <v/>
      </c>
      <c r="AB147" s="6" t="str">
        <f>IFERROR(__xludf.DUMMYFUNCTION("""COMPUTED_VALUE"""),"")</f>
        <v/>
      </c>
      <c r="AC147" s="6" t="str">
        <f>IFERROR(__xludf.DUMMYFUNCTION("""COMPUTED_VALUE"""),"")</f>
        <v/>
      </c>
      <c r="AD147" s="6" t="str">
        <f>IFERROR(__xludf.DUMMYFUNCTION("""COMPUTED_VALUE"""),"")</f>
        <v/>
      </c>
      <c r="AE147" s="6" t="str">
        <f>IFERROR(__xludf.DUMMYFUNCTION("""COMPUTED_VALUE"""),"")</f>
        <v/>
      </c>
      <c r="AF147" s="6" t="str">
        <f>IFERROR(__xludf.DUMMYFUNCTION("""COMPUTED_VALUE"""),"Не подтверждено")</f>
        <v>Не подтверждено</v>
      </c>
      <c r="AG147" s="6" t="str">
        <f>IFERROR(__xludf.DUMMYFUNCTION("""COMPUTED_VALUE"""),"")</f>
        <v/>
      </c>
      <c r="AH147" s="6" t="str">
        <f>IFERROR(__xludf.DUMMYFUNCTION("""COMPUTED_VALUE"""),"2026-09-11T11:47:36.835348+00:00")</f>
        <v>2026-09-11T11:47:36.835348+00:00</v>
      </c>
      <c r="AI147" s="6" t="str">
        <f>IFERROR(__xludf.DUMMYFUNCTION("""COMPUTED_VALUE"""),"raw/codeof_art/page_000.html")</f>
        <v>raw/codeof_art/page_000.html</v>
      </c>
      <c r="AJ147" s="9" t="s">
        <v>167</v>
      </c>
      <c r="AK147" s="9" t="s">
        <v>213</v>
      </c>
      <c r="AM147" s="9" t="s">
        <v>231</v>
      </c>
      <c r="AN147" s="4" t="str">
        <f>IFERROR(__xludf.DUMMYFUNCTION("IF(OR(AJ147=""general_brand"",AJ147=""external"",AJ147=""unknown""),"""",IF(AJ147=""product_line"",IF(AK147=""START"",""Аналитика старт | Алгоритмы старт | Backend старт | ML старт"",IF(AK147=""PRO"",""AI-агенты про | Алгоритмы про | Аналитика про | ML пр"&amp;"о | Backend про"",IF(AK147=""START | PRO"",""Аналитика старт | Алгоритмы старт | Backend старт | ML старт | AI-агенты про | Алгоритмы про | Аналитика про | ML про | Backend про"",""""))),TEXTJOIN("" | "",TRUE,IF(REGEXMATCH(LOWER(AL147&amp;"" | ""&amp;E147),""анал"&amp;"итика старт""),""Аналитика старт"",""""),IF(REGEXMATCH(LOWER(AL147&amp;"" | ""&amp;E147),""алгоритмы старт""),""Алгоритмы старт"",""""),IF(REGEXMATCH(LOWER(AL147&amp;"" | ""&amp;E147),""backend старт""),""Backend старт"",""""),IF(REGEXMATCH(LOWER(AL147&amp;"" | ""&amp;E147),""ml"&amp;" старт""),""ML старт"",""""),IF(REGEXMATCH(LOWER(AL147&amp;"" | ""&amp;E147),""ai[ -]?агент""),""AI-агенты про"",""""),IF(REGEXMATCH(LOWER(AL147&amp;"" | ""&amp;E147),""алгоритмы про""),""Алгоритмы про"",""""),IF(REGEXMATCH(LOWER(AL147&amp;"" | ""&amp;E147),""аналитика про""),"""&amp;"Аналитика про"",""""),IF(REGEXMATCH(LOWER(AL147&amp;"" | ""&amp;E147),""ml про""),""ML про"",""""),IF(REGEXMATCH(LOWER(AL147&amp;"" | ""&amp;E147),""backend про""),""Backend про"",""""),IF(REGEXMATCH(LOWER(AL147&amp;"" | ""&amp;E147),""(а/в|ав|а в|ab)[ -]?тест""),""А/В-тесты"","&amp;"""""),IF(REGEXMATCH(LOWER(AL147&amp;"" | ""&amp;E147),""data science""),""Data science"",""""),IF(REGEXMATCH(LOWER(AL147&amp;"" | ""&amp;E147),""data[- ]?инжен""),""Data-инженер"",""""),IF(REGEXMATCH(LOWER(AL147&amp;"" | ""&amp;E147),""frontend""),""Frontend"",""""))))"),"Аналитика старт | Алгоритмы старт | Backend старт | ML старт")</f>
        <v>Аналитика старт | Алгоритмы старт | Backend старт | ML старт</v>
      </c>
    </row>
    <row r="148">
      <c r="A148" s="6" t="str">
        <f>IFERROR(__xludf.DUMMYFUNCTION("""COMPUTED_VALUE"""),"EXT-48")</f>
        <v>EXT-48</v>
      </c>
      <c r="B148" s="6" t="str">
        <f>IFERROR(__xludf.DUMMYFUNCTION("""COMPUTED_VALUE"""),"2026-08-10 22:02:01")</f>
        <v>2026-08-10 22:02:01</v>
      </c>
      <c r="C148" s="6" t="str">
        <f>IFERROR(__xludf.DUMMYFUNCTION("""COMPUTED_VALUE"""),"@codeof_art")</f>
        <v>@codeof_art</v>
      </c>
      <c r="D148" s="4" t="str">
        <f>IFERROR(__xludf.DUMMYFUNCTION("""COMPUTED_VALUE"""),"Промо со скидкой")</f>
        <v>Промо со скидкой</v>
      </c>
      <c r="E148" s="6" t="str">
        <f>IFERROR(__xludf.DUMMYFUNCTION("""COMPUTED_VALUE"""),"")</f>
        <v/>
      </c>
      <c r="F148" s="6" t="str">
        <f>IFERROR(__xludf.DUMMYFUNCTION("""COMPUTED_VALUE"""),"")</f>
        <v/>
      </c>
      <c r="G148" s="10" t="str">
        <f>IFERROR(__xludf.DUMMYFUNCTION("""COMPUTED_VALUE"""),"https://t.me/codeof_art/308")</f>
        <v>https://t.me/codeof_art/308</v>
      </c>
      <c r="H148" s="6" t="str">
        <f>IFERROR(__xludf.DUMMYFUNCTION("""COMPUTED_VALUE"""),"У России три пути: 18+, ***** и IT
И кажется, у нас случился переход между карьерными треками…
Нам неважно, какой у человека бэкграунд и чем он занимался раньше. Важно, куда он хочет прийти и что готов для этого делать.
Наша студентка, Алина, решила кар"&amp;"динально сменить сферу, пришла на «СТАРТ» и теперь готовится к своей новой цели — получить оффер в Яндекс.
Можно следить за успехами и учиться вместе с Алиной. На наши курсы старт, идут финальные 4 часа скидки. 
➡️ Записаться")</f>
        <v>У России три пути: 18+, ***** и IT
И кажется, у нас случился переход между карьерными треками…
Нам неважно, какой у человека бэкграунд и чем он занимался раньше. Важно, куда он хочет прийти и что готов для этого делать.
Наша студентка, Алина, решила кардинально сменить сферу, пришла на «СТАРТ» и теперь готовится к своей новой цели — получить оффер в Яндекс.
Можно следить за успехами и учиться вместе с Алиной. На наши курсы старт, идут финальные 4 часа скидки. 
➡️ Записаться</v>
      </c>
      <c r="I148" s="6" t="str">
        <f>IFERROR(__xludf.DUMMYFUNCTION("""COMPUTED_VALUE"""),"external")</f>
        <v>external</v>
      </c>
      <c r="J148" s="10" t="str">
        <f>IFERROR(__xludf.DUMMYFUNCTION("""COMPUTED_VALUE"""),"https://t.me/codeof_art/308")</f>
        <v>https://t.me/codeof_art/308</v>
      </c>
      <c r="K148" s="6">
        <f>IFERROR(__xludf.DUMMYFUNCTION("""COMPUTED_VALUE"""),599.0)</f>
        <v>599</v>
      </c>
      <c r="L148" s="6"/>
      <c r="M148" s="6"/>
      <c r="N148" s="6" t="str">
        <f>IFERROR(__xludf.DUMMYFUNCTION("""COMPUTED_VALUE"""),"Telegram")</f>
        <v>Telegram</v>
      </c>
      <c r="O148" s="6" t="str">
        <f>IFERROR(__xludf.DUMMYFUNCTION("""COMPUTED_VALUE"""),"raw")</f>
        <v>raw</v>
      </c>
      <c r="P148" s="6" t="str">
        <f>IFERROR(__xludf.DUMMYFUNCTION("""COMPUTED_VALUE"""),"Codex")</f>
        <v>Codex</v>
      </c>
      <c r="Q148" s="6" t="str">
        <f>IFERROR(__xludf.DUMMYFUNCTION("""COMPUTED_VALUE"""),"Общий контакт @vice22821; признак связи с проектом")</f>
        <v>Общий контакт @vice22821; признак связи с проектом</v>
      </c>
      <c r="R148" s="6" t="str">
        <f>IFERROR(__xludf.DUMMYFUNCTION("""COMPUTED_VALUE"""),"unknown")</f>
        <v>unknown</v>
      </c>
      <c r="S148" s="6" t="str">
        <f>IFERROR(__xludf.DUMMYFUNCTION("""COMPUTED_VALUE"""),"unknown")</f>
        <v>unknown</v>
      </c>
      <c r="T148" s="6" t="str">
        <f>IFERROR(__xludf.DUMMYFUNCTION("""COMPUTED_VALUE"""),"telegram_external")</f>
        <v>telegram_external</v>
      </c>
      <c r="U148" s="6" t="str">
        <f>IFERROR(__xludf.DUMMYFUNCTION("""COMPUTED_VALUE"""),"Промо со скидкой")</f>
        <v>Промо со скидкой</v>
      </c>
      <c r="V148" s="6" t="str">
        <f>IFERROR(__xludf.DUMMYFUNCTION("""COMPUTED_VALUE"""),"")</f>
        <v/>
      </c>
      <c r="W148" s="6" t="str">
        <f>IFERROR(__xludf.DUMMYFUNCTION("""COMPUTED_VALUE"""),"")</f>
        <v/>
      </c>
      <c r="X148" s="6" t="str">
        <f>IFERROR(__xludf.DUMMYFUNCTION("""COMPUTED_VALUE"""),"Forwarded from Поступашки - ШАД, Стажировки и Магистратура")</f>
        <v>Forwarded from Поступашки - ШАД, Стажировки и Магистратура</v>
      </c>
      <c r="Y148" s="6" t="str">
        <f>IFERROR(__xludf.DUMMYFUNCTION("""COMPUTED_VALUE"""),"https://t.me/postypashki_old/1840
https://t.me/postypashki_old/1757
https://t.me/postypashki_old/1835
https://t.me/m/p94YcePXNjcy")</f>
        <v>https://t.me/postypashki_old/1840
https://t.me/postypashki_old/1757
https://t.me/postypashki_old/1835
https://t.me/m/p94YcePXNjcy</v>
      </c>
      <c r="Z148" s="6" t="b">
        <f>IFERROR(__xludf.DUMMYFUNCTION("""COMPUTED_VALUE"""),TRUE)</f>
        <v>1</v>
      </c>
      <c r="AA148" s="6" t="str">
        <f>IFERROR(__xludf.DUMMYFUNCTION("""COMPUTED_VALUE"""),"")</f>
        <v/>
      </c>
      <c r="AB148" s="6" t="str">
        <f>IFERROR(__xludf.DUMMYFUNCTION("""COMPUTED_VALUE"""),"")</f>
        <v/>
      </c>
      <c r="AC148" s="6" t="str">
        <f>IFERROR(__xludf.DUMMYFUNCTION("""COMPUTED_VALUE"""),"")</f>
        <v/>
      </c>
      <c r="AD148" s="6" t="str">
        <f>IFERROR(__xludf.DUMMYFUNCTION("""COMPUTED_VALUE"""),"")</f>
        <v/>
      </c>
      <c r="AE148" s="6" t="str">
        <f>IFERROR(__xludf.DUMMYFUNCTION("""COMPUTED_VALUE"""),"")</f>
        <v/>
      </c>
      <c r="AF148" s="6" t="str">
        <f>IFERROR(__xludf.DUMMYFUNCTION("""COMPUTED_VALUE"""),"Не подтверждено")</f>
        <v>Не подтверждено</v>
      </c>
      <c r="AG148" s="6" t="str">
        <f>IFERROR(__xludf.DUMMYFUNCTION("""COMPUTED_VALUE"""),"")</f>
        <v/>
      </c>
      <c r="AH148" s="6" t="str">
        <f>IFERROR(__xludf.DUMMYFUNCTION("""COMPUTED_VALUE"""),"2026-09-11T11:47:36.835348+00:00")</f>
        <v>2026-09-11T11:47:36.835348+00:00</v>
      </c>
      <c r="AI148" s="6" t="str">
        <f>IFERROR(__xludf.DUMMYFUNCTION("""COMPUTED_VALUE"""),"raw/codeof_art/page_000.html")</f>
        <v>raw/codeof_art/page_000.html</v>
      </c>
      <c r="AJ148" s="9" t="s">
        <v>167</v>
      </c>
      <c r="AK148" s="9" t="s">
        <v>213</v>
      </c>
      <c r="AM148" s="9" t="s">
        <v>219</v>
      </c>
      <c r="AN148" s="4" t="str">
        <f>IFERROR(__xludf.DUMMYFUNCTION("IF(OR(AJ148=""general_brand"",AJ148=""external"",AJ148=""unknown""),"""",IF(AJ148=""product_line"",IF(AK148=""START"",""Аналитика старт | Алгоритмы старт | Backend старт | ML старт"",IF(AK148=""PRO"",""AI-агенты про | Алгоритмы про | Аналитика про | ML пр"&amp;"о | Backend про"",IF(AK148=""START | PRO"",""Аналитика старт | Алгоритмы старт | Backend старт | ML старт | AI-агенты про | Алгоритмы про | Аналитика про | ML про | Backend про"",""""))),TEXTJOIN("" | "",TRUE,IF(REGEXMATCH(LOWER(AL148&amp;"" | ""&amp;E148),""анал"&amp;"итика старт""),""Аналитика старт"",""""),IF(REGEXMATCH(LOWER(AL148&amp;"" | ""&amp;E148),""алгоритмы старт""),""Алгоритмы старт"",""""),IF(REGEXMATCH(LOWER(AL148&amp;"" | ""&amp;E148),""backend старт""),""Backend старт"",""""),IF(REGEXMATCH(LOWER(AL148&amp;"" | ""&amp;E148),""ml"&amp;" старт""),""ML старт"",""""),IF(REGEXMATCH(LOWER(AL148&amp;"" | ""&amp;E148),""ai[ -]?агент""),""AI-агенты про"",""""),IF(REGEXMATCH(LOWER(AL148&amp;"" | ""&amp;E148),""алгоритмы про""),""Алгоритмы про"",""""),IF(REGEXMATCH(LOWER(AL148&amp;"" | ""&amp;E148),""аналитика про""),"""&amp;"Аналитика про"",""""),IF(REGEXMATCH(LOWER(AL148&amp;"" | ""&amp;E148),""ml про""),""ML про"",""""),IF(REGEXMATCH(LOWER(AL148&amp;"" | ""&amp;E148),""backend про""),""Backend про"",""""),IF(REGEXMATCH(LOWER(AL148&amp;"" | ""&amp;E148),""(а/в|ав|а в|ab)[ -]?тест""),""А/В-тесты"","&amp;"""""),IF(REGEXMATCH(LOWER(AL148&amp;"" | ""&amp;E148),""data science""),""Data science"",""""),IF(REGEXMATCH(LOWER(AL148&amp;"" | ""&amp;E148),""data[- ]?инжен""),""Data-инженер"",""""),IF(REGEXMATCH(LOWER(AL148&amp;"" | ""&amp;E148),""frontend""),""Frontend"",""""))))"),"Аналитика старт | Алгоритмы старт | Backend старт | ML старт")</f>
        <v>Аналитика старт | Алгоритмы старт | Backend старт | ML старт</v>
      </c>
    </row>
    <row r="149">
      <c r="A149" s="6" t="str">
        <f>IFERROR(__xludf.DUMMYFUNCTION("""COMPUTED_VALUE"""),"EXT-49")</f>
        <v>EXT-49</v>
      </c>
      <c r="B149" s="6" t="str">
        <f>IFERROR(__xludf.DUMMYFUNCTION("""COMPUTED_VALUE"""),"2026-08-10 22:02:02")</f>
        <v>2026-08-10 22:02:02</v>
      </c>
      <c r="C149" s="6" t="str">
        <f>IFERROR(__xludf.DUMMYFUNCTION("""COMPUTED_VALUE"""),"@codeof_art")</f>
        <v>@codeof_art</v>
      </c>
      <c r="D149" s="4" t="str">
        <f>IFERROR(__xludf.DUMMYFUNCTION("""COMPUTED_VALUE"""),"Прочий контент")</f>
        <v>Прочий контент</v>
      </c>
      <c r="E149" s="6" t="str">
        <f>IFERROR(__xludf.DUMMYFUNCTION("""COMPUTED_VALUE"""),"")</f>
        <v/>
      </c>
      <c r="F149" s="6" t="str">
        <f>IFERROR(__xludf.DUMMYFUNCTION("""COMPUTED_VALUE"""),"")</f>
        <v/>
      </c>
      <c r="G149" s="10" t="str">
        <f>IFERROR(__xludf.DUMMYFUNCTION("""COMPUTED_VALUE"""),"https://t.me/codeof_art/309")</f>
        <v>https://t.me/codeof_art/309</v>
      </c>
      <c r="H149" s="6"/>
      <c r="I149" s="6" t="str">
        <f>IFERROR(__xludf.DUMMYFUNCTION("""COMPUTED_VALUE"""),"external")</f>
        <v>external</v>
      </c>
      <c r="J149" s="10" t="str">
        <f>IFERROR(__xludf.DUMMYFUNCTION("""COMPUTED_VALUE"""),"https://t.me/codeof_art/309")</f>
        <v>https://t.me/codeof_art/309</v>
      </c>
      <c r="K149" s="6">
        <f>IFERROR(__xludf.DUMMYFUNCTION("""COMPUTED_VALUE"""),527.0)</f>
        <v>527</v>
      </c>
      <c r="L149" s="6">
        <f>IFERROR(__xludf.DUMMYFUNCTION("""COMPUTED_VALUE"""),2.0)</f>
        <v>2</v>
      </c>
      <c r="M149" s="6"/>
      <c r="N149" s="6" t="str">
        <f>IFERROR(__xludf.DUMMYFUNCTION("""COMPUTED_VALUE"""),"Telegram")</f>
        <v>Telegram</v>
      </c>
      <c r="O149" s="6" t="str">
        <f>IFERROR(__xludf.DUMMYFUNCTION("""COMPUTED_VALUE"""),"raw")</f>
        <v>raw</v>
      </c>
      <c r="P149" s="6" t="str">
        <f>IFERROR(__xludf.DUMMYFUNCTION("""COMPUTED_VALUE"""),"Codex")</f>
        <v>Codex</v>
      </c>
      <c r="Q149" s="6" t="str">
        <f>IFERROR(__xludf.DUMMYFUNCTION("""COMPUTED_VALUE"""),"Общий контакт @vice22821; признак связи с проектом")</f>
        <v>Общий контакт @vice22821; признак связи с проектом</v>
      </c>
      <c r="R149" s="6" t="str">
        <f>IFERROR(__xludf.DUMMYFUNCTION("""COMPUTED_VALUE"""),"unknown")</f>
        <v>unknown</v>
      </c>
      <c r="S149" s="6" t="str">
        <f>IFERROR(__xludf.DUMMYFUNCTION("""COMPUTED_VALUE"""),"unknown")</f>
        <v>unknown</v>
      </c>
      <c r="T149" s="6" t="str">
        <f>IFERROR(__xludf.DUMMYFUNCTION("""COMPUTED_VALUE"""),"telegram_external")</f>
        <v>telegram_external</v>
      </c>
      <c r="U149" s="6" t="str">
        <f>IFERROR(__xludf.DUMMYFUNCTION("""COMPUTED_VALUE"""),"Прочий контент")</f>
        <v>Прочий контент</v>
      </c>
      <c r="V149" s="6" t="str">
        <f>IFERROR(__xludf.DUMMYFUNCTION("""COMPUTED_VALUE"""),"")</f>
        <v/>
      </c>
      <c r="W149" s="6" t="str">
        <f>IFERROR(__xludf.DUMMYFUNCTION("""COMPUTED_VALUE"""),"")</f>
        <v/>
      </c>
      <c r="X149" s="6" t="str">
        <f>IFERROR(__xludf.DUMMYFUNCTION("""COMPUTED_VALUE"""),"Forwarded from Поступашки - ШАД, Стажировки и Магистратура")</f>
        <v>Forwarded from Поступашки - ШАД, Стажировки и Магистратура</v>
      </c>
      <c r="Y149" s="10" t="str">
        <f>IFERROR(__xludf.DUMMYFUNCTION("""COMPUTED_VALUE"""),"https://t.me/postypashki_old/1841")</f>
        <v>https://t.me/postypashki_old/1841</v>
      </c>
      <c r="Z149" s="6" t="b">
        <f>IFERROR(__xludf.DUMMYFUNCTION("""COMPUTED_VALUE"""),FALSE)</f>
        <v>0</v>
      </c>
      <c r="AA149" s="6" t="str">
        <f>IFERROR(__xludf.DUMMYFUNCTION("""COMPUTED_VALUE"""),"")</f>
        <v/>
      </c>
      <c r="AB149" s="6" t="str">
        <f>IFERROR(__xludf.DUMMYFUNCTION("""COMPUTED_VALUE"""),"")</f>
        <v/>
      </c>
      <c r="AC149" s="6" t="str">
        <f>IFERROR(__xludf.DUMMYFUNCTION("""COMPUTED_VALUE"""),"")</f>
        <v/>
      </c>
      <c r="AD149" s="6" t="str">
        <f>IFERROR(__xludf.DUMMYFUNCTION("""COMPUTED_VALUE"""),"")</f>
        <v/>
      </c>
      <c r="AE149" s="6" t="str">
        <f>IFERROR(__xludf.DUMMYFUNCTION("""COMPUTED_VALUE"""),"")</f>
        <v/>
      </c>
      <c r="AF149" s="6" t="str">
        <f>IFERROR(__xludf.DUMMYFUNCTION("""COMPUTED_VALUE"""),"Не подтверждено")</f>
        <v>Не подтверждено</v>
      </c>
      <c r="AG149" s="6" t="str">
        <f>IFERROR(__xludf.DUMMYFUNCTION("""COMPUTED_VALUE"""),"")</f>
        <v/>
      </c>
      <c r="AH149" s="6" t="str">
        <f>IFERROR(__xludf.DUMMYFUNCTION("""COMPUTED_VALUE"""),"2026-09-11T11:47:36.835348+00:00")</f>
        <v>2026-09-11T11:47:36.835348+00:00</v>
      </c>
      <c r="AI149" s="6" t="str">
        <f>IFERROR(__xludf.DUMMYFUNCTION("""COMPUTED_VALUE"""),"raw/codeof_art/page_000.html")</f>
        <v>raw/codeof_art/page_000.html</v>
      </c>
      <c r="AJ149" s="9" t="s">
        <v>208</v>
      </c>
      <c r="AM149" s="9" t="s">
        <v>229</v>
      </c>
      <c r="AN149" s="6" t="str">
        <f>IFERROR(__xludf.DUMMYFUNCTION("IF(OR(AJ149=""general_brand"",AJ149=""external"",AJ149=""unknown""),"""",IF(AJ149=""product_line"",IF(AK149=""START"",""Аналитика старт | Алгоритмы старт | Backend старт | ML старт"",IF(AK149=""PRO"",""AI-агенты про | Алгоритмы про | Аналитика про | ML пр"&amp;"о | Backend про"",IF(AK149=""START | PRO"",""Аналитика старт | Алгоритмы старт | Backend старт | ML старт | AI-агенты про | Алгоритмы про | Аналитика про | ML про | Backend про"",""""))),TEXTJOIN("" | "",TRUE,IF(REGEXMATCH(LOWER(AL149&amp;"" | ""&amp;E149),""анал"&amp;"итика старт""),""Аналитика старт"",""""),IF(REGEXMATCH(LOWER(AL149&amp;"" | ""&amp;E149),""алгоритмы старт""),""Алгоритмы старт"",""""),IF(REGEXMATCH(LOWER(AL149&amp;"" | ""&amp;E149),""backend старт""),""Backend старт"",""""),IF(REGEXMATCH(LOWER(AL149&amp;"" | ""&amp;E149),""ml"&amp;" старт""),""ML старт"",""""),IF(REGEXMATCH(LOWER(AL149&amp;"" | ""&amp;E149),""ai[ -]?агент""),""AI-агенты про"",""""),IF(REGEXMATCH(LOWER(AL149&amp;"" | ""&amp;E149),""алгоритмы про""),""Алгоритмы про"",""""),IF(REGEXMATCH(LOWER(AL149&amp;"" | ""&amp;E149),""аналитика про""),"""&amp;"Аналитика про"",""""),IF(REGEXMATCH(LOWER(AL149&amp;"" | ""&amp;E149),""ml про""),""ML про"",""""),IF(REGEXMATCH(LOWER(AL149&amp;"" | ""&amp;E149),""backend про""),""Backend про"",""""),IF(REGEXMATCH(LOWER(AL149&amp;"" | ""&amp;E149),""(а/в|ав|а в|ab)[ -]?тест""),""А/В-тесты"","&amp;"""""),IF(REGEXMATCH(LOWER(AL149&amp;"" | ""&amp;E149),""data science""),""Data science"",""""),IF(REGEXMATCH(LOWER(AL149&amp;"" | ""&amp;E149),""data[- ]?инжен""),""Data-инженер"",""""),IF(REGEXMATCH(LOWER(AL149&amp;"" | ""&amp;E149),""frontend""),""Frontend"",""""))))"),"")</f>
        <v/>
      </c>
    </row>
    <row r="150">
      <c r="A150" s="6" t="str">
        <f>IFERROR(__xludf.DUMMYFUNCTION("""COMPUTED_VALUE"""),"EXT-50")</f>
        <v>EXT-50</v>
      </c>
      <c r="B150" s="6" t="str">
        <f>IFERROR(__xludf.DUMMYFUNCTION("""COMPUTED_VALUE"""),"2026-08-10 21:55:16")</f>
        <v>2026-08-10 21:55:16</v>
      </c>
      <c r="C150" s="6" t="str">
        <f>IFERROR(__xludf.DUMMYFUNCTION("""COMPUTED_VALUE"""),"@matesha_shad")</f>
        <v>@matesha_shad</v>
      </c>
      <c r="D150" s="4" t="str">
        <f>IFERROR(__xludf.DUMMYFUNCTION("""COMPUTED_VALUE"""),"Промо со скидкой")</f>
        <v>Промо со скидкой</v>
      </c>
      <c r="E150" s="6" t="str">
        <f>IFERROR(__xludf.DUMMYFUNCTION("""COMPUTED_VALUE"""),"")</f>
        <v/>
      </c>
      <c r="F150" s="6" t="str">
        <f>IFERROR(__xludf.DUMMYFUNCTION("""COMPUTED_VALUE"""),"")</f>
        <v/>
      </c>
      <c r="G150" s="10" t="str">
        <f>IFERROR(__xludf.DUMMYFUNCTION("""COMPUTED_VALUE"""),"https://t.me/matesha_shad/374")</f>
        <v>https://t.me/matesha_shad/374</v>
      </c>
      <c r="H150" s="6" t="str">
        <f>IFERROR(__xludf.DUMMYFUNCTION("""COMPUTED_VALUE"""),"У России три пути: 18+, ***** и IT
И кажется, у нас случился переход между карьерными треками…
Нам неважно, какой у человека бэкграунд и чем он занимался раньше. Важно, куда он хочет прийти и что готов для этого делать.
Наша студентка, Алина, решила кар"&amp;"динально сменить сферу, пришла на «СТАРТ» и теперь готовится к своей новой цели — получить оффер в Яндекс.
Можно следить за успехами и учиться вместе с Алиной. На наши курсы старт, идут финальные 4 часа скидки. 
➡️ Записаться")</f>
        <v>У России три пути: 18+, ***** и IT
И кажется, у нас случился переход между карьерными треками…
Нам неважно, какой у человека бэкграунд и чем он занимался раньше. Важно, куда он хочет прийти и что готов для этого делать.
Наша студентка, Алина, решила кардинально сменить сферу, пришла на «СТАРТ» и теперь готовится к своей новой цели — получить оффер в Яндекс.
Можно следить за успехами и учиться вместе с Алиной. На наши курсы старт, идут финальные 4 часа скидки. 
➡️ Записаться</v>
      </c>
      <c r="I150" s="6" t="str">
        <f>IFERROR(__xludf.DUMMYFUNCTION("""COMPUTED_VALUE"""),"external")</f>
        <v>external</v>
      </c>
      <c r="J150" s="10" t="str">
        <f>IFERROR(__xludf.DUMMYFUNCTION("""COMPUTED_VALUE"""),"https://t.me/matesha_shad/374")</f>
        <v>https://t.me/matesha_shad/374</v>
      </c>
      <c r="K150" s="6">
        <f>IFERROR(__xludf.DUMMYFUNCTION("""COMPUTED_VALUE"""),2110.0)</f>
        <v>2110</v>
      </c>
      <c r="L150" s="6"/>
      <c r="M150" s="6"/>
      <c r="N150" s="6" t="str">
        <f>IFERROR(__xludf.DUMMYFUNCTION("""COMPUTED_VALUE"""),"Telegram")</f>
        <v>Telegram</v>
      </c>
      <c r="O150" s="6" t="str">
        <f>IFERROR(__xludf.DUMMYFUNCTION("""COMPUTED_VALUE"""),"raw")</f>
        <v>raw</v>
      </c>
      <c r="P150" s="6" t="str">
        <f>IFERROR(__xludf.DUMMYFUNCTION("""COMPUTED_VALUE"""),"Codex")</f>
        <v>Codex</v>
      </c>
      <c r="Q150" s="6" t="str">
        <f>IFERROR(__xludf.DUMMYFUNCTION("""COMPUTED_VALUE"""),"Общий контакт @vice22821; признак связи с проектом")</f>
        <v>Общий контакт @vice22821; признак связи с проектом</v>
      </c>
      <c r="R150" s="6" t="str">
        <f>IFERROR(__xludf.DUMMYFUNCTION("""COMPUTED_VALUE"""),"unknown")</f>
        <v>unknown</v>
      </c>
      <c r="S150" s="6" t="str">
        <f>IFERROR(__xludf.DUMMYFUNCTION("""COMPUTED_VALUE"""),"unknown")</f>
        <v>unknown</v>
      </c>
      <c r="T150" s="6" t="str">
        <f>IFERROR(__xludf.DUMMYFUNCTION("""COMPUTED_VALUE"""),"telegram_external")</f>
        <v>telegram_external</v>
      </c>
      <c r="U150" s="6" t="str">
        <f>IFERROR(__xludf.DUMMYFUNCTION("""COMPUTED_VALUE"""),"Промо со скидкой")</f>
        <v>Промо со скидкой</v>
      </c>
      <c r="V150" s="6" t="str">
        <f>IFERROR(__xludf.DUMMYFUNCTION("""COMPUTED_VALUE"""),"")</f>
        <v/>
      </c>
      <c r="W150" s="6" t="str">
        <f>IFERROR(__xludf.DUMMYFUNCTION("""COMPUTED_VALUE"""),"")</f>
        <v/>
      </c>
      <c r="X150" s="6" t="str">
        <f>IFERROR(__xludf.DUMMYFUNCTION("""COMPUTED_VALUE"""),"Forwarded from Поступашки - ШАД, Стажировки и Магистратура")</f>
        <v>Forwarded from Поступашки - ШАД, Стажировки и Магистратура</v>
      </c>
      <c r="Y150" s="6" t="str">
        <f>IFERROR(__xludf.DUMMYFUNCTION("""COMPUTED_VALUE"""),"https://t.me/postypashki_old/1840
https://t.me/postypashki_old/1757
https://t.me/postypashki_old/1835
https://t.me/m/p94YcePXNjcy")</f>
        <v>https://t.me/postypashki_old/1840
https://t.me/postypashki_old/1757
https://t.me/postypashki_old/1835
https://t.me/m/p94YcePXNjcy</v>
      </c>
      <c r="Z150" s="6" t="b">
        <f>IFERROR(__xludf.DUMMYFUNCTION("""COMPUTED_VALUE"""),TRUE)</f>
        <v>1</v>
      </c>
      <c r="AA150" s="6" t="str">
        <f>IFERROR(__xludf.DUMMYFUNCTION("""COMPUTED_VALUE"""),"")</f>
        <v/>
      </c>
      <c r="AB150" s="6" t="str">
        <f>IFERROR(__xludf.DUMMYFUNCTION("""COMPUTED_VALUE"""),"")</f>
        <v/>
      </c>
      <c r="AC150" s="6" t="str">
        <f>IFERROR(__xludf.DUMMYFUNCTION("""COMPUTED_VALUE"""),"")</f>
        <v/>
      </c>
      <c r="AD150" s="6" t="str">
        <f>IFERROR(__xludf.DUMMYFUNCTION("""COMPUTED_VALUE"""),"")</f>
        <v/>
      </c>
      <c r="AE150" s="6" t="str">
        <f>IFERROR(__xludf.DUMMYFUNCTION("""COMPUTED_VALUE"""),"")</f>
        <v/>
      </c>
      <c r="AF150" s="6" t="str">
        <f>IFERROR(__xludf.DUMMYFUNCTION("""COMPUTED_VALUE"""),"Не подтверждено")</f>
        <v>Не подтверждено</v>
      </c>
      <c r="AG150" s="6" t="str">
        <f>IFERROR(__xludf.DUMMYFUNCTION("""COMPUTED_VALUE"""),"")</f>
        <v/>
      </c>
      <c r="AH150" s="6" t="str">
        <f>IFERROR(__xludf.DUMMYFUNCTION("""COMPUTED_VALUE"""),"2026-09-11T11:47:48.120400+00:00")</f>
        <v>2026-09-11T11:47:48.120400+00:00</v>
      </c>
      <c r="AI150" s="6" t="str">
        <f>IFERROR(__xludf.DUMMYFUNCTION("""COMPUTED_VALUE"""),"raw/matesha_shad/page_000.html")</f>
        <v>raw/matesha_shad/page_000.html</v>
      </c>
      <c r="AJ150" s="9" t="s">
        <v>167</v>
      </c>
      <c r="AK150" s="9" t="s">
        <v>213</v>
      </c>
      <c r="AM150" s="9" t="s">
        <v>219</v>
      </c>
      <c r="AN150" s="4" t="str">
        <f>IFERROR(__xludf.DUMMYFUNCTION("IF(OR(AJ150=""general_brand"",AJ150=""external"",AJ150=""unknown""),"""",IF(AJ150=""product_line"",IF(AK150=""START"",""Аналитика старт | Алгоритмы старт | Backend старт | ML старт"",IF(AK150=""PRO"",""AI-агенты про | Алгоритмы про | Аналитика про | ML пр"&amp;"о | Backend про"",IF(AK150=""START | PRO"",""Аналитика старт | Алгоритмы старт | Backend старт | ML старт | AI-агенты про | Алгоритмы про | Аналитика про | ML про | Backend про"",""""))),TEXTJOIN("" | "",TRUE,IF(REGEXMATCH(LOWER(AL150&amp;"" | ""&amp;E150),""анал"&amp;"итика старт""),""Аналитика старт"",""""),IF(REGEXMATCH(LOWER(AL150&amp;"" | ""&amp;E150),""алгоритмы старт""),""Алгоритмы старт"",""""),IF(REGEXMATCH(LOWER(AL150&amp;"" | ""&amp;E150),""backend старт""),""Backend старт"",""""),IF(REGEXMATCH(LOWER(AL150&amp;"" | ""&amp;E150),""ml"&amp;" старт""),""ML старт"",""""),IF(REGEXMATCH(LOWER(AL150&amp;"" | ""&amp;E150),""ai[ -]?агент""),""AI-агенты про"",""""),IF(REGEXMATCH(LOWER(AL150&amp;"" | ""&amp;E150),""алгоритмы про""),""Алгоритмы про"",""""),IF(REGEXMATCH(LOWER(AL150&amp;"" | ""&amp;E150),""аналитика про""),"""&amp;"Аналитика про"",""""),IF(REGEXMATCH(LOWER(AL150&amp;"" | ""&amp;E150),""ml про""),""ML про"",""""),IF(REGEXMATCH(LOWER(AL150&amp;"" | ""&amp;E150),""backend про""),""Backend про"",""""),IF(REGEXMATCH(LOWER(AL150&amp;"" | ""&amp;E150),""(а/в|ав|а в|ab)[ -]?тест""),""А/В-тесты"","&amp;"""""),IF(REGEXMATCH(LOWER(AL150&amp;"" | ""&amp;E150),""data science""),""Data science"",""""),IF(REGEXMATCH(LOWER(AL150&amp;"" | ""&amp;E150),""data[- ]?инжен""),""Data-инженер"",""""),IF(REGEXMATCH(LOWER(AL150&amp;"" | ""&amp;E150),""frontend""),""Frontend"",""""))))"),"Аналитика старт | Алгоритмы старт | Backend старт | ML старт")</f>
        <v>Аналитика старт | Алгоритмы старт | Backend старт | ML старт</v>
      </c>
    </row>
    <row r="151">
      <c r="A151" s="6" t="str">
        <f>IFERROR(__xludf.DUMMYFUNCTION("""COMPUTED_VALUE"""),"EXT-51")</f>
        <v>EXT-51</v>
      </c>
      <c r="B151" s="6" t="str">
        <f>IFERROR(__xludf.DUMMYFUNCTION("""COMPUTED_VALUE"""),"2026-08-10 21:55:16")</f>
        <v>2026-08-10 21:55:16</v>
      </c>
      <c r="C151" s="6" t="str">
        <f>IFERROR(__xludf.DUMMYFUNCTION("""COMPUTED_VALUE"""),"@matesha_shad")</f>
        <v>@matesha_shad</v>
      </c>
      <c r="D151" s="4" t="str">
        <f>IFERROR(__xludf.DUMMYFUNCTION("""COMPUTED_VALUE"""),"Прочий контент")</f>
        <v>Прочий контент</v>
      </c>
      <c r="E151" s="6" t="str">
        <f>IFERROR(__xludf.DUMMYFUNCTION("""COMPUTED_VALUE"""),"")</f>
        <v/>
      </c>
      <c r="F151" s="6" t="str">
        <f>IFERROR(__xludf.DUMMYFUNCTION("""COMPUTED_VALUE"""),"")</f>
        <v/>
      </c>
      <c r="G151" s="10" t="str">
        <f>IFERROR(__xludf.DUMMYFUNCTION("""COMPUTED_VALUE"""),"https://t.me/matesha_shad/375")</f>
        <v>https://t.me/matesha_shad/375</v>
      </c>
      <c r="H151" s="6"/>
      <c r="I151" s="6" t="str">
        <f>IFERROR(__xludf.DUMMYFUNCTION("""COMPUTED_VALUE"""),"external")</f>
        <v>external</v>
      </c>
      <c r="J151" s="10" t="str">
        <f>IFERROR(__xludf.DUMMYFUNCTION("""COMPUTED_VALUE"""),"https://t.me/matesha_shad/375")</f>
        <v>https://t.me/matesha_shad/375</v>
      </c>
      <c r="K151" s="6">
        <f>IFERROR(__xludf.DUMMYFUNCTION("""COMPUTED_VALUE"""),1960.0)</f>
        <v>1960</v>
      </c>
      <c r="L151" s="6">
        <f>IFERROR(__xludf.DUMMYFUNCTION("""COMPUTED_VALUE"""),48.0)</f>
        <v>48</v>
      </c>
      <c r="M151" s="6"/>
      <c r="N151" s="6" t="str">
        <f>IFERROR(__xludf.DUMMYFUNCTION("""COMPUTED_VALUE"""),"Telegram")</f>
        <v>Telegram</v>
      </c>
      <c r="O151" s="6" t="str">
        <f>IFERROR(__xludf.DUMMYFUNCTION("""COMPUTED_VALUE"""),"raw")</f>
        <v>raw</v>
      </c>
      <c r="P151" s="6" t="str">
        <f>IFERROR(__xludf.DUMMYFUNCTION("""COMPUTED_VALUE"""),"Codex")</f>
        <v>Codex</v>
      </c>
      <c r="Q151" s="6" t="str">
        <f>IFERROR(__xludf.DUMMYFUNCTION("""COMPUTED_VALUE"""),"Общий контакт @vice22821; признак связи с проектом")</f>
        <v>Общий контакт @vice22821; признак связи с проектом</v>
      </c>
      <c r="R151" s="6" t="str">
        <f>IFERROR(__xludf.DUMMYFUNCTION("""COMPUTED_VALUE"""),"unknown")</f>
        <v>unknown</v>
      </c>
      <c r="S151" s="6" t="str">
        <f>IFERROR(__xludf.DUMMYFUNCTION("""COMPUTED_VALUE"""),"unknown")</f>
        <v>unknown</v>
      </c>
      <c r="T151" s="6" t="str">
        <f>IFERROR(__xludf.DUMMYFUNCTION("""COMPUTED_VALUE"""),"telegram_external")</f>
        <v>telegram_external</v>
      </c>
      <c r="U151" s="6" t="str">
        <f>IFERROR(__xludf.DUMMYFUNCTION("""COMPUTED_VALUE"""),"Прочий контент")</f>
        <v>Прочий контент</v>
      </c>
      <c r="V151" s="6" t="str">
        <f>IFERROR(__xludf.DUMMYFUNCTION("""COMPUTED_VALUE"""),"")</f>
        <v/>
      </c>
      <c r="W151" s="6" t="str">
        <f>IFERROR(__xludf.DUMMYFUNCTION("""COMPUTED_VALUE"""),"")</f>
        <v/>
      </c>
      <c r="X151" s="6" t="str">
        <f>IFERROR(__xludf.DUMMYFUNCTION("""COMPUTED_VALUE"""),"Forwarded from Поступашки - ШАД, Стажировки и Магистратура")</f>
        <v>Forwarded from Поступашки - ШАД, Стажировки и Магистратура</v>
      </c>
      <c r="Y151" s="10" t="str">
        <f>IFERROR(__xludf.DUMMYFUNCTION("""COMPUTED_VALUE"""),"https://t.me/postypashki_old/1841")</f>
        <v>https://t.me/postypashki_old/1841</v>
      </c>
      <c r="Z151" s="6" t="b">
        <f>IFERROR(__xludf.DUMMYFUNCTION("""COMPUTED_VALUE"""),FALSE)</f>
        <v>0</v>
      </c>
      <c r="AA151" s="6" t="str">
        <f>IFERROR(__xludf.DUMMYFUNCTION("""COMPUTED_VALUE"""),"")</f>
        <v/>
      </c>
      <c r="AB151" s="6" t="str">
        <f>IFERROR(__xludf.DUMMYFUNCTION("""COMPUTED_VALUE"""),"")</f>
        <v/>
      </c>
      <c r="AC151" s="6" t="str">
        <f>IFERROR(__xludf.DUMMYFUNCTION("""COMPUTED_VALUE"""),"")</f>
        <v/>
      </c>
      <c r="AD151" s="6" t="str">
        <f>IFERROR(__xludf.DUMMYFUNCTION("""COMPUTED_VALUE"""),"")</f>
        <v/>
      </c>
      <c r="AE151" s="6" t="str">
        <f>IFERROR(__xludf.DUMMYFUNCTION("""COMPUTED_VALUE"""),"")</f>
        <v/>
      </c>
      <c r="AF151" s="6" t="str">
        <f>IFERROR(__xludf.DUMMYFUNCTION("""COMPUTED_VALUE"""),"Не подтверждено")</f>
        <v>Не подтверждено</v>
      </c>
      <c r="AG151" s="6" t="str">
        <f>IFERROR(__xludf.DUMMYFUNCTION("""COMPUTED_VALUE"""),"")</f>
        <v/>
      </c>
      <c r="AH151" s="6" t="str">
        <f>IFERROR(__xludf.DUMMYFUNCTION("""COMPUTED_VALUE"""),"2026-09-11T11:47:48.120400+00:00")</f>
        <v>2026-09-11T11:47:48.120400+00:00</v>
      </c>
      <c r="AI151" s="6" t="str">
        <f>IFERROR(__xludf.DUMMYFUNCTION("""COMPUTED_VALUE"""),"raw/matesha_shad/page_000.html")</f>
        <v>raw/matesha_shad/page_000.html</v>
      </c>
      <c r="AJ151" s="9" t="s">
        <v>208</v>
      </c>
      <c r="AM151" s="9" t="s">
        <v>229</v>
      </c>
      <c r="AN151" s="6" t="str">
        <f>IFERROR(__xludf.DUMMYFUNCTION("IF(OR(AJ151=""general_brand"",AJ151=""external"",AJ151=""unknown""),"""",IF(AJ151=""product_line"",IF(AK151=""START"",""Аналитика старт | Алгоритмы старт | Backend старт | ML старт"",IF(AK151=""PRO"",""AI-агенты про | Алгоритмы про | Аналитика про | ML пр"&amp;"о | Backend про"",IF(AK151=""START | PRO"",""Аналитика старт | Алгоритмы старт | Backend старт | ML старт | AI-агенты про | Алгоритмы про | Аналитика про | ML про | Backend про"",""""))),TEXTJOIN("" | "",TRUE,IF(REGEXMATCH(LOWER(AL151&amp;"" | ""&amp;E151),""анал"&amp;"итика старт""),""Аналитика старт"",""""),IF(REGEXMATCH(LOWER(AL151&amp;"" | ""&amp;E151),""алгоритмы старт""),""Алгоритмы старт"",""""),IF(REGEXMATCH(LOWER(AL151&amp;"" | ""&amp;E151),""backend старт""),""Backend старт"",""""),IF(REGEXMATCH(LOWER(AL151&amp;"" | ""&amp;E151),""ml"&amp;" старт""),""ML старт"",""""),IF(REGEXMATCH(LOWER(AL151&amp;"" | ""&amp;E151),""ai[ -]?агент""),""AI-агенты про"",""""),IF(REGEXMATCH(LOWER(AL151&amp;"" | ""&amp;E151),""алгоритмы про""),""Алгоритмы про"",""""),IF(REGEXMATCH(LOWER(AL151&amp;"" | ""&amp;E151),""аналитика про""),"""&amp;"Аналитика про"",""""),IF(REGEXMATCH(LOWER(AL151&amp;"" | ""&amp;E151),""ml про""),""ML про"",""""),IF(REGEXMATCH(LOWER(AL151&amp;"" | ""&amp;E151),""backend про""),""Backend про"",""""),IF(REGEXMATCH(LOWER(AL151&amp;"" | ""&amp;E151),""(а/в|ав|а в|ab)[ -]?тест""),""А/В-тесты"","&amp;"""""),IF(REGEXMATCH(LOWER(AL151&amp;"" | ""&amp;E151),""data science""),""Data science"",""""),IF(REGEXMATCH(LOWER(AL151&amp;"" | ""&amp;E151),""data[- ]?инжен""),""Data-инженер"",""""),IF(REGEXMATCH(LOWER(AL151&amp;"" | ""&amp;E151),""frontend""),""Frontend"",""""))))"),"")</f>
        <v/>
      </c>
    </row>
    <row r="152">
      <c r="A152" s="6" t="str">
        <f>IFERROR(__xludf.DUMMYFUNCTION("""COMPUTED_VALUE"""),"EXT-52")</f>
        <v>EXT-52</v>
      </c>
      <c r="B152" s="6" t="str">
        <f>IFERROR(__xludf.DUMMYFUNCTION("""COMPUTED_VALUE"""),"2026-08-10 18:46:40")</f>
        <v>2026-08-10 18:46:40</v>
      </c>
      <c r="C152" s="6" t="str">
        <f>IFERROR(__xludf.DUMMYFUNCTION("""COMPUTED_VALUE"""),"@postypashki_mems")</f>
        <v>@postypashki_mems</v>
      </c>
      <c r="D152" s="4" t="str">
        <f>IFERROR(__xludf.DUMMYFUNCTION("""COMPUTED_VALUE"""),"Прочий контент")</f>
        <v>Прочий контент</v>
      </c>
      <c r="E152" s="6" t="str">
        <f>IFERROR(__xludf.DUMMYFUNCTION("""COMPUTED_VALUE"""),"")</f>
        <v/>
      </c>
      <c r="F152" s="6" t="str">
        <f>IFERROR(__xludf.DUMMYFUNCTION("""COMPUTED_VALUE"""),"")</f>
        <v/>
      </c>
      <c r="G152" s="10" t="str">
        <f>IFERROR(__xludf.DUMMYFUNCTION("""COMPUTED_VALUE"""),"https://t.me/postypashki_mems/1378")</f>
        <v>https://t.me/postypashki_mems/1378</v>
      </c>
      <c r="H152" s="6" t="str">
        <f>IFERROR(__xludf.DUMMYFUNCTION("""COMPUTED_VALUE"""),"Товарищи, Поступашкам нужны контент мейкеры в основной канал. Если вы творческая личность, интересующейся бэкендом, дата сайнс, аналитикой, алгоритмами, дата инженеренией и так далее, вам нравится писать посты/ придумывать идеи для контента, то обязательн"&amp;"о пишите @vice22821. Оплата сдельная, ориентировочно за один пост от 2 тыс до 15 тыс рублей.
Обязательно делитесь с ребятами, которым это может быть интересно.")</f>
        <v>Товарищи, Поступашкам нужны контент мейкеры в основной канал. Если вы творческая личность, интересующейся бэкендом, дата сайнс, аналитикой, алгоритмами, дата инженеренией и так далее, вам нравится писать посты/ придумывать идеи для контента, то обязательно пишите @vice22821. Оплата сдельная, ориентировочно за один пост от 2 тыс до 15 тыс рублей.
Обязательно делитесь с ребятами, которым это может быть интересно.</v>
      </c>
      <c r="I152" s="6" t="str">
        <f>IFERROR(__xludf.DUMMYFUNCTION("""COMPUTED_VALUE"""),"external")</f>
        <v>external</v>
      </c>
      <c r="J152" s="10" t="str">
        <f>IFERROR(__xludf.DUMMYFUNCTION("""COMPUTED_VALUE"""),"https://t.me/postypashki_mems/1378")</f>
        <v>https://t.me/postypashki_mems/1378</v>
      </c>
      <c r="K152" s="6">
        <f>IFERROR(__xludf.DUMMYFUNCTION("""COMPUTED_VALUE"""),2910.0)</f>
        <v>2910</v>
      </c>
      <c r="L152" s="6"/>
      <c r="M152" s="6"/>
      <c r="N152" s="6" t="str">
        <f>IFERROR(__xludf.DUMMYFUNCTION("""COMPUTED_VALUE"""),"Telegram")</f>
        <v>Telegram</v>
      </c>
      <c r="O152" s="6" t="str">
        <f>IFERROR(__xludf.DUMMYFUNCTION("""COMPUTED_VALUE"""),"raw")</f>
        <v>raw</v>
      </c>
      <c r="P152" s="6" t="str">
        <f>IFERROR(__xludf.DUMMYFUNCTION("""COMPUTED_VALUE"""),"Codex")</f>
        <v>Codex</v>
      </c>
      <c r="Q152" s="6" t="str">
        <f>IFERROR(__xludf.DUMMYFUNCTION("""COMPUTED_VALUE"""),"Общий контакт @vice22821; признак связи с проектом")</f>
        <v>Общий контакт @vice22821; признак связи с проектом</v>
      </c>
      <c r="R152" s="6" t="str">
        <f>IFERROR(__xludf.DUMMYFUNCTION("""COMPUTED_VALUE"""),"unknown")</f>
        <v>unknown</v>
      </c>
      <c r="S152" s="6" t="str">
        <f>IFERROR(__xludf.DUMMYFUNCTION("""COMPUTED_VALUE"""),"unknown")</f>
        <v>unknown</v>
      </c>
      <c r="T152" s="6" t="str">
        <f>IFERROR(__xludf.DUMMYFUNCTION("""COMPUTED_VALUE"""),"telegram_external")</f>
        <v>telegram_external</v>
      </c>
      <c r="U152" s="6" t="str">
        <f>IFERROR(__xludf.DUMMYFUNCTION("""COMPUTED_VALUE"""),"Прочий контент")</f>
        <v>Прочий контент</v>
      </c>
      <c r="V152" s="6" t="str">
        <f>IFERROR(__xludf.DUMMYFUNCTION("""COMPUTED_VALUE"""),"")</f>
        <v/>
      </c>
      <c r="W152" s="6" t="str">
        <f>IFERROR(__xludf.DUMMYFUNCTION("""COMPUTED_VALUE"""),"")</f>
        <v/>
      </c>
      <c r="X152" s="6"/>
      <c r="Y152" s="6" t="str">
        <f>IFERROR(__xludf.DUMMYFUNCTION("""COMPUTED_VALUE"""),"http://t.me/postypashki_old
https://t.me/postypashki_old")</f>
        <v>http://t.me/postypashki_old
https://t.me/postypashki_old</v>
      </c>
      <c r="Z152" s="6" t="b">
        <f>IFERROR(__xludf.DUMMYFUNCTION("""COMPUTED_VALUE"""),FALSE)</f>
        <v>0</v>
      </c>
      <c r="AA152" s="6" t="str">
        <f>IFERROR(__xludf.DUMMYFUNCTION("""COMPUTED_VALUE"""),"")</f>
        <v/>
      </c>
      <c r="AB152" s="6" t="str">
        <f>IFERROR(__xludf.DUMMYFUNCTION("""COMPUTED_VALUE"""),"")</f>
        <v/>
      </c>
      <c r="AC152" s="6" t="str">
        <f>IFERROR(__xludf.DUMMYFUNCTION("""COMPUTED_VALUE"""),"")</f>
        <v/>
      </c>
      <c r="AD152" s="6" t="str">
        <f>IFERROR(__xludf.DUMMYFUNCTION("""COMPUTED_VALUE"""),"")</f>
        <v/>
      </c>
      <c r="AE152" s="6" t="str">
        <f>IFERROR(__xludf.DUMMYFUNCTION("""COMPUTED_VALUE"""),"")</f>
        <v/>
      </c>
      <c r="AF152" s="6" t="str">
        <f>IFERROR(__xludf.DUMMYFUNCTION("""COMPUTED_VALUE"""),"Не подтверждено")</f>
        <v>Не подтверждено</v>
      </c>
      <c r="AG152" s="6" t="str">
        <f>IFERROR(__xludf.DUMMYFUNCTION("""COMPUTED_VALUE"""),"")</f>
        <v/>
      </c>
      <c r="AH152" s="6" t="str">
        <f>IFERROR(__xludf.DUMMYFUNCTION("""COMPUTED_VALUE"""),"2026-09-11T11:48:00.259598+00:00")</f>
        <v>2026-09-11T11:48:00.259598+00:00</v>
      </c>
      <c r="AI152" s="6" t="str">
        <f>IFERROR(__xludf.DUMMYFUNCTION("""COMPUTED_VALUE"""),"raw/postypashki_mems/page_002.html")</f>
        <v>raw/postypashki_mems/page_002.html</v>
      </c>
      <c r="AJ152" s="9" t="s">
        <v>208</v>
      </c>
      <c r="AM152" s="9" t="s">
        <v>229</v>
      </c>
      <c r="AN152" s="6" t="str">
        <f>IFERROR(__xludf.DUMMYFUNCTION("IF(OR(AJ152=""general_brand"",AJ152=""external"",AJ152=""unknown""),"""",IF(AJ152=""product_line"",IF(AK152=""START"",""Аналитика старт | Алгоритмы старт | Backend старт | ML старт"",IF(AK152=""PRO"",""AI-агенты про | Алгоритмы про | Аналитика про | ML пр"&amp;"о | Backend про"",IF(AK152=""START | PRO"",""Аналитика старт | Алгоритмы старт | Backend старт | ML старт | AI-агенты про | Алгоритмы про | Аналитика про | ML про | Backend про"",""""))),TEXTJOIN("" | "",TRUE,IF(REGEXMATCH(LOWER(AL152&amp;"" | ""&amp;E152),""анал"&amp;"итика старт""),""Аналитика старт"",""""),IF(REGEXMATCH(LOWER(AL152&amp;"" | ""&amp;E152),""алгоритмы старт""),""Алгоритмы старт"",""""),IF(REGEXMATCH(LOWER(AL152&amp;"" | ""&amp;E152),""backend старт""),""Backend старт"",""""),IF(REGEXMATCH(LOWER(AL152&amp;"" | ""&amp;E152),""ml"&amp;" старт""),""ML старт"",""""),IF(REGEXMATCH(LOWER(AL152&amp;"" | ""&amp;E152),""ai[ -]?агент""),""AI-агенты про"",""""),IF(REGEXMATCH(LOWER(AL152&amp;"" | ""&amp;E152),""алгоритмы про""),""Алгоритмы про"",""""),IF(REGEXMATCH(LOWER(AL152&amp;"" | ""&amp;E152),""аналитика про""),"""&amp;"Аналитика про"",""""),IF(REGEXMATCH(LOWER(AL152&amp;"" | ""&amp;E152),""ml про""),""ML про"",""""),IF(REGEXMATCH(LOWER(AL152&amp;"" | ""&amp;E152),""backend про""),""Backend про"",""""),IF(REGEXMATCH(LOWER(AL152&amp;"" | ""&amp;E152),""(а/в|ав|а в|ab)[ -]?тест""),""А/В-тесты"","&amp;"""""),IF(REGEXMATCH(LOWER(AL152&amp;"" | ""&amp;E152),""data science""),""Data science"",""""),IF(REGEXMATCH(LOWER(AL152&amp;"" | ""&amp;E152),""data[- ]?инжен""),""Data-инженер"",""""),IF(REGEXMATCH(LOWER(AL152&amp;"" | ""&amp;E152),""frontend""),""Frontend"",""""))))"),"")</f>
        <v/>
      </c>
    </row>
    <row r="153">
      <c r="A153" s="6" t="str">
        <f>IFERROR(__xludf.DUMMYFUNCTION("""COMPUTED_VALUE"""),"EXT-53")</f>
        <v>EXT-53</v>
      </c>
      <c r="B153" s="6" t="str">
        <f>IFERROR(__xludf.DUMMYFUNCTION("""COMPUTED_VALUE"""),"2026-08-10 21:49:44")</f>
        <v>2026-08-10 21:49:44</v>
      </c>
      <c r="C153" s="6" t="str">
        <f>IFERROR(__xludf.DUMMYFUNCTION("""COMPUTED_VALUE"""),"@postypashki_mems")</f>
        <v>@postypashki_mems</v>
      </c>
      <c r="D153" s="4" t="str">
        <f>IFERROR(__xludf.DUMMYFUNCTION("""COMPUTED_VALUE"""),"Промо со скидкой")</f>
        <v>Промо со скидкой</v>
      </c>
      <c r="E153" s="6" t="str">
        <f>IFERROR(__xludf.DUMMYFUNCTION("""COMPUTED_VALUE"""),"")</f>
        <v/>
      </c>
      <c r="F153" s="6" t="str">
        <f>IFERROR(__xludf.DUMMYFUNCTION("""COMPUTED_VALUE"""),"")</f>
        <v/>
      </c>
      <c r="G153" s="10" t="str">
        <f>IFERROR(__xludf.DUMMYFUNCTION("""COMPUTED_VALUE"""),"https://t.me/postypashki_mems/1380")</f>
        <v>https://t.me/postypashki_mems/1380</v>
      </c>
      <c r="H153" s="6" t="str">
        <f>IFERROR(__xludf.DUMMYFUNCTION("""COMPUTED_VALUE"""),"У России три пути: 18+, ***** и IT
И кажется, у нас случился переход между карьерными треками…
Нам неважно, какой у человека бэкграунд и чем он занимался раньше. Важно, куда он хочет прийти и что готов для этого делать.
Наша студентка, Алина, решила кар"&amp;"динально сменить сферу, пришла на «СТАРТ» и теперь готовится к своей новой цели — получить оффер в Яндекс.
Можно следить за успехами и учиться вместе с Алиной. На наши курсы старт, идут финальные 4 часа скидки. 
➡️ Записаться")</f>
        <v>У России три пути: 18+, ***** и IT
И кажется, у нас случился переход между карьерными треками…
Нам неважно, какой у человека бэкграунд и чем он занимался раньше. Важно, куда он хочет прийти и что готов для этого делать.
Наша студентка, Алина, решила кардинально сменить сферу, пришла на «СТАРТ» и теперь готовится к своей новой цели — получить оффер в Яндекс.
Можно следить за успехами и учиться вместе с Алиной. На наши курсы старт, идут финальные 4 часа скидки. 
➡️ Записаться</v>
      </c>
      <c r="I153" s="6" t="str">
        <f>IFERROR(__xludf.DUMMYFUNCTION("""COMPUTED_VALUE"""),"external")</f>
        <v>external</v>
      </c>
      <c r="J153" s="10" t="str">
        <f>IFERROR(__xludf.DUMMYFUNCTION("""COMPUTED_VALUE"""),"https://t.me/postypashki_mems/1380")</f>
        <v>https://t.me/postypashki_mems/1380</v>
      </c>
      <c r="K153" s="6">
        <f>IFERROR(__xludf.DUMMYFUNCTION("""COMPUTED_VALUE"""),2040.0)</f>
        <v>2040</v>
      </c>
      <c r="L153" s="6"/>
      <c r="M153" s="6"/>
      <c r="N153" s="6" t="str">
        <f>IFERROR(__xludf.DUMMYFUNCTION("""COMPUTED_VALUE"""),"Telegram")</f>
        <v>Telegram</v>
      </c>
      <c r="O153" s="6" t="str">
        <f>IFERROR(__xludf.DUMMYFUNCTION("""COMPUTED_VALUE"""),"raw")</f>
        <v>raw</v>
      </c>
      <c r="P153" s="6" t="str">
        <f>IFERROR(__xludf.DUMMYFUNCTION("""COMPUTED_VALUE"""),"Codex")</f>
        <v>Codex</v>
      </c>
      <c r="Q153" s="6" t="str">
        <f>IFERROR(__xludf.DUMMYFUNCTION("""COMPUTED_VALUE"""),"Общий контакт @vice22821; признак связи с проектом")</f>
        <v>Общий контакт @vice22821; признак связи с проектом</v>
      </c>
      <c r="R153" s="6" t="str">
        <f>IFERROR(__xludf.DUMMYFUNCTION("""COMPUTED_VALUE"""),"unknown")</f>
        <v>unknown</v>
      </c>
      <c r="S153" s="6" t="str">
        <f>IFERROR(__xludf.DUMMYFUNCTION("""COMPUTED_VALUE"""),"unknown")</f>
        <v>unknown</v>
      </c>
      <c r="T153" s="6" t="str">
        <f>IFERROR(__xludf.DUMMYFUNCTION("""COMPUTED_VALUE"""),"telegram_external")</f>
        <v>telegram_external</v>
      </c>
      <c r="U153" s="6" t="str">
        <f>IFERROR(__xludf.DUMMYFUNCTION("""COMPUTED_VALUE"""),"Промо со скидкой")</f>
        <v>Промо со скидкой</v>
      </c>
      <c r="V153" s="6" t="str">
        <f>IFERROR(__xludf.DUMMYFUNCTION("""COMPUTED_VALUE"""),"")</f>
        <v/>
      </c>
      <c r="W153" s="6" t="str">
        <f>IFERROR(__xludf.DUMMYFUNCTION("""COMPUTED_VALUE"""),"")</f>
        <v/>
      </c>
      <c r="X153" s="6" t="str">
        <f>IFERROR(__xludf.DUMMYFUNCTION("""COMPUTED_VALUE"""),"Forwarded from Поступашки - ШАД, Стажировки и Магистратура")</f>
        <v>Forwarded from Поступашки - ШАД, Стажировки и Магистратура</v>
      </c>
      <c r="Y153" s="6" t="str">
        <f>IFERROR(__xludf.DUMMYFUNCTION("""COMPUTED_VALUE"""),"https://t.me/postypashki_old/1840
https://t.me/postypashki_old/1757
https://t.me/postypashki_old/1835
https://t.me/m/p94YcePXNjcy")</f>
        <v>https://t.me/postypashki_old/1840
https://t.me/postypashki_old/1757
https://t.me/postypashki_old/1835
https://t.me/m/p94YcePXNjcy</v>
      </c>
      <c r="Z153" s="6" t="b">
        <f>IFERROR(__xludf.DUMMYFUNCTION("""COMPUTED_VALUE"""),TRUE)</f>
        <v>1</v>
      </c>
      <c r="AA153" s="6" t="str">
        <f>IFERROR(__xludf.DUMMYFUNCTION("""COMPUTED_VALUE"""),"")</f>
        <v/>
      </c>
      <c r="AB153" s="6" t="str">
        <f>IFERROR(__xludf.DUMMYFUNCTION("""COMPUTED_VALUE"""),"")</f>
        <v/>
      </c>
      <c r="AC153" s="6" t="str">
        <f>IFERROR(__xludf.DUMMYFUNCTION("""COMPUTED_VALUE"""),"")</f>
        <v/>
      </c>
      <c r="AD153" s="6" t="str">
        <f>IFERROR(__xludf.DUMMYFUNCTION("""COMPUTED_VALUE"""),"")</f>
        <v/>
      </c>
      <c r="AE153" s="6" t="str">
        <f>IFERROR(__xludf.DUMMYFUNCTION("""COMPUTED_VALUE"""),"")</f>
        <v/>
      </c>
      <c r="AF153" s="6" t="str">
        <f>IFERROR(__xludf.DUMMYFUNCTION("""COMPUTED_VALUE"""),"Не подтверждено")</f>
        <v>Не подтверждено</v>
      </c>
      <c r="AG153" s="6" t="str">
        <f>IFERROR(__xludf.DUMMYFUNCTION("""COMPUTED_VALUE"""),"")</f>
        <v/>
      </c>
      <c r="AH153" s="6" t="str">
        <f>IFERROR(__xludf.DUMMYFUNCTION("""COMPUTED_VALUE"""),"2026-09-11T11:48:00.259598+00:00")</f>
        <v>2026-09-11T11:48:00.259598+00:00</v>
      </c>
      <c r="AI153" s="6" t="str">
        <f>IFERROR(__xludf.DUMMYFUNCTION("""COMPUTED_VALUE"""),"raw/postypashki_mems/page_002.html")</f>
        <v>raw/postypashki_mems/page_002.html</v>
      </c>
      <c r="AJ153" s="9" t="s">
        <v>167</v>
      </c>
      <c r="AK153" s="9" t="s">
        <v>213</v>
      </c>
      <c r="AM153" s="9" t="s">
        <v>219</v>
      </c>
      <c r="AN153" s="4" t="str">
        <f>IFERROR(__xludf.DUMMYFUNCTION("IF(OR(AJ153=""general_brand"",AJ153=""external"",AJ153=""unknown""),"""",IF(AJ153=""product_line"",IF(AK153=""START"",""Аналитика старт | Алгоритмы старт | Backend старт | ML старт"",IF(AK153=""PRO"",""AI-агенты про | Алгоритмы про | Аналитика про | ML пр"&amp;"о | Backend про"",IF(AK153=""START | PRO"",""Аналитика старт | Алгоритмы старт | Backend старт | ML старт | AI-агенты про | Алгоритмы про | Аналитика про | ML про | Backend про"",""""))),TEXTJOIN("" | "",TRUE,IF(REGEXMATCH(LOWER(AL153&amp;"" | ""&amp;E153),""анал"&amp;"итика старт""),""Аналитика старт"",""""),IF(REGEXMATCH(LOWER(AL153&amp;"" | ""&amp;E153),""алгоритмы старт""),""Алгоритмы старт"",""""),IF(REGEXMATCH(LOWER(AL153&amp;"" | ""&amp;E153),""backend старт""),""Backend старт"",""""),IF(REGEXMATCH(LOWER(AL153&amp;"" | ""&amp;E153),""ml"&amp;" старт""),""ML старт"",""""),IF(REGEXMATCH(LOWER(AL153&amp;"" | ""&amp;E153),""ai[ -]?агент""),""AI-агенты про"",""""),IF(REGEXMATCH(LOWER(AL153&amp;"" | ""&amp;E153),""алгоритмы про""),""Алгоритмы про"",""""),IF(REGEXMATCH(LOWER(AL153&amp;"" | ""&amp;E153),""аналитика про""),"""&amp;"Аналитика про"",""""),IF(REGEXMATCH(LOWER(AL153&amp;"" | ""&amp;E153),""ml про""),""ML про"",""""),IF(REGEXMATCH(LOWER(AL153&amp;"" | ""&amp;E153),""backend про""),""Backend про"",""""),IF(REGEXMATCH(LOWER(AL153&amp;"" | ""&amp;E153),""(а/в|ав|а в|ab)[ -]?тест""),""А/В-тесты"","&amp;"""""),IF(REGEXMATCH(LOWER(AL153&amp;"" | ""&amp;E153),""data science""),""Data science"",""""),IF(REGEXMATCH(LOWER(AL153&amp;"" | ""&amp;E153),""data[- ]?инжен""),""Data-инженер"",""""),IF(REGEXMATCH(LOWER(AL153&amp;"" | ""&amp;E153),""frontend""),""Frontend"",""""))))"),"Аналитика старт | Алгоритмы старт | Backend старт | ML старт")</f>
        <v>Аналитика старт | Алгоритмы старт | Backend старт | ML старт</v>
      </c>
    </row>
    <row r="154">
      <c r="A154" s="6" t="str">
        <f>IFERROR(__xludf.DUMMYFUNCTION("""COMPUTED_VALUE"""),"EXT-54")</f>
        <v>EXT-54</v>
      </c>
      <c r="B154" s="6" t="str">
        <f>IFERROR(__xludf.DUMMYFUNCTION("""COMPUTED_VALUE"""),"2026-08-10 21:49:44")</f>
        <v>2026-08-10 21:49:44</v>
      </c>
      <c r="C154" s="6" t="str">
        <f>IFERROR(__xludf.DUMMYFUNCTION("""COMPUTED_VALUE"""),"@postypashki_mems")</f>
        <v>@postypashki_mems</v>
      </c>
      <c r="D154" s="4" t="str">
        <f>IFERROR(__xludf.DUMMYFUNCTION("""COMPUTED_VALUE"""),"Прочий контент")</f>
        <v>Прочий контент</v>
      </c>
      <c r="E154" s="6" t="str">
        <f>IFERROR(__xludf.DUMMYFUNCTION("""COMPUTED_VALUE"""),"")</f>
        <v/>
      </c>
      <c r="F154" s="6" t="str">
        <f>IFERROR(__xludf.DUMMYFUNCTION("""COMPUTED_VALUE"""),"")</f>
        <v/>
      </c>
      <c r="G154" s="10" t="str">
        <f>IFERROR(__xludf.DUMMYFUNCTION("""COMPUTED_VALUE"""),"https://t.me/postypashki_mems/1381")</f>
        <v>https://t.me/postypashki_mems/1381</v>
      </c>
      <c r="H154" s="6"/>
      <c r="I154" s="6" t="str">
        <f>IFERROR(__xludf.DUMMYFUNCTION("""COMPUTED_VALUE"""),"external")</f>
        <v>external</v>
      </c>
      <c r="J154" s="10" t="str">
        <f>IFERROR(__xludf.DUMMYFUNCTION("""COMPUTED_VALUE"""),"https://t.me/postypashki_mems/1381")</f>
        <v>https://t.me/postypashki_mems/1381</v>
      </c>
      <c r="K154" s="6">
        <f>IFERROR(__xludf.DUMMYFUNCTION("""COMPUTED_VALUE"""),1930.0)</f>
        <v>1930</v>
      </c>
      <c r="L154" s="6">
        <f>IFERROR(__xludf.DUMMYFUNCTION("""COMPUTED_VALUE"""),21.0)</f>
        <v>21</v>
      </c>
      <c r="M154" s="6"/>
      <c r="N154" s="6" t="str">
        <f>IFERROR(__xludf.DUMMYFUNCTION("""COMPUTED_VALUE"""),"Telegram")</f>
        <v>Telegram</v>
      </c>
      <c r="O154" s="6" t="str">
        <f>IFERROR(__xludf.DUMMYFUNCTION("""COMPUTED_VALUE"""),"raw")</f>
        <v>raw</v>
      </c>
      <c r="P154" s="6" t="str">
        <f>IFERROR(__xludf.DUMMYFUNCTION("""COMPUTED_VALUE"""),"Codex")</f>
        <v>Codex</v>
      </c>
      <c r="Q154" s="6" t="str">
        <f>IFERROR(__xludf.DUMMYFUNCTION("""COMPUTED_VALUE"""),"Общий контакт @vice22821; признак связи с проектом")</f>
        <v>Общий контакт @vice22821; признак связи с проектом</v>
      </c>
      <c r="R154" s="6" t="str">
        <f>IFERROR(__xludf.DUMMYFUNCTION("""COMPUTED_VALUE"""),"unknown")</f>
        <v>unknown</v>
      </c>
      <c r="S154" s="6" t="str">
        <f>IFERROR(__xludf.DUMMYFUNCTION("""COMPUTED_VALUE"""),"unknown")</f>
        <v>unknown</v>
      </c>
      <c r="T154" s="6" t="str">
        <f>IFERROR(__xludf.DUMMYFUNCTION("""COMPUTED_VALUE"""),"telegram_external")</f>
        <v>telegram_external</v>
      </c>
      <c r="U154" s="6" t="str">
        <f>IFERROR(__xludf.DUMMYFUNCTION("""COMPUTED_VALUE"""),"Прочий контент")</f>
        <v>Прочий контент</v>
      </c>
      <c r="V154" s="6" t="str">
        <f>IFERROR(__xludf.DUMMYFUNCTION("""COMPUTED_VALUE"""),"")</f>
        <v/>
      </c>
      <c r="W154" s="6" t="str">
        <f>IFERROR(__xludf.DUMMYFUNCTION("""COMPUTED_VALUE"""),"")</f>
        <v/>
      </c>
      <c r="X154" s="6" t="str">
        <f>IFERROR(__xludf.DUMMYFUNCTION("""COMPUTED_VALUE"""),"Forwarded from Поступашки - ШАД, Стажировки и Магистратура")</f>
        <v>Forwarded from Поступашки - ШАД, Стажировки и Магистратура</v>
      </c>
      <c r="Y154" s="10" t="str">
        <f>IFERROR(__xludf.DUMMYFUNCTION("""COMPUTED_VALUE"""),"https://t.me/postypashki_old/1841")</f>
        <v>https://t.me/postypashki_old/1841</v>
      </c>
      <c r="Z154" s="6" t="b">
        <f>IFERROR(__xludf.DUMMYFUNCTION("""COMPUTED_VALUE"""),FALSE)</f>
        <v>0</v>
      </c>
      <c r="AA154" s="6" t="str">
        <f>IFERROR(__xludf.DUMMYFUNCTION("""COMPUTED_VALUE"""),"")</f>
        <v/>
      </c>
      <c r="AB154" s="6" t="str">
        <f>IFERROR(__xludf.DUMMYFUNCTION("""COMPUTED_VALUE"""),"")</f>
        <v/>
      </c>
      <c r="AC154" s="6" t="str">
        <f>IFERROR(__xludf.DUMMYFUNCTION("""COMPUTED_VALUE"""),"")</f>
        <v/>
      </c>
      <c r="AD154" s="6" t="str">
        <f>IFERROR(__xludf.DUMMYFUNCTION("""COMPUTED_VALUE"""),"")</f>
        <v/>
      </c>
      <c r="AE154" s="6" t="str">
        <f>IFERROR(__xludf.DUMMYFUNCTION("""COMPUTED_VALUE"""),"")</f>
        <v/>
      </c>
      <c r="AF154" s="6" t="str">
        <f>IFERROR(__xludf.DUMMYFUNCTION("""COMPUTED_VALUE"""),"Не подтверждено")</f>
        <v>Не подтверждено</v>
      </c>
      <c r="AG154" s="6" t="str">
        <f>IFERROR(__xludf.DUMMYFUNCTION("""COMPUTED_VALUE"""),"")</f>
        <v/>
      </c>
      <c r="AH154" s="6" t="str">
        <f>IFERROR(__xludf.DUMMYFUNCTION("""COMPUTED_VALUE"""),"2026-09-11T11:48:00.259598+00:00")</f>
        <v>2026-09-11T11:48:00.259598+00:00</v>
      </c>
      <c r="AI154" s="6" t="str">
        <f>IFERROR(__xludf.DUMMYFUNCTION("""COMPUTED_VALUE"""),"raw/postypashki_mems/page_002.html")</f>
        <v>raw/postypashki_mems/page_002.html</v>
      </c>
      <c r="AJ154" s="9" t="s">
        <v>208</v>
      </c>
      <c r="AM154" s="9" t="s">
        <v>229</v>
      </c>
      <c r="AN154" s="6" t="str">
        <f>IFERROR(__xludf.DUMMYFUNCTION("IF(OR(AJ154=""general_brand"",AJ154=""external"",AJ154=""unknown""),"""",IF(AJ154=""product_line"",IF(AK154=""START"",""Аналитика старт | Алгоритмы старт | Backend старт | ML старт"",IF(AK154=""PRO"",""AI-агенты про | Алгоритмы про | Аналитика про | ML пр"&amp;"о | Backend про"",IF(AK154=""START | PRO"",""Аналитика старт | Алгоритмы старт | Backend старт | ML старт | AI-агенты про | Алгоритмы про | Аналитика про | ML про | Backend про"",""""))),TEXTJOIN("" | "",TRUE,IF(REGEXMATCH(LOWER(AL154&amp;"" | ""&amp;E154),""анал"&amp;"итика старт""),""Аналитика старт"",""""),IF(REGEXMATCH(LOWER(AL154&amp;"" | ""&amp;E154),""алгоритмы старт""),""Алгоритмы старт"",""""),IF(REGEXMATCH(LOWER(AL154&amp;"" | ""&amp;E154),""backend старт""),""Backend старт"",""""),IF(REGEXMATCH(LOWER(AL154&amp;"" | ""&amp;E154),""ml"&amp;" старт""),""ML старт"",""""),IF(REGEXMATCH(LOWER(AL154&amp;"" | ""&amp;E154),""ai[ -]?агент""),""AI-агенты про"",""""),IF(REGEXMATCH(LOWER(AL154&amp;"" | ""&amp;E154),""алгоритмы про""),""Алгоритмы про"",""""),IF(REGEXMATCH(LOWER(AL154&amp;"" | ""&amp;E154),""аналитика про""),"""&amp;"Аналитика про"",""""),IF(REGEXMATCH(LOWER(AL154&amp;"" | ""&amp;E154),""ml про""),""ML про"",""""),IF(REGEXMATCH(LOWER(AL154&amp;"" | ""&amp;E154),""backend про""),""Backend про"",""""),IF(REGEXMATCH(LOWER(AL154&amp;"" | ""&amp;E154),""(а/в|ав|а в|ab)[ -]?тест""),""А/В-тесты"","&amp;"""""),IF(REGEXMATCH(LOWER(AL154&amp;"" | ""&amp;E154),""data science""),""Data science"",""""),IF(REGEXMATCH(LOWER(AL154&amp;"" | ""&amp;E154),""data[- ]?инжен""),""Data-инженер"",""""),IF(REGEXMATCH(LOWER(AL154&amp;"" | ""&amp;E154),""frontend""),""Frontend"",""""))))"),"")</f>
        <v/>
      </c>
    </row>
    <row r="155">
      <c r="A155" s="6" t="str">
        <f>IFERROR(__xludf.DUMMYFUNCTION("""COMPUTED_VALUE"""),"EXT-55")</f>
        <v>EXT-55</v>
      </c>
      <c r="B155" s="6" t="str">
        <f>IFERROR(__xludf.DUMMYFUNCTION("""COMPUTED_VALUE"""),"2026-08-10 18:51:51")</f>
        <v>2026-08-10 18:51:51</v>
      </c>
      <c r="C155" s="6" t="str">
        <f>IFERROR(__xludf.DUMMYFUNCTION("""COMPUTED_VALUE"""),"@zadachi_ds")</f>
        <v>@zadachi_ds</v>
      </c>
      <c r="D155" s="4" t="str">
        <f>IFERROR(__xludf.DUMMYFUNCTION("""COMPUTED_VALUE"""),"Промо со скидкой")</f>
        <v>Промо со скидкой</v>
      </c>
      <c r="E155" s="6" t="str">
        <f>IFERROR(__xludf.DUMMYFUNCTION("""COMPUTED_VALUE"""),"")</f>
        <v/>
      </c>
      <c r="F155" s="6" t="str">
        <f>IFERROR(__xludf.DUMMYFUNCTION("""COMPUTED_VALUE"""),"")</f>
        <v/>
      </c>
      <c r="G155" s="10" t="str">
        <f>IFERROR(__xludf.DUMMYFUNCTION("""COMPUTED_VALUE"""),"https://t.me/zadachi_ds/391")</f>
        <v>https://t.me/zadachi_ds/391</v>
      </c>
      <c r="H155" s="6" t="str">
        <f>IFERROR(__xludf.DUMMYFUNCTION("""COMPUTED_VALUE"""),"Интервью в Avito: Middle+/Senior ML/DS Engineer. 350–400 тыс. Июнь 2026
Наш выпускник проходил собеседование на позицию ML Engineer в Avito. Уровень заявлялся как Middle+/Senior с предполагаемым доходом 350–400 тыс. Формат занятости гибкий: от гибридного"&amp;" до полной удаленки, зависит от договоренностей с командой.
Авито славится своими высоко организованными процессами, высоким уровнем спецов и высокими зарплатами, большим количеством интервью. Также славятся тем, что пытаются срезать грейд. И кстати Авито"&amp;" начинает заходить в страны СНГ, поэтому компания может быть интересна еще и будущим релокантам.  Короче, в посте обсудим ключевые этапы отбора. 
Первичное знакомство и организационные моменты
Скрининг и логистика оставили смешанные чувства. Изначально н"&amp;"ас предупреждали, что процесс компактный, но на деле он растянулся почти на месяц. Трижды переносили встречи то из-за болезней интервьюеров, то из-за пересечения таймслотов, то просто не было подходящих окон. Ирония в том, что две секции в итоге все-таки "&amp;"провели в один день. Компания старается быть быстрой, но реальность, как обычно, вносит свои коррективы. Однако сами собеседования проходили в спокойном ключе: по одному интервьюеру на этап, приятная и адекватная атмосфера, возможность подумать и уточнить"&amp;" вопросы.
1. ML-теория
Час плотного, но не запредельного диалога. Опросили по трансформерам: принципы работы, разница между энкодером и декодером, внутреннее устройство механизма внимания (self-attention) и общая логика обработки последовательностей. По"&amp;" классике затронули линейную и логистическую регрессию: от принципов работы и функций потерь до аналитического решения. Про ансамбли: глубоко копали bagging и boosting, их отличия и влияние на смещение и дисперсию. Затронули метрики качества: интерпретаци"&amp;"ю и сценарии применения. По сути, это был хороший тест на фундаментальную базу без попыток завалить редкими деталями, но требовал четкого понимания.
2. Python-интервью
Час практической работы. Как я понял, у них есть типовой шаблон: написать реализацию л"&amp;"огистической или линейной регрессии с нуля. Дальше обсуждаются возможные улучшения, ограничения и пути оптимизации. Также проверили базовое понимание архитектуры языка: GIL, асинхронность, ООП. Вопросы были именно в разрезе продакшен-разработки, а не пров"&amp;"ерки на знание экзотических функций.
 3. Секция ML System Design
Этот этап ожидаемо оказался самым интенсивным. Заявлено было полтора часа, но по факту уложились в час. Для проектирования это невероятно сжатые сроки. За это время пришлось затронуть и биз"&amp;"нес-контекст, и метрики, и данные, архитектуру, SLA, мониторинг, риски и стратегию раскатки. По сути, это был блиц-опрос на скорость мышления.
Момент, который вызвал внутреннее удивление: обсуждение бизнес-составляющей свернули очень быстро и практически "&amp;"сразу ушли в технические рельсы. В классическом MLSD бизнес-метрики - это фундамент, на котором строится всё решение. Здесь же интервьюер сфокусировался на железе, архитектуре и способах реализации, оставив продуктовую логику за скобками. На тот момент мн"&amp;"е показалось, что это странный подход, но в итоге это оказалось частью их стресс-теста.
Фидбек и долгожданный оффер
Несмотря на непривычный формат, через пару дней после секции я получил приглашение на заключительный созвон с HR, а уже через неделю: подт"&amp;"верждение о прохождении и оффер. 
Коммуникация
В отличие от затянутого старта (где собеседования переносили), финальный этап прошел максимально быстро и прозрачно. На созвоне с командой (тимлид и ведущий инженер) у нас состоялся откровенный разговор. Уда"&amp;"лось обсудить не только будущие задачи, но и их внутренние процессы, стек, а также то, как команда справляется с текущими вызовами. Отвечал про жизнь в компании без прикрас, рассказывали и о плюсах, и о сложностях. Это подкупает, потому что показывает зре"&amp;"лость компании: они не рисуют ""золотые горы"", а нанимают людей, готовых работать с продуктом здесь и сейчас.
Если же хотите выйти на такой уровень, то советую, то советую наши курсы старт, на который мы продлили финальные скидки на 24 часа. 
➡️ Записат"&amp;"ься
Подписаться: @zadachi_ds")</f>
        <v>Интервью в Avito: Middle+/Senior ML/DS Engineer. 350–400 тыс. Июнь 2026
Наш выпускник проходил собеседование на позицию ML Engineer в Avito. Уровень заявлялся как Middle+/Senior с предполагаемым доходом 350–400 тыс. Формат занятости гибкий: от гибридного до полной удаленки, зависит от договоренностей с командой.
Авито славится своими высоко организованными процессами, высоким уровнем спецов и высокими зарплатами, большим количеством интервью. Также славятся тем, что пытаются срезать грейд. И кстати Авито начинает заходить в страны СНГ, поэтому компания может быть интересна еще и будущим релокантам.  Короче, в посте обсудим ключевые этапы отбора. 
Первичное знакомство и организационные моменты
Скрининг и логистика оставили смешанные чувства. Изначально нас предупреждали, что процесс компактный, но на деле он растянулся почти на месяц. Трижды переносили встречи то из-за болезней интервьюеров, то из-за пересечения таймслотов, то просто не было подходящих окон. Ирония в том, что две секции в итоге все-таки провели в один день. Компания старается быть быстрой, но реальность, как обычно, вносит свои коррективы. Однако сами собеседования проходили в спокойном ключе: по одному интервьюеру на этап, приятная и адекватная атмосфера, возможность подумать и уточнить вопросы.
1. ML-теория
Час плотного, но не запредельного диалога. Опросили по трансформерам: принципы работы, разница между энкодером и декодером, внутреннее устройство механизма внимания (self-attention) и общая логика обработки последовательностей. По классике затронули линейную и логистическую регрессию: от принципов работы и функций потерь до аналитического решения. Про ансамбли: глубоко копали bagging и boosting, их отличия и влияние на смещение и дисперсию. Затронули метрики качества: интерпретацию и сценарии применения. По сути, это был хороший тест на фундаментальную базу без попыток завалить редкими деталями, но требовал четкого понимания.
2. Python-интервью
Час практической работы. Как я понял, у них есть типовой шаблон: написать реализацию логистической или линейной регрессии с нуля. Дальше обсуждаются возможные улучшения, ограничения и пути оптимизации. Также проверили базовое понимание архитектуры языка: GIL, асинхронность, ООП. Вопросы были именно в разрезе продакшен-разработки, а не проверки на знание экзотических функций.
 3. Секция ML System Design
Этот этап ожидаемо оказался самым интенсивным. Заявлено было полтора часа, но по факту уложились в час. Для проектирования это невероятно сжатые сроки. За это время пришлось затронуть и бизнес-контекст, и метрики, и данные, архитектуру, SLA, мониторинг, риски и стратегию раскатки. По сути, это был блиц-опрос на скорость мышления.
Момент, который вызвал внутреннее удивление: обсуждение бизнес-составляющей свернули очень быстро и практически сразу ушли в технические рельсы. В классическом MLSD бизнес-метрики - это фундамент, на котором строится всё решение. Здесь же интервьюер сфокусировался на железе, архитектуре и способах реализации, оставив продуктовую логику за скобками. На тот момент мне показалось, что это странный подход, но в итоге это оказалось частью их стресс-теста.
Фидбек и долгожданный оффер
Несмотря на непривычный формат, через пару дней после секции я получил приглашение на заключительный созвон с HR, а уже через неделю: подтверждение о прохождении и оффер. 
Коммуникация
В отличие от затянутого старта (где собеседования переносили), финальный этап прошел максимально быстро и прозрачно. На созвоне с командой (тимлид и ведущий инженер) у нас состоялся откровенный разговор. Удалось обсудить не только будущие задачи, но и их внутренние процессы, стек, а также то, как команда справляется с текущими вызовами. Отвечал про жизнь в компании без прикрас, рассказывали и о плюсах, и о сложностях. Это подкупает, потому что показывает зрелость компании: они не рисуют "золотые горы", а нанимают людей, готовых работать с продуктом здесь и сейчас.
Если же хотите выйти на такой уровень, то советую, то советую наши курсы старт, на который мы продлили финальные скидки на 24 часа. 
➡️ Записаться
Подписаться: @zadachi_ds</v>
      </c>
      <c r="I155" s="6" t="str">
        <f>IFERROR(__xludf.DUMMYFUNCTION("""COMPUTED_VALUE"""),"external")</f>
        <v>external</v>
      </c>
      <c r="J155" s="10" t="str">
        <f>IFERROR(__xludf.DUMMYFUNCTION("""COMPUTED_VALUE"""),"https://t.me/zadachi_ds/391")</f>
        <v>https://t.me/zadachi_ds/391</v>
      </c>
      <c r="K155" s="6">
        <f>IFERROR(__xludf.DUMMYFUNCTION("""COMPUTED_VALUE"""),4260.0)</f>
        <v>4260</v>
      </c>
      <c r="L155" s="6">
        <f>IFERROR(__xludf.DUMMYFUNCTION("""COMPUTED_VALUE"""),18.0)</f>
        <v>18</v>
      </c>
      <c r="M155" s="6"/>
      <c r="N155" s="6" t="str">
        <f>IFERROR(__xludf.DUMMYFUNCTION("""COMPUTED_VALUE"""),"Telegram")</f>
        <v>Telegram</v>
      </c>
      <c r="O155" s="6" t="str">
        <f>IFERROR(__xludf.DUMMYFUNCTION("""COMPUTED_VALUE"""),"raw")</f>
        <v>raw</v>
      </c>
      <c r="P155" s="6" t="str">
        <f>IFERROR(__xludf.DUMMYFUNCTION("""COMPUTED_VALUE"""),"Codex")</f>
        <v>Codex</v>
      </c>
      <c r="Q155" s="6" t="str">
        <f>IFERROR(__xludf.DUMMYFUNCTION("""COMPUTED_VALUE"""),"Общий контакт @vice22821; признак связи с проектом")</f>
        <v>Общий контакт @vice22821; признак связи с проектом</v>
      </c>
      <c r="R155" s="6" t="str">
        <f>IFERROR(__xludf.DUMMYFUNCTION("""COMPUTED_VALUE"""),"unknown")</f>
        <v>unknown</v>
      </c>
      <c r="S155" s="6" t="str">
        <f>IFERROR(__xludf.DUMMYFUNCTION("""COMPUTED_VALUE"""),"unknown")</f>
        <v>unknown</v>
      </c>
      <c r="T155" s="6" t="str">
        <f>IFERROR(__xludf.DUMMYFUNCTION("""COMPUTED_VALUE"""),"telegram_external")</f>
        <v>telegram_external</v>
      </c>
      <c r="U155" s="6" t="str">
        <f>IFERROR(__xludf.DUMMYFUNCTION("""COMPUTED_VALUE"""),"Промо со скидкой")</f>
        <v>Промо со скидкой</v>
      </c>
      <c r="V155" s="6" t="str">
        <f>IFERROR(__xludf.DUMMYFUNCTION("""COMPUTED_VALUE"""),"")</f>
        <v/>
      </c>
      <c r="W155" s="6" t="str">
        <f>IFERROR(__xludf.DUMMYFUNCTION("""COMPUTED_VALUE"""),"")</f>
        <v/>
      </c>
      <c r="X155" s="6"/>
      <c r="Y155" s="6" t="str">
        <f>IFERROR(__xludf.DUMMYFUNCTION("""COMPUTED_VALUE"""),"https://t.me/postypashki_old/1757
https://t.me/postypashki_old/1835
https://t.me/m/p94YcePXNjcy")</f>
        <v>https://t.me/postypashki_old/1757
https://t.me/postypashki_old/1835
https://t.me/m/p94YcePXNjcy</v>
      </c>
      <c r="Z155" s="6" t="b">
        <f>IFERROR(__xludf.DUMMYFUNCTION("""COMPUTED_VALUE"""),TRUE)</f>
        <v>1</v>
      </c>
      <c r="AA155" s="6" t="str">
        <f>IFERROR(__xludf.DUMMYFUNCTION("""COMPUTED_VALUE"""),"")</f>
        <v/>
      </c>
      <c r="AB155" s="6" t="str">
        <f>IFERROR(__xludf.DUMMYFUNCTION("""COMPUTED_VALUE"""),"")</f>
        <v/>
      </c>
      <c r="AC155" s="6" t="str">
        <f>IFERROR(__xludf.DUMMYFUNCTION("""COMPUTED_VALUE"""),"")</f>
        <v/>
      </c>
      <c r="AD155" s="6" t="str">
        <f>IFERROR(__xludf.DUMMYFUNCTION("""COMPUTED_VALUE"""),"")</f>
        <v/>
      </c>
      <c r="AE155" s="6" t="str">
        <f>IFERROR(__xludf.DUMMYFUNCTION("""COMPUTED_VALUE"""),"")</f>
        <v/>
      </c>
      <c r="AF155" s="6" t="str">
        <f>IFERROR(__xludf.DUMMYFUNCTION("""COMPUTED_VALUE"""),"Не подтверждено")</f>
        <v>Не подтверждено</v>
      </c>
      <c r="AG155" s="6" t="str">
        <f>IFERROR(__xludf.DUMMYFUNCTION("""COMPUTED_VALUE"""),"")</f>
        <v/>
      </c>
      <c r="AH155" s="6" t="str">
        <f>IFERROR(__xludf.DUMMYFUNCTION("""COMPUTED_VALUE"""),"2026-09-11T11:47:41.193466+00:00")</f>
        <v>2026-09-11T11:47:41.193466+00:00</v>
      </c>
      <c r="AI155" s="6" t="str">
        <f>IFERROR(__xludf.DUMMYFUNCTION("""COMPUTED_VALUE"""),"raw/zadachi_ds/page_001.html")</f>
        <v>raw/zadachi_ds/page_001.html</v>
      </c>
      <c r="AJ155" s="9" t="s">
        <v>167</v>
      </c>
      <c r="AK155" s="9" t="s">
        <v>213</v>
      </c>
      <c r="AM155" s="9" t="s">
        <v>226</v>
      </c>
      <c r="AN155" s="4" t="str">
        <f>IFERROR(__xludf.DUMMYFUNCTION("IF(OR(AJ155=""general_brand"",AJ155=""external"",AJ155=""unknown""),"""",IF(AJ155=""product_line"",IF(AK155=""START"",""Аналитика старт | Алгоритмы старт | Backend старт | ML старт"",IF(AK155=""PRO"",""AI-агенты про | Алгоритмы про | Аналитика про | ML пр"&amp;"о | Backend про"",IF(AK155=""START | PRO"",""Аналитика старт | Алгоритмы старт | Backend старт | ML старт | AI-агенты про | Алгоритмы про | Аналитика про | ML про | Backend про"",""""))),TEXTJOIN("" | "",TRUE,IF(REGEXMATCH(LOWER(AL155&amp;"" | ""&amp;E155),""анал"&amp;"итика старт""),""Аналитика старт"",""""),IF(REGEXMATCH(LOWER(AL155&amp;"" | ""&amp;E155),""алгоритмы старт""),""Алгоритмы старт"",""""),IF(REGEXMATCH(LOWER(AL155&amp;"" | ""&amp;E155),""backend старт""),""Backend старт"",""""),IF(REGEXMATCH(LOWER(AL155&amp;"" | ""&amp;E155),""ml"&amp;" старт""),""ML старт"",""""),IF(REGEXMATCH(LOWER(AL155&amp;"" | ""&amp;E155),""ai[ -]?агент""),""AI-агенты про"",""""),IF(REGEXMATCH(LOWER(AL155&amp;"" | ""&amp;E155),""алгоритмы про""),""Алгоритмы про"",""""),IF(REGEXMATCH(LOWER(AL155&amp;"" | ""&amp;E155),""аналитика про""),"""&amp;"Аналитика про"",""""),IF(REGEXMATCH(LOWER(AL155&amp;"" | ""&amp;E155),""ml про""),""ML про"",""""),IF(REGEXMATCH(LOWER(AL155&amp;"" | ""&amp;E155),""backend про""),""Backend про"",""""),IF(REGEXMATCH(LOWER(AL155&amp;"" | ""&amp;E155),""(а/в|ав|а в|ab)[ -]?тест""),""А/В-тесты"","&amp;"""""),IF(REGEXMATCH(LOWER(AL155&amp;"" | ""&amp;E155),""data science""),""Data science"",""""),IF(REGEXMATCH(LOWER(AL155&amp;"" | ""&amp;E155),""data[- ]?инжен""),""Data-инженер"",""""),IF(REGEXMATCH(LOWER(AL155&amp;"" | ""&amp;E155),""frontend""),""Frontend"",""""))))"),"Аналитика старт | Алгоритмы старт | Backend старт | ML старт")</f>
        <v>Аналитика старт | Алгоритмы старт | Backend старт | ML старт</v>
      </c>
    </row>
    <row r="156">
      <c r="A156" s="6" t="str">
        <f>IFERROR(__xludf.DUMMYFUNCTION("""COMPUTED_VALUE"""),"EXT-56")</f>
        <v>EXT-56</v>
      </c>
      <c r="B156" s="6" t="str">
        <f>IFERROR(__xludf.DUMMYFUNCTION("""COMPUTED_VALUE"""),"2026-08-10 22:33:37")</f>
        <v>2026-08-10 22:33:37</v>
      </c>
      <c r="C156" s="6" t="str">
        <f>IFERROR(__xludf.DUMMYFUNCTION("""COMPUTED_VALUE"""),"@zadachi_ds")</f>
        <v>@zadachi_ds</v>
      </c>
      <c r="D156" s="4" t="str">
        <f>IFERROR(__xludf.DUMMYFUNCTION("""COMPUTED_VALUE"""),"Промо со скидкой")</f>
        <v>Промо со скидкой</v>
      </c>
      <c r="E156" s="6" t="str">
        <f>IFERROR(__xludf.DUMMYFUNCTION("""COMPUTED_VALUE"""),"")</f>
        <v/>
      </c>
      <c r="F156" s="6" t="str">
        <f>IFERROR(__xludf.DUMMYFUNCTION("""COMPUTED_VALUE"""),"")</f>
        <v/>
      </c>
      <c r="G156" s="10" t="str">
        <f>IFERROR(__xludf.DUMMYFUNCTION("""COMPUTED_VALUE"""),"https://t.me/zadachi_ds/392")</f>
        <v>https://t.me/zadachi_ds/392</v>
      </c>
      <c r="H156" s="6" t="str">
        <f>IFERROR(__xludf.DUMMYFUNCTION("""COMPUTED_VALUE"""),"У России три пути: 18+, ***** и IT
И кажется, у нас случился переход между карьерными треками…
Нам неважно, какой у человека бэкграунд и чем он занимался раньше. Важно, куда он хочет прийти и что готов для этого делать.
Наша студентка, Алина, решила кар"&amp;"динально сменить сферу, пришла на «СТАРТ» и теперь готовится к своей новой цели — получить оффер в Яндекс.
Можно следить за успехами и учиться вместе с Алиной. На наши курсы старт, идут финальные 4 часа скидки. 
➡️ Записаться")</f>
        <v>У России три пути: 18+, ***** и IT
И кажется, у нас случился переход между карьерными треками…
Нам неважно, какой у человека бэкграунд и чем он занимался раньше. Важно, куда он хочет прийти и что готов для этого делать.
Наша студентка, Алина, решила кардинально сменить сферу, пришла на «СТАРТ» и теперь готовится к своей новой цели — получить оффер в Яндекс.
Можно следить за успехами и учиться вместе с Алиной. На наши курсы старт, идут финальные 4 часа скидки. 
➡️ Записаться</v>
      </c>
      <c r="I156" s="6" t="str">
        <f>IFERROR(__xludf.DUMMYFUNCTION("""COMPUTED_VALUE"""),"external")</f>
        <v>external</v>
      </c>
      <c r="J156" s="10" t="str">
        <f>IFERROR(__xludf.DUMMYFUNCTION("""COMPUTED_VALUE"""),"https://t.me/zadachi_ds/392")</f>
        <v>https://t.me/zadachi_ds/392</v>
      </c>
      <c r="K156" s="6">
        <f>IFERROR(__xludf.DUMMYFUNCTION("""COMPUTED_VALUE"""),2110.0)</f>
        <v>2110</v>
      </c>
      <c r="L156" s="6"/>
      <c r="M156" s="6"/>
      <c r="N156" s="6" t="str">
        <f>IFERROR(__xludf.DUMMYFUNCTION("""COMPUTED_VALUE"""),"Telegram")</f>
        <v>Telegram</v>
      </c>
      <c r="O156" s="6" t="str">
        <f>IFERROR(__xludf.DUMMYFUNCTION("""COMPUTED_VALUE"""),"raw")</f>
        <v>raw</v>
      </c>
      <c r="P156" s="6" t="str">
        <f>IFERROR(__xludf.DUMMYFUNCTION("""COMPUTED_VALUE"""),"Codex")</f>
        <v>Codex</v>
      </c>
      <c r="Q156" s="6" t="str">
        <f>IFERROR(__xludf.DUMMYFUNCTION("""COMPUTED_VALUE"""),"Общий контакт @vice22821; признак связи с проектом")</f>
        <v>Общий контакт @vice22821; признак связи с проектом</v>
      </c>
      <c r="R156" s="6" t="str">
        <f>IFERROR(__xludf.DUMMYFUNCTION("""COMPUTED_VALUE"""),"unknown")</f>
        <v>unknown</v>
      </c>
      <c r="S156" s="6" t="str">
        <f>IFERROR(__xludf.DUMMYFUNCTION("""COMPUTED_VALUE"""),"unknown")</f>
        <v>unknown</v>
      </c>
      <c r="T156" s="6" t="str">
        <f>IFERROR(__xludf.DUMMYFUNCTION("""COMPUTED_VALUE"""),"telegram_external")</f>
        <v>telegram_external</v>
      </c>
      <c r="U156" s="6" t="str">
        <f>IFERROR(__xludf.DUMMYFUNCTION("""COMPUTED_VALUE"""),"Промо со скидкой")</f>
        <v>Промо со скидкой</v>
      </c>
      <c r="V156" s="6" t="str">
        <f>IFERROR(__xludf.DUMMYFUNCTION("""COMPUTED_VALUE"""),"")</f>
        <v/>
      </c>
      <c r="W156" s="6" t="str">
        <f>IFERROR(__xludf.DUMMYFUNCTION("""COMPUTED_VALUE"""),"")</f>
        <v/>
      </c>
      <c r="X156" s="6" t="str">
        <f>IFERROR(__xludf.DUMMYFUNCTION("""COMPUTED_VALUE"""),"Forwarded from Поступашки - ШАД, Стажировки и Магистратура")</f>
        <v>Forwarded from Поступашки - ШАД, Стажировки и Магистратура</v>
      </c>
      <c r="Y156" s="6" t="str">
        <f>IFERROR(__xludf.DUMMYFUNCTION("""COMPUTED_VALUE"""),"https://t.me/postypashki_old/1840
https://t.me/postypashki_old/1757
https://t.me/postypashki_old/1835
https://t.me/m/p94YcePXNjcy")</f>
        <v>https://t.me/postypashki_old/1840
https://t.me/postypashki_old/1757
https://t.me/postypashki_old/1835
https://t.me/m/p94YcePXNjcy</v>
      </c>
      <c r="Z156" s="6" t="b">
        <f>IFERROR(__xludf.DUMMYFUNCTION("""COMPUTED_VALUE"""),TRUE)</f>
        <v>1</v>
      </c>
      <c r="AA156" s="6" t="str">
        <f>IFERROR(__xludf.DUMMYFUNCTION("""COMPUTED_VALUE"""),"")</f>
        <v/>
      </c>
      <c r="AB156" s="6" t="str">
        <f>IFERROR(__xludf.DUMMYFUNCTION("""COMPUTED_VALUE"""),"")</f>
        <v/>
      </c>
      <c r="AC156" s="6" t="str">
        <f>IFERROR(__xludf.DUMMYFUNCTION("""COMPUTED_VALUE"""),"")</f>
        <v/>
      </c>
      <c r="AD156" s="6" t="str">
        <f>IFERROR(__xludf.DUMMYFUNCTION("""COMPUTED_VALUE"""),"")</f>
        <v/>
      </c>
      <c r="AE156" s="6" t="str">
        <f>IFERROR(__xludf.DUMMYFUNCTION("""COMPUTED_VALUE"""),"")</f>
        <v/>
      </c>
      <c r="AF156" s="6" t="str">
        <f>IFERROR(__xludf.DUMMYFUNCTION("""COMPUTED_VALUE"""),"Не подтверждено")</f>
        <v>Не подтверждено</v>
      </c>
      <c r="AG156" s="6" t="str">
        <f>IFERROR(__xludf.DUMMYFUNCTION("""COMPUTED_VALUE"""),"")</f>
        <v/>
      </c>
      <c r="AH156" s="6" t="str">
        <f>IFERROR(__xludf.DUMMYFUNCTION("""COMPUTED_VALUE"""),"2026-09-11T11:47:39.365425+00:00")</f>
        <v>2026-09-11T11:47:39.365425+00:00</v>
      </c>
      <c r="AI156" s="6" t="str">
        <f>IFERROR(__xludf.DUMMYFUNCTION("""COMPUTED_VALUE"""),"raw/zadachi_ds/page_000.html")</f>
        <v>raw/zadachi_ds/page_000.html</v>
      </c>
      <c r="AJ156" s="9" t="s">
        <v>167</v>
      </c>
      <c r="AK156" s="9" t="s">
        <v>213</v>
      </c>
      <c r="AM156" s="9" t="s">
        <v>219</v>
      </c>
      <c r="AN156" s="4" t="str">
        <f>IFERROR(__xludf.DUMMYFUNCTION("IF(OR(AJ156=""general_brand"",AJ156=""external"",AJ156=""unknown""),"""",IF(AJ156=""product_line"",IF(AK156=""START"",""Аналитика старт | Алгоритмы старт | Backend старт | ML старт"",IF(AK156=""PRO"",""AI-агенты про | Алгоритмы про | Аналитика про | ML пр"&amp;"о | Backend про"",IF(AK156=""START | PRO"",""Аналитика старт | Алгоритмы старт | Backend старт | ML старт | AI-агенты про | Алгоритмы про | Аналитика про | ML про | Backend про"",""""))),TEXTJOIN("" | "",TRUE,IF(REGEXMATCH(LOWER(AL156&amp;"" | ""&amp;E156),""анал"&amp;"итика старт""),""Аналитика старт"",""""),IF(REGEXMATCH(LOWER(AL156&amp;"" | ""&amp;E156),""алгоритмы старт""),""Алгоритмы старт"",""""),IF(REGEXMATCH(LOWER(AL156&amp;"" | ""&amp;E156),""backend старт""),""Backend старт"",""""),IF(REGEXMATCH(LOWER(AL156&amp;"" | ""&amp;E156),""ml"&amp;" старт""),""ML старт"",""""),IF(REGEXMATCH(LOWER(AL156&amp;"" | ""&amp;E156),""ai[ -]?агент""),""AI-агенты про"",""""),IF(REGEXMATCH(LOWER(AL156&amp;"" | ""&amp;E156),""алгоритмы про""),""Алгоритмы про"",""""),IF(REGEXMATCH(LOWER(AL156&amp;"" | ""&amp;E156),""аналитика про""),"""&amp;"Аналитика про"",""""),IF(REGEXMATCH(LOWER(AL156&amp;"" | ""&amp;E156),""ml про""),""ML про"",""""),IF(REGEXMATCH(LOWER(AL156&amp;"" | ""&amp;E156),""backend про""),""Backend про"",""""),IF(REGEXMATCH(LOWER(AL156&amp;"" | ""&amp;E156),""(а/в|ав|а в|ab)[ -]?тест""),""А/В-тесты"","&amp;"""""),IF(REGEXMATCH(LOWER(AL156&amp;"" | ""&amp;E156),""data science""),""Data science"",""""),IF(REGEXMATCH(LOWER(AL156&amp;"" | ""&amp;E156),""data[- ]?инжен""),""Data-инженер"",""""),IF(REGEXMATCH(LOWER(AL156&amp;"" | ""&amp;E156),""frontend""),""Frontend"",""""))))"),"Аналитика старт | Алгоритмы старт | Backend старт | ML старт")</f>
        <v>Аналитика старт | Алгоритмы старт | Backend старт | ML старт</v>
      </c>
    </row>
    <row r="157">
      <c r="A157" s="6" t="str">
        <f>IFERROR(__xludf.DUMMYFUNCTION("""COMPUTED_VALUE"""),"EXT-57")</f>
        <v>EXT-57</v>
      </c>
      <c r="B157" s="6" t="str">
        <f>IFERROR(__xludf.DUMMYFUNCTION("""COMPUTED_VALUE"""),"2026-08-10 22:33:37")</f>
        <v>2026-08-10 22:33:37</v>
      </c>
      <c r="C157" s="6" t="str">
        <f>IFERROR(__xludf.DUMMYFUNCTION("""COMPUTED_VALUE"""),"@zadachi_ds")</f>
        <v>@zadachi_ds</v>
      </c>
      <c r="D157" s="4" t="str">
        <f>IFERROR(__xludf.DUMMYFUNCTION("""COMPUTED_VALUE"""),"Прочий контент")</f>
        <v>Прочий контент</v>
      </c>
      <c r="E157" s="6" t="str">
        <f>IFERROR(__xludf.DUMMYFUNCTION("""COMPUTED_VALUE"""),"")</f>
        <v/>
      </c>
      <c r="F157" s="6" t="str">
        <f>IFERROR(__xludf.DUMMYFUNCTION("""COMPUTED_VALUE"""),"")</f>
        <v/>
      </c>
      <c r="G157" s="10" t="str">
        <f>IFERROR(__xludf.DUMMYFUNCTION("""COMPUTED_VALUE"""),"https://t.me/zadachi_ds/393")</f>
        <v>https://t.me/zadachi_ds/393</v>
      </c>
      <c r="H157" s="6"/>
      <c r="I157" s="6" t="str">
        <f>IFERROR(__xludf.DUMMYFUNCTION("""COMPUTED_VALUE"""),"external")</f>
        <v>external</v>
      </c>
      <c r="J157" s="10" t="str">
        <f>IFERROR(__xludf.DUMMYFUNCTION("""COMPUTED_VALUE"""),"https://t.me/zadachi_ds/393")</f>
        <v>https://t.me/zadachi_ds/393</v>
      </c>
      <c r="K157" s="6">
        <f>IFERROR(__xludf.DUMMYFUNCTION("""COMPUTED_VALUE"""),1920.0)</f>
        <v>1920</v>
      </c>
      <c r="L157" s="6">
        <f>IFERROR(__xludf.DUMMYFUNCTION("""COMPUTED_VALUE"""),22.0)</f>
        <v>22</v>
      </c>
      <c r="M157" s="6"/>
      <c r="N157" s="6" t="str">
        <f>IFERROR(__xludf.DUMMYFUNCTION("""COMPUTED_VALUE"""),"Telegram")</f>
        <v>Telegram</v>
      </c>
      <c r="O157" s="6" t="str">
        <f>IFERROR(__xludf.DUMMYFUNCTION("""COMPUTED_VALUE"""),"raw")</f>
        <v>raw</v>
      </c>
      <c r="P157" s="6" t="str">
        <f>IFERROR(__xludf.DUMMYFUNCTION("""COMPUTED_VALUE"""),"Codex")</f>
        <v>Codex</v>
      </c>
      <c r="Q157" s="6" t="str">
        <f>IFERROR(__xludf.DUMMYFUNCTION("""COMPUTED_VALUE"""),"Общий контакт @vice22821; признак связи с проектом")</f>
        <v>Общий контакт @vice22821; признак связи с проектом</v>
      </c>
      <c r="R157" s="6" t="str">
        <f>IFERROR(__xludf.DUMMYFUNCTION("""COMPUTED_VALUE"""),"unknown")</f>
        <v>unknown</v>
      </c>
      <c r="S157" s="6" t="str">
        <f>IFERROR(__xludf.DUMMYFUNCTION("""COMPUTED_VALUE"""),"unknown")</f>
        <v>unknown</v>
      </c>
      <c r="T157" s="6" t="str">
        <f>IFERROR(__xludf.DUMMYFUNCTION("""COMPUTED_VALUE"""),"telegram_external")</f>
        <v>telegram_external</v>
      </c>
      <c r="U157" s="6" t="str">
        <f>IFERROR(__xludf.DUMMYFUNCTION("""COMPUTED_VALUE"""),"Прочий контент")</f>
        <v>Прочий контент</v>
      </c>
      <c r="V157" s="6" t="str">
        <f>IFERROR(__xludf.DUMMYFUNCTION("""COMPUTED_VALUE"""),"")</f>
        <v/>
      </c>
      <c r="W157" s="6" t="str">
        <f>IFERROR(__xludf.DUMMYFUNCTION("""COMPUTED_VALUE"""),"")</f>
        <v/>
      </c>
      <c r="X157" s="6" t="str">
        <f>IFERROR(__xludf.DUMMYFUNCTION("""COMPUTED_VALUE"""),"Forwarded from Поступашки - ШАД, Стажировки и Магистратура")</f>
        <v>Forwarded from Поступашки - ШАД, Стажировки и Магистратура</v>
      </c>
      <c r="Y157" s="10" t="str">
        <f>IFERROR(__xludf.DUMMYFUNCTION("""COMPUTED_VALUE"""),"https://t.me/postypashki_old/1841")</f>
        <v>https://t.me/postypashki_old/1841</v>
      </c>
      <c r="Z157" s="6" t="b">
        <f>IFERROR(__xludf.DUMMYFUNCTION("""COMPUTED_VALUE"""),FALSE)</f>
        <v>0</v>
      </c>
      <c r="AA157" s="6" t="str">
        <f>IFERROR(__xludf.DUMMYFUNCTION("""COMPUTED_VALUE"""),"")</f>
        <v/>
      </c>
      <c r="AB157" s="6" t="str">
        <f>IFERROR(__xludf.DUMMYFUNCTION("""COMPUTED_VALUE"""),"")</f>
        <v/>
      </c>
      <c r="AC157" s="6" t="str">
        <f>IFERROR(__xludf.DUMMYFUNCTION("""COMPUTED_VALUE"""),"")</f>
        <v/>
      </c>
      <c r="AD157" s="6" t="str">
        <f>IFERROR(__xludf.DUMMYFUNCTION("""COMPUTED_VALUE"""),"")</f>
        <v/>
      </c>
      <c r="AE157" s="6" t="str">
        <f>IFERROR(__xludf.DUMMYFUNCTION("""COMPUTED_VALUE"""),"")</f>
        <v/>
      </c>
      <c r="AF157" s="6" t="str">
        <f>IFERROR(__xludf.DUMMYFUNCTION("""COMPUTED_VALUE"""),"Не подтверждено")</f>
        <v>Не подтверждено</v>
      </c>
      <c r="AG157" s="6" t="str">
        <f>IFERROR(__xludf.DUMMYFUNCTION("""COMPUTED_VALUE"""),"")</f>
        <v/>
      </c>
      <c r="AH157" s="6" t="str">
        <f>IFERROR(__xludf.DUMMYFUNCTION("""COMPUTED_VALUE"""),"2026-09-11T11:47:39.365425+00:00")</f>
        <v>2026-09-11T11:47:39.365425+00:00</v>
      </c>
      <c r="AI157" s="6" t="str">
        <f>IFERROR(__xludf.DUMMYFUNCTION("""COMPUTED_VALUE"""),"raw/zadachi_ds/page_000.html")</f>
        <v>raw/zadachi_ds/page_000.html</v>
      </c>
      <c r="AJ157" s="9" t="s">
        <v>208</v>
      </c>
      <c r="AM157" s="9" t="s">
        <v>229</v>
      </c>
      <c r="AN157" s="6" t="str">
        <f>IFERROR(__xludf.DUMMYFUNCTION("IF(OR(AJ157=""general_brand"",AJ157=""external"",AJ157=""unknown""),"""",IF(AJ157=""product_line"",IF(AK157=""START"",""Аналитика старт | Алгоритмы старт | Backend старт | ML старт"",IF(AK157=""PRO"",""AI-агенты про | Алгоритмы про | Аналитика про | ML пр"&amp;"о | Backend про"",IF(AK157=""START | PRO"",""Аналитика старт | Алгоритмы старт | Backend старт | ML старт | AI-агенты про | Алгоритмы про | Аналитика про | ML про | Backend про"",""""))),TEXTJOIN("" | "",TRUE,IF(REGEXMATCH(LOWER(AL157&amp;"" | ""&amp;E157),""анал"&amp;"итика старт""),""Аналитика старт"",""""),IF(REGEXMATCH(LOWER(AL157&amp;"" | ""&amp;E157),""алгоритмы старт""),""Алгоритмы старт"",""""),IF(REGEXMATCH(LOWER(AL157&amp;"" | ""&amp;E157),""backend старт""),""Backend старт"",""""),IF(REGEXMATCH(LOWER(AL157&amp;"" | ""&amp;E157),""ml"&amp;" старт""),""ML старт"",""""),IF(REGEXMATCH(LOWER(AL157&amp;"" | ""&amp;E157),""ai[ -]?агент""),""AI-агенты про"",""""),IF(REGEXMATCH(LOWER(AL157&amp;"" | ""&amp;E157),""алгоритмы про""),""Алгоритмы про"",""""),IF(REGEXMATCH(LOWER(AL157&amp;"" | ""&amp;E157),""аналитика про""),"""&amp;"Аналитика про"",""""),IF(REGEXMATCH(LOWER(AL157&amp;"" | ""&amp;E157),""ml про""),""ML про"",""""),IF(REGEXMATCH(LOWER(AL157&amp;"" | ""&amp;E157),""backend про""),""Backend про"",""""),IF(REGEXMATCH(LOWER(AL157&amp;"" | ""&amp;E157),""(а/в|ав|а в|ab)[ -]?тест""),""А/В-тесты"","&amp;"""""),IF(REGEXMATCH(LOWER(AL157&amp;"" | ""&amp;E157),""data science""),""Data science"",""""),IF(REGEXMATCH(LOWER(AL157&amp;"" | ""&amp;E157),""data[- ]?инжен""),""Data-инженер"",""""),IF(REGEXMATCH(LOWER(AL157&amp;"" | ""&amp;E157),""frontend""),""Frontend"",""""))))"),"")</f>
        <v/>
      </c>
    </row>
    <row r="158">
      <c r="A158" s="6" t="str">
        <f>IFERROR(__xludf.DUMMYFUNCTION("""COMPUTED_VALUE"""),"EXT-58")</f>
        <v>EXT-58</v>
      </c>
      <c r="B158" s="6" t="str">
        <f>IFERROR(__xludf.DUMMYFUNCTION("""COMPUTED_VALUE"""),"2026-08-11 17:51:07")</f>
        <v>2026-08-11 17:51:07</v>
      </c>
      <c r="C158" s="6" t="str">
        <f>IFERROR(__xludf.DUMMYFUNCTION("""COMPUTED_VALUE"""),"@matesha_shad")</f>
        <v>@matesha_shad</v>
      </c>
      <c r="D158" s="4" t="str">
        <f>IFERROR(__xludf.DUMMYFUNCTION("""COMPUTED_VALUE"""),"Прочий контент")</f>
        <v>Прочий контент</v>
      </c>
      <c r="E158" s="6" t="str">
        <f>IFERROR(__xludf.DUMMYFUNCTION("""COMPUTED_VALUE"""),"")</f>
        <v/>
      </c>
      <c r="F158" s="6" t="str">
        <f>IFERROR(__xludf.DUMMYFUNCTION("""COMPUTED_VALUE"""),"")</f>
        <v/>
      </c>
      <c r="G158" s="10" t="str">
        <f>IFERROR(__xludf.DUMMYFUNCTION("""COMPUTED_VALUE"""),"https://t.me/matesha_shad/376")</f>
        <v>https://t.me/matesha_shad/376</v>
      </c>
      <c r="H158" s="6" t="str">
        <f>IFERROR(__xludf.DUMMYFUNCTION("""COMPUTED_VALUE"""),"В каких фондах работают наши выпускники
Выпускники наших курсов-студенты ШАДа давно обжились в мире квантов и сегодня работают в фондах, которые двигают глобальные рынки. Собрали для вас подборку таких компаний: большинство из них основаны выходцами из Р"&amp;"оссии, а их стажировки и позиции по-прежнему открыты для сильных ребят из СНГ. Вы можете спокойно откликаться на их вакансии. 
XTX Markets
Один из крупнейших алгомаркетмейкеров мира. Родоначальник - Александр Герко, экс-трейдер Deutsche Bank с российским"&amp;" прошлым и британским паспортом с 2016-го. Ему принадлежит ≥75% компании. Офисы: Нью-Йорк, Париж, Сингапур, Мумбаи, Ереван. Много вкладываются в математическое образование и благотворительность. Герко нашумел, став крупнейшим налогоплательщиком Великобрит"&amp;"ании в 2022 и 2023 годах.
Teza Technologies
Основана в 2009-м Михаилом Малышевым после громкого ухода из Citadel. Кен Гриффин тогда подал в суд за нарушение non-compete и якобы кражу конфиденциальных данных - скандал был эпичный. В 2017-м Teza продала HF"&amp;"T-часть Quantlab и сфокусировалась на статарбитраже, который, по слухам, не даёт впечатляющих результатов.
Wunder Fund
Год рождения - 2014. Создатели: выпускник МФТИ Георгий Черемовский, а также Александр Власюк и Эмиль Лернер (выходцы из AIM Tech). Сег"&amp;"одня суточный оборот:  $4 млрд, база в Лондоне, ликвидность для 9 крупнейших бирж Европы, Азии и Латинской Америки. Пытались запустить криптофьючерсную биржу Onederx, но сайт мёртв, история загадочная.
 Àlber Blanc
Старт в 2010-м от двух физиков: Никиты "&amp;"Масюкова и Антона Бабушкина. Ежемесячно ~10 млн сделок с оборотом до $150 млрд. Офисы в Москве, Петербурге и итальянской Савоне. После трейдинга основатели ушли в проекты с пилотируемыми дронами и дальнюю передачу данных - физика не отпускает.
Quantum Br"&amp;"ains
Настоящие динозавры: начали в Питере ещё в 2006-м. Основатели: Григорий Фишман и Арсен Яковлев. Работают через нейросети, матмодели, методы Монте-Карло и Маркова. Сейчас офисы в Тбилиси и Берлине. Фишман стал легендой, когда на ЛЧИ превратил 50 тыс. "&amp;"рублей в миллионы за три месяца. Ищут людей с разным бэкграундом - лишь бы brains работали.
Eqvilent
Основана в 2020-м Станиславом Семёновым.  В прошлом первым номером Kaggle в мире. Стратегии строятся на глубоком обучении, очень ценят участников Kaggle-"&amp;"соревнований. Офисы в Дубае и Лондоне, команда распределённая. Правда, Glassdoor рисует бесконечные этапы собесов без офферов.
Pinely (бывшие AIM-Tech)
Запустились в 2008-м усилиями Ильи Седошкина и Константина Кузнецова, но в 2021-м внезапно переименова"&amp;"лись и теперь позиционируют себя как молодая компания. Офисы: Нидерланды, Сингапур, Кипр, Грузия. Фанаты спортивного программирования: регулярно спонсируют контесты, культивируют свободу и отсутствие жёсткой иерархии.
QST (ex-Quantstellation, ex-Созвезди"&amp;"е)
Начали в 2008-м как группа хедж-фондов «ИФК Созвездие». Сменили название дважды, в том числе после китайских событий. Ключевые лица: Антон Мурашов, Амир Алиев, Александр Минасян, Ольга Кокарева. Базируются на Кипре, Мальте и в Великобритании.
На самом"&amp;" деле компаний с такими корнями заметно больше  - и это лишний раз подтверждает, что на постсоветском пространстве сохраняется одна из сильнейших математических школ. А значит, у вас есть все шансы занять место в индустрии, которая меняет мировые финансы."&amp;" 
Подписаться: @matesha_shad")</f>
        <v>В каких фондах работают наши выпускники
Выпускники наших курсов-студенты ШАДа давно обжились в мире квантов и сегодня работают в фондах, которые двигают глобальные рынки. Собрали для вас подборку таких компаний: большинство из них основаны выходцами из России, а их стажировки и позиции по-прежнему открыты для сильных ребят из СНГ. Вы можете спокойно откликаться на их вакансии. 
XTX Markets
Один из крупнейших алгомаркетмейкеров мира. Родоначальник - Александр Герко, экс-трейдер Deutsche Bank с российским прошлым и британским паспортом с 2016-го. Ему принадлежит ≥75% компании. Офисы: Нью-Йорк, Париж, Сингапур, Мумбаи, Ереван. Много вкладываются в математическое образование и благотворительность. Герко нашумел, став крупнейшим налогоплательщиком Великобритании в 2022 и 2023 годах.
Teza Technologies
Основана в 2009-м Михаилом Малышевым после громкого ухода из Citadel. Кен Гриффин тогда подал в суд за нарушение non-compete и якобы кражу конфиденциальных данных - скандал был эпичный. В 2017-м Teza продала HFT-часть Quantlab и сфокусировалась на статарбитраже, который, по слухам, не даёт впечатляющих результатов.
Wunder Fund
Год рождения - 2014. Создатели: выпускник МФТИ Георгий Черемовский, а также Александр Власюк и Эмиль Лернер (выходцы из AIM Tech). Сегодня суточный оборот:  $4 млрд, база в Лондоне, ликвидность для 9 крупнейших бирж Европы, Азии и Латинской Америки. Пытались запустить криптофьючерсную биржу Onederx, но сайт мёртв, история загадочная.
 Àlber Blanc
Старт в 2010-м от двух физиков: Никиты Масюкова и Антона Бабушкина. Ежемесячно ~10 млн сделок с оборотом до $150 млрд. Офисы в Москве, Петербурге и итальянской Савоне. После трейдинга основатели ушли в проекты с пилотируемыми дронами и дальнюю передачу данных - физика не отпускает.
Quantum Brains
Настоящие динозавры: начали в Питере ещё в 2006-м. Основатели: Григорий Фишман и Арсен Яковлев. Работают через нейросети, матмодели, методы Монте-Карло и Маркова. Сейчас офисы в Тбилиси и Берлине. Фишман стал легендой, когда на ЛЧИ превратил 50 тыс. рублей в миллионы за три месяца. Ищут людей с разным бэкграундом - лишь бы brains работали.
Eqvilent
Основана в 2020-м Станиславом Семёновым.  В прошлом первым номером Kaggle в мире. Стратегии строятся на глубоком обучении, очень ценят участников Kaggle-соревнований. Офисы в Дубае и Лондоне, команда распределённая. Правда, Glassdoor рисует бесконечные этапы собесов без офферов.
Pinely (бывшие AIM-Tech)
Запустились в 2008-м усилиями Ильи Седошкина и Константина Кузнецова, но в 2021-м внезапно переименовались и теперь позиционируют себя как молодая компания. Офисы: Нидерланды, Сингапур, Кипр, Грузия. Фанаты спортивного программирования: регулярно спонсируют контесты, культивируют свободу и отсутствие жёсткой иерархии.
QST (ex-Quantstellation, ex-Созвездие)
Начали в 2008-м как группа хедж-фондов «ИФК Созвездие». Сменили название дважды, в том числе после китайских событий. Ключевые лица: Антон Мурашов, Амир Алиев, Александр Минасян, Ольга Кокарева. Базируются на Кипре, Мальте и в Великобритании.
На самом деле компаний с такими корнями заметно больше  - и это лишний раз подтверждает, что на постсоветском пространстве сохраняется одна из сильнейших математических школ. А значит, у вас есть все шансы занять место в индустрии, которая меняет мировые финансы. 
Подписаться: @matesha_shad</v>
      </c>
      <c r="I158" s="6" t="str">
        <f>IFERROR(__xludf.DUMMYFUNCTION("""COMPUTED_VALUE"""),"external")</f>
        <v>external</v>
      </c>
      <c r="J158" s="10" t="str">
        <f>IFERROR(__xludf.DUMMYFUNCTION("""COMPUTED_VALUE"""),"https://t.me/matesha_shad/376")</f>
        <v>https://t.me/matesha_shad/376</v>
      </c>
      <c r="K158" s="6">
        <f>IFERROR(__xludf.DUMMYFUNCTION("""COMPUTED_VALUE"""),5970.0)</f>
        <v>5970</v>
      </c>
      <c r="L158" s="6">
        <f>IFERROR(__xludf.DUMMYFUNCTION("""COMPUTED_VALUE"""),26.0)</f>
        <v>26</v>
      </c>
      <c r="M158" s="6"/>
      <c r="N158" s="6" t="str">
        <f>IFERROR(__xludf.DUMMYFUNCTION("""COMPUTED_VALUE"""),"Telegram")</f>
        <v>Telegram</v>
      </c>
      <c r="O158" s="6" t="str">
        <f>IFERROR(__xludf.DUMMYFUNCTION("""COMPUTED_VALUE"""),"raw")</f>
        <v>raw</v>
      </c>
      <c r="P158" s="6" t="str">
        <f>IFERROR(__xludf.DUMMYFUNCTION("""COMPUTED_VALUE"""),"Codex")</f>
        <v>Codex</v>
      </c>
      <c r="Q158" s="6" t="str">
        <f>IFERROR(__xludf.DUMMYFUNCTION("""COMPUTED_VALUE"""),"Общий контакт @vice22821; признак связи с проектом")</f>
        <v>Общий контакт @vice22821; признак связи с проектом</v>
      </c>
      <c r="R158" s="6" t="str">
        <f>IFERROR(__xludf.DUMMYFUNCTION("""COMPUTED_VALUE"""),"unknown")</f>
        <v>unknown</v>
      </c>
      <c r="S158" s="6" t="str">
        <f>IFERROR(__xludf.DUMMYFUNCTION("""COMPUTED_VALUE"""),"unknown")</f>
        <v>unknown</v>
      </c>
      <c r="T158" s="6" t="str">
        <f>IFERROR(__xludf.DUMMYFUNCTION("""COMPUTED_VALUE"""),"telegram_external")</f>
        <v>telegram_external</v>
      </c>
      <c r="U158" s="6" t="str">
        <f>IFERROR(__xludf.DUMMYFUNCTION("""COMPUTED_VALUE"""),"Прочий контент")</f>
        <v>Прочий контент</v>
      </c>
      <c r="V158" s="6" t="str">
        <f>IFERROR(__xludf.DUMMYFUNCTION("""COMPUTED_VALUE"""),"")</f>
        <v/>
      </c>
      <c r="W158" s="6" t="str">
        <f>IFERROR(__xludf.DUMMYFUNCTION("""COMPUTED_VALUE"""),"")</f>
        <v/>
      </c>
      <c r="X158" s="6"/>
      <c r="Y158" s="10" t="str">
        <f>IFERROR(__xludf.DUMMYFUNCTION("""COMPUTED_VALUE"""),"https://old.postypashki.ru/%D0%BA%D1%83%D1%80%D1%81%D1%8B/")</f>
        <v>https://old.postypashki.ru/%D0%BA%D1%83%D1%80%D1%81%D1%8B/</v>
      </c>
      <c r="Z158" s="6" t="b">
        <f>IFERROR(__xludf.DUMMYFUNCTION("""COMPUTED_VALUE"""),TRUE)</f>
        <v>1</v>
      </c>
      <c r="AA158" s="6" t="str">
        <f>IFERROR(__xludf.DUMMYFUNCTION("""COMPUTED_VALUE"""),"")</f>
        <v/>
      </c>
      <c r="AB158" s="6" t="str">
        <f>IFERROR(__xludf.DUMMYFUNCTION("""COMPUTED_VALUE"""),"")</f>
        <v/>
      </c>
      <c r="AC158" s="6" t="str">
        <f>IFERROR(__xludf.DUMMYFUNCTION("""COMPUTED_VALUE"""),"")</f>
        <v/>
      </c>
      <c r="AD158" s="6" t="str">
        <f>IFERROR(__xludf.DUMMYFUNCTION("""COMPUTED_VALUE"""),"")</f>
        <v/>
      </c>
      <c r="AE158" s="6" t="str">
        <f>IFERROR(__xludf.DUMMYFUNCTION("""COMPUTED_VALUE"""),"")</f>
        <v/>
      </c>
      <c r="AF158" s="6" t="str">
        <f>IFERROR(__xludf.DUMMYFUNCTION("""COMPUTED_VALUE"""),"Не подтверждено")</f>
        <v>Не подтверждено</v>
      </c>
      <c r="AG158" s="6" t="str">
        <f>IFERROR(__xludf.DUMMYFUNCTION("""COMPUTED_VALUE"""),"")</f>
        <v/>
      </c>
      <c r="AH158" s="6" t="str">
        <f>IFERROR(__xludf.DUMMYFUNCTION("""COMPUTED_VALUE"""),"2026-09-11T11:47:48.120400+00:00")</f>
        <v>2026-09-11T11:47:48.120400+00:00</v>
      </c>
      <c r="AI158" s="6" t="str">
        <f>IFERROR(__xludf.DUMMYFUNCTION("""COMPUTED_VALUE"""),"raw/matesha_shad/page_000.html")</f>
        <v>raw/matesha_shad/page_000.html</v>
      </c>
      <c r="AJ158" s="9" t="s">
        <v>208</v>
      </c>
      <c r="AM158" s="9" t="s">
        <v>219</v>
      </c>
      <c r="AN158" s="6" t="str">
        <f>IFERROR(__xludf.DUMMYFUNCTION("IF(OR(AJ158=""general_brand"",AJ158=""external"",AJ158=""unknown""),"""",IF(AJ158=""product_line"",IF(AK158=""START"",""Аналитика старт | Алгоритмы старт | Backend старт | ML старт"",IF(AK158=""PRO"",""AI-агенты про | Алгоритмы про | Аналитика про | ML пр"&amp;"о | Backend про"",IF(AK158=""START | PRO"",""Аналитика старт | Алгоритмы старт | Backend старт | ML старт | AI-агенты про | Алгоритмы про | Аналитика про | ML про | Backend про"",""""))),TEXTJOIN("" | "",TRUE,IF(REGEXMATCH(LOWER(AL158&amp;"" | ""&amp;E158),""анал"&amp;"итика старт""),""Аналитика старт"",""""),IF(REGEXMATCH(LOWER(AL158&amp;"" | ""&amp;E158),""алгоритмы старт""),""Алгоритмы старт"",""""),IF(REGEXMATCH(LOWER(AL158&amp;"" | ""&amp;E158),""backend старт""),""Backend старт"",""""),IF(REGEXMATCH(LOWER(AL158&amp;"" | ""&amp;E158),""ml"&amp;" старт""),""ML старт"",""""),IF(REGEXMATCH(LOWER(AL158&amp;"" | ""&amp;E158),""ai[ -]?агент""),""AI-агенты про"",""""),IF(REGEXMATCH(LOWER(AL158&amp;"" | ""&amp;E158),""алгоритмы про""),""Алгоритмы про"",""""),IF(REGEXMATCH(LOWER(AL158&amp;"" | ""&amp;E158),""аналитика про""),"""&amp;"Аналитика про"",""""),IF(REGEXMATCH(LOWER(AL158&amp;"" | ""&amp;E158),""ml про""),""ML про"",""""),IF(REGEXMATCH(LOWER(AL158&amp;"" | ""&amp;E158),""backend про""),""Backend про"",""""),IF(REGEXMATCH(LOWER(AL158&amp;"" | ""&amp;E158),""(а/в|ав|а в|ab)[ -]?тест""),""А/В-тесты"","&amp;"""""),IF(REGEXMATCH(LOWER(AL158&amp;"" | ""&amp;E158),""data science""),""Data science"",""""),IF(REGEXMATCH(LOWER(AL158&amp;"" | ""&amp;E158),""data[- ]?инжен""),""Data-инженер"",""""),IF(REGEXMATCH(LOWER(AL158&amp;"" | ""&amp;E158),""frontend""),""Frontend"",""""))))"),"")</f>
        <v/>
      </c>
    </row>
    <row r="159">
      <c r="A159" s="6" t="str">
        <f>IFERROR(__xludf.DUMMYFUNCTION("""COMPUTED_VALUE"""),"EXT-59")</f>
        <v>EXT-59</v>
      </c>
      <c r="B159" s="6" t="str">
        <f>IFERROR(__xludf.DUMMYFUNCTION("""COMPUTED_VALUE"""),"2026-08-11 17:49:15")</f>
        <v>2026-08-11 17:49:15</v>
      </c>
      <c r="C159" s="6" t="str">
        <f>IFERROR(__xludf.DUMMYFUNCTION("""COMPUTED_VALUE"""),"@zadachi_ds")</f>
        <v>@zadachi_ds</v>
      </c>
      <c r="D159" s="4" t="str">
        <f>IFERROR(__xludf.DUMMYFUNCTION("""COMPUTED_VALUE"""),"Контент с предложением курсов")</f>
        <v>Контент с предложением курсов</v>
      </c>
      <c r="E159" s="6" t="str">
        <f>IFERROR(__xludf.DUMMYFUNCTION("""COMPUTED_VALUE"""),"")</f>
        <v/>
      </c>
      <c r="F159" s="6" t="str">
        <f>IFERROR(__xludf.DUMMYFUNCTION("""COMPUTED_VALUE"""),"")</f>
        <v/>
      </c>
      <c r="G159" s="10" t="str">
        <f>IFERROR(__xludf.DUMMYFUNCTION("""COMPUTED_VALUE"""),"https://t.me/zadachi_ds/394")</f>
        <v>https://t.me/zadachi_ds/394</v>
      </c>
      <c r="H159" s="6" t="str">
        <f>IFERROR(__xludf.DUMMYFUNCTION("""COMPUTED_VALUE"""),"ЧЕМ ПОЛЕЗЕН КАНАЛ?
Поступашки — образовательный проект по математике и IT. Мы уже 5 лет помогаем поступать в ШАД, проходить в сильные магистратуры и получать офферы BigTech.
Что можно найти на канале?
📌 Карьерные курсы
12 карьерных курсов от A/B-тесто"&amp;"в до бэкенда— готовим к собеседованиям, помогаем уверенно выйти на рынок с сильным портфолио и резюме
📌Собеседования и стажировки
Все стажировки и аналитические школы
— список актуальных стажек, где можно начать карьеру  
Подготовка к собеседованиям
— г"&amp;"айды, тестовые, пет-проекты по востребованным направления
📌 ШАД, AI Masters, ААА 
Все о школах анализа данных
— разборы, варианты, гайды для подготовки  
Курсы подготовки к ШАД
 — готовим по 4 направлениям: алгосы / теорвер / матан / линал
📌 Магистрат"&amp;"уры по Data Science
Список ВУЗов и актуальных программ
— подробно про отборы, процесс обучения и перспективы  
📌 Индивидуальные занятия и консультации
Индивидуальные консультации и занятия
 — для тех, кому нужна персональная стратегия и прогресс.
Разбер"&amp;"ём вашу ситуацию, выстроим план и определим приоритеты подготовки. Напишите со своим запросом @vice22821
Наши дополнительные ресурсы
🟦Наш YouTube где много бесплатных разборов
🟦Чат комьюнити и боталка для бота
По всем вопросам и рекламе: @vice22821
По"&amp;" покупке курсов можно обратиться к менеджеру.")</f>
        <v>ЧЕМ ПОЛЕЗЕН КАНАЛ?
Поступашки — образовательный проект по математике и IT. Мы уже 5 лет помогаем поступать в ШАД, проходить в сильные магистратуры и получать офферы BigTech.
Что можно найти на канале?
📌 Карьерные курсы
12 карьерных курсов от A/B-тестов до бэкенда— готовим к собеседованиям, помогаем уверенно выйти на рынок с сильным портфолио и резюме
📌Собеседования и стажировки
Все стажировки и аналитические школы
— список актуальных стажек, где можно начать карьеру  
Подготовка к собеседованиям
— гайды, тестовые, пет-проекты по востребованным направления
📌 ШАД, AI Masters, ААА 
Все о школах анализа данных
— разборы, варианты, гайды для подготовки  
Курсы подготовки к ШАД
 — готовим по 4 направлениям: алгосы / теорвер / матан / линал
📌 Магистратуры по Data Science
Список ВУЗов и актуальных программ
— подробно про отборы, процесс обучения и перспективы  
📌 Индивидуальные занятия и консультации
Индивидуальные консультации и занятия
 — для тех, кому нужна персональная стратегия и прогресс.
Разберём вашу ситуацию, выстроим план и определим приоритеты подготовки. Напишите со своим запросом @vice22821
Наши дополнительные ресурсы
🟦Наш YouTube где много бесплатных разборов
🟦Чат комьюнити и боталка для бота
По всем вопросам и рекламе: @vice22821
По покупке курсов можно обратиться к менеджеру.</v>
      </c>
      <c r="I159" s="6" t="str">
        <f>IFERROR(__xludf.DUMMYFUNCTION("""COMPUTED_VALUE"""),"external")</f>
        <v>external</v>
      </c>
      <c r="J159" s="10" t="str">
        <f>IFERROR(__xludf.DUMMYFUNCTION("""COMPUTED_VALUE"""),"https://t.me/zadachi_ds/394")</f>
        <v>https://t.me/zadachi_ds/394</v>
      </c>
      <c r="K159" s="6">
        <f>IFERROR(__xludf.DUMMYFUNCTION("""COMPUTED_VALUE"""),2790.0)</f>
        <v>2790</v>
      </c>
      <c r="L159" s="6">
        <f>IFERROR(__xludf.DUMMYFUNCTION("""COMPUTED_VALUE"""),6.0)</f>
        <v>6</v>
      </c>
      <c r="M159" s="6"/>
      <c r="N159" s="6" t="str">
        <f>IFERROR(__xludf.DUMMYFUNCTION("""COMPUTED_VALUE"""),"Telegram")</f>
        <v>Telegram</v>
      </c>
      <c r="O159" s="6" t="str">
        <f>IFERROR(__xludf.DUMMYFUNCTION("""COMPUTED_VALUE"""),"raw")</f>
        <v>raw</v>
      </c>
      <c r="P159" s="6" t="str">
        <f>IFERROR(__xludf.DUMMYFUNCTION("""COMPUTED_VALUE"""),"Codex")</f>
        <v>Codex</v>
      </c>
      <c r="Q159" s="6" t="str">
        <f>IFERROR(__xludf.DUMMYFUNCTION("""COMPUTED_VALUE"""),"Общий контакт @vice22821; признак связи с проектом")</f>
        <v>Общий контакт @vice22821; признак связи с проектом</v>
      </c>
      <c r="R159" s="6" t="str">
        <f>IFERROR(__xludf.DUMMYFUNCTION("""COMPUTED_VALUE"""),"unknown")</f>
        <v>unknown</v>
      </c>
      <c r="S159" s="6" t="str">
        <f>IFERROR(__xludf.DUMMYFUNCTION("""COMPUTED_VALUE"""),"unknown")</f>
        <v>unknown</v>
      </c>
      <c r="T159" s="6" t="str">
        <f>IFERROR(__xludf.DUMMYFUNCTION("""COMPUTED_VALUE"""),"telegram_external")</f>
        <v>telegram_external</v>
      </c>
      <c r="U159" s="6" t="str">
        <f>IFERROR(__xludf.DUMMYFUNCTION("""COMPUTED_VALUE"""),"Контент с предложением курсов")</f>
        <v>Контент с предложением курсов</v>
      </c>
      <c r="V159" s="6" t="str">
        <f>IFERROR(__xludf.DUMMYFUNCTION("""COMPUTED_VALUE"""),"")</f>
        <v/>
      </c>
      <c r="W159" s="6" t="str">
        <f>IFERROR(__xludf.DUMMYFUNCTION("""COMPUTED_VALUE"""),"")</f>
        <v/>
      </c>
      <c r="X159" s="6"/>
      <c r="Y159" s="6" t="str">
        <f>IFERROR(__xludf.DUMMYFUNCTION("""COMPUTED_VALUE"""),"https://old.postypashki.ru/%D0%BA%D0%B0%D1%80%D1%8C%D0%B5%D1%80%D0%BD%D1%8B%D0%B5-%D0%BA%D1%83%D1%80%D1%81%D1%8B/
https://old.postypashki.ru/%D1%81%D1%82%D0%B0%D0%B6%D0%B8%D1%80%D0%BE%D0%B2%D0%BA%D0%B8-2/
https://old.postypashki.ru/%D1%81%D0%BE%D0%B1%D0%B"&amp;"5%D1%81%D0%B5%D0%B4%D0%BE%D0%B2%D0%B0%D0%BD%D0%B8%D1%8F/
https://old.postypashki.ru/%D1%88%D0%B0%D0%B4%D1%8B/
https://old.postypashki.ru/%D0%BA%D1%83%D1%80%D1%81%D1%8B/
https://old.postypashki.ru/%D0%BC%D0%B0%D0%B3%D0%B8%D1%81%D1%82%D1%80%D0%B0%D1%82%D1%8"&amp;"3%D1%80%D0%B0-2/
https://t.me/postypashki_old/258")</f>
        <v>https://old.postypashki.ru/%D0%BA%D0%B0%D1%80%D1%8C%D0%B5%D1%80%D0%BD%D1%8B%D0%B5-%D0%BA%D1%83%D1%80%D1%81%D1%8B/
https://old.postypashki.ru/%D1%81%D1%82%D0%B0%D0%B6%D0%B8%D1%80%D0%BE%D0%B2%D0%BA%D0%B8-2/
https://old.postypashki.ru/%D1%81%D0%BE%D0%B1%D0%B5%D1%81%D0%B5%D0%B4%D0%BE%D0%B2%D0%B0%D0%BD%D0%B8%D1%8F/
https://old.postypashki.ru/%D1%88%D0%B0%D0%B4%D1%8B/
https://old.postypashki.ru/%D0%BA%D1%83%D1%80%D1%81%D1%8B/
https://old.postypashki.ru/%D0%BC%D0%B0%D0%B3%D0%B8%D1%81%D1%82%D1%80%D0%B0%D1%82%D1%83%D1%80%D0%B0-2/
https://t.me/postypashki_old/258</v>
      </c>
      <c r="Z159" s="6" t="b">
        <f>IFERROR(__xludf.DUMMYFUNCTION("""COMPUTED_VALUE"""),TRUE)</f>
        <v>1</v>
      </c>
      <c r="AA159" s="6" t="str">
        <f>IFERROR(__xludf.DUMMYFUNCTION("""COMPUTED_VALUE"""),"")</f>
        <v/>
      </c>
      <c r="AB159" s="6" t="str">
        <f>IFERROR(__xludf.DUMMYFUNCTION("""COMPUTED_VALUE"""),"")</f>
        <v/>
      </c>
      <c r="AC159" s="6" t="str">
        <f>IFERROR(__xludf.DUMMYFUNCTION("""COMPUTED_VALUE"""),"")</f>
        <v/>
      </c>
      <c r="AD159" s="6" t="str">
        <f>IFERROR(__xludf.DUMMYFUNCTION("""COMPUTED_VALUE"""),"")</f>
        <v/>
      </c>
      <c r="AE159" s="6" t="str">
        <f>IFERROR(__xludf.DUMMYFUNCTION("""COMPUTED_VALUE"""),"")</f>
        <v/>
      </c>
      <c r="AF159" s="6" t="str">
        <f>IFERROR(__xludf.DUMMYFUNCTION("""COMPUTED_VALUE"""),"Не подтверждено")</f>
        <v>Не подтверждено</v>
      </c>
      <c r="AG159" s="6" t="str">
        <f>IFERROR(__xludf.DUMMYFUNCTION("""COMPUTED_VALUE"""),"")</f>
        <v/>
      </c>
      <c r="AH159" s="6" t="str">
        <f>IFERROR(__xludf.DUMMYFUNCTION("""COMPUTED_VALUE"""),"2026-09-11T11:47:39.365425+00:00")</f>
        <v>2026-09-11T11:47:39.365425+00:00</v>
      </c>
      <c r="AI159" s="6" t="str">
        <f>IFERROR(__xludf.DUMMYFUNCTION("""COMPUTED_VALUE"""),"raw/zadachi_ds/page_000.html")</f>
        <v>raw/zadachi_ds/page_000.html</v>
      </c>
      <c r="AJ159" s="9" t="s">
        <v>233</v>
      </c>
      <c r="AM159" s="9" t="s">
        <v>237</v>
      </c>
      <c r="AN159" s="6" t="str">
        <f>IFERROR(__xludf.DUMMYFUNCTION("IF(OR(AJ159=""general_brand"",AJ159=""external"",AJ159=""unknown""),"""",IF(AJ159=""product_line"",IF(AK159=""START"",""Аналитика старт | Алгоритмы старт | Backend старт | ML старт"",IF(AK159=""PRO"",""AI-агенты про | Алгоритмы про | Аналитика про | ML пр"&amp;"о | Backend про"",IF(AK159=""START | PRO"",""Аналитика старт | Алгоритмы старт | Backend старт | ML старт | AI-агенты про | Алгоритмы про | Аналитика про | ML про | Backend про"",""""))),TEXTJOIN("" | "",TRUE,IF(REGEXMATCH(LOWER(AL159&amp;"" | ""&amp;E159),""анал"&amp;"итика старт""),""Аналитика старт"",""""),IF(REGEXMATCH(LOWER(AL159&amp;"" | ""&amp;E159),""алгоритмы старт""),""Алгоритмы старт"",""""),IF(REGEXMATCH(LOWER(AL159&amp;"" | ""&amp;E159),""backend старт""),""Backend старт"",""""),IF(REGEXMATCH(LOWER(AL159&amp;"" | ""&amp;E159),""ml"&amp;" старт""),""ML старт"",""""),IF(REGEXMATCH(LOWER(AL159&amp;"" | ""&amp;E159),""ai[ -]?агент""),""AI-агенты про"",""""),IF(REGEXMATCH(LOWER(AL159&amp;"" | ""&amp;E159),""алгоритмы про""),""Алгоритмы про"",""""),IF(REGEXMATCH(LOWER(AL159&amp;"" | ""&amp;E159),""аналитика про""),"""&amp;"Аналитика про"",""""),IF(REGEXMATCH(LOWER(AL159&amp;"" | ""&amp;E159),""ml про""),""ML про"",""""),IF(REGEXMATCH(LOWER(AL159&amp;"" | ""&amp;E159),""backend про""),""Backend про"",""""),IF(REGEXMATCH(LOWER(AL159&amp;"" | ""&amp;E159),""(а/в|ав|а в|ab)[ -]?тест""),""А/В-тесты"","&amp;"""""),IF(REGEXMATCH(LOWER(AL159&amp;"" | ""&amp;E159),""data science""),""Data science"",""""),IF(REGEXMATCH(LOWER(AL159&amp;"" | ""&amp;E159),""data[- ]?инжен""),""Data-инженер"",""""),IF(REGEXMATCH(LOWER(AL159&amp;"" | ""&amp;E159),""frontend""),""Frontend"",""""))))"),"")</f>
        <v/>
      </c>
    </row>
    <row r="160">
      <c r="A160" s="6" t="str">
        <f>IFERROR(__xludf.DUMMYFUNCTION("""COMPUTED_VALUE"""),"EXT-60")</f>
        <v>EXT-60</v>
      </c>
      <c r="B160" s="6" t="str">
        <f>IFERROR(__xludf.DUMMYFUNCTION("""COMPUTED_VALUE"""),"2026-08-22 19:14:53")</f>
        <v>2026-08-22 19:14:53</v>
      </c>
      <c r="C160" s="6" t="str">
        <f>IFERROR(__xludf.DUMMYFUNCTION("""COMPUTED_VALUE"""),"@ProdAnalysis")</f>
        <v>@ProdAnalysis</v>
      </c>
      <c r="D160" s="4" t="str">
        <f>IFERROR(__xludf.DUMMYFUNCTION("""COMPUTED_VALUE"""),"Контент с предложением курсов")</f>
        <v>Контент с предложением курсов</v>
      </c>
      <c r="E160" s="6" t="str">
        <f>IFERROR(__xludf.DUMMYFUNCTION("""COMPUTED_VALUE"""),"")</f>
        <v/>
      </c>
      <c r="F160" s="6" t="str">
        <f>IFERROR(__xludf.DUMMYFUNCTION("""COMPUTED_VALUE"""),"")</f>
        <v/>
      </c>
      <c r="G160" s="10" t="str">
        <f>IFERROR(__xludf.DUMMYFUNCTION("""COMPUTED_VALUE"""),"https://t.me/ProdAnalysis/152")</f>
        <v>https://t.me/ProdAnalysis/152</v>
      </c>
      <c r="H160" s="6" t="str">
        <f>IFERROR(__xludf.DUMMYFUNCTION("""COMPUTED_VALUE"""),"Почему аналитикам сейчас нужно знать больше, чем SQL и A/B-тесты
Классическая история: вкатун выучил SQL, построил пару дашбордов в Jupyter,  и пошёл по собесам.
На первом же интервью его спрашивают: ""Расскажите про ваш опыт в Causal Inference. Как вы о"&amp;"цениваете каузальный эффект? Проводили гео-тесты? А как выстроите пайплайн для автоматического отчёта?""
Ноутбуки и дашборды уже никого не впечатляют. Рынок перенасыщен вкатунами, а базовые задачи аналитика закрывает LLM. Чтобы конкурировать, нужно знать "&amp;"больше.
Посмотрим на реальные вакансии:
DA-аналитик, Т-Банк: классический ML, Causal Inference, АБ-тесты.
Ad-hoc аналитик, X5: эконометрика, Causal Inference, АБ-тесты, ML, SQL.
Аналитик-разработчик, Яндекс: продвинутый SQL, большие проекты на Python, АБ"&amp;"-тесты.
И таких вакансий сотни. Заметьте, это не сеньорские позиции. Это обычный продакшн-аналитик джун, мидл-уровень. Аналитик, который умеет не просто строить графики, а оценивать причинно-следственные связи, понимает эконометрику и может написать код "&amp;"для пайплайна обходит десять ""чистых"" аналитиков на одном собеседовании.
По свежим обзорам рынка, вилка продуктового аналитика в России 250–450 тысяч. И попадают в неё именно те, кто дружит с ML и инженерией. 
 Поэтому мы тщательно проработали эти мом"&amp;"енты в новом курсе Аналитика ПРО. Кому зайдет курс: 
— Джунам и стажёрам, которые хотят перейти от дашбордов к полноценному продакшну и расширить выбор вакансий.
— Аналитикам, которых на работе просят ""оценить эффект от фичи"", а как это сделать правильн"&amp;"о, никто не объяснил.
— Тем, кто метит в Middle и выше. Без Causal Inference, ML и продвинутых АБ-тестов грейд не поднимут, какие бы красивые отчёты вы ни делали.
За 6 недель разбираемся в теме так, чтобы на собесе вы отвечали уверенно:
— Продвинутые АБ-"&amp;"тесты: CUPED, стратификация, гео-тесты, матчинг, последовательное тестирование.
— Causal Inference (каузальный вывод): регрессионный анализ, эконометрические подходы - то, что сейчас спрашивают на каждом собеседовании.
— Классический ML для аналитиков: ка"&amp;"к внедрять модели в пайплайны и интерпретировать результаты.
На выходе вы не просто понимаете теорию, а готовы применять эти навыки в работе. И закрываете 80% требований из вакансий на рынке, которые раньше казались недосягаемыми.
➡️ Записаться")</f>
        <v>Почему аналитикам сейчас нужно знать больше, чем SQL и A/B-тесты
Классическая история: вкатун выучил SQL, построил пару дашбордов в Jupyter,  и пошёл по собесам.
На первом же интервью его спрашивают: "Расскажите про ваш опыт в Causal Inference. Как вы оцениваете каузальный эффект? Проводили гео-тесты? А как выстроите пайплайн для автоматического отчёта?"
Ноутбуки и дашборды уже никого не впечатляют. Рынок перенасыщен вкатунами, а базовые задачи аналитика закрывает LLM. Чтобы конкурировать, нужно знать больше.
Посмотрим на реальные вакансии:
DA-аналитик, Т-Банк: классический ML, Causal Inference, АБ-тесты.
Ad-hoc аналитик, X5: эконометрика, Causal Inference, АБ-тесты, ML, SQL.
Аналитик-разработчик, Яндекс: продвинутый SQL, большие проекты на Python, АБ-тесты.
И таких вакансий сотни. Заметьте, это не сеньорские позиции. Это обычный продакшн-аналитик джун, мидл-уровень. Аналитик, который умеет не просто строить графики, а оценивать причинно-следственные связи, понимает эконометрику и может написать код для пайплайна обходит десять "чистых" аналитиков на одном собеседовании.
По свежим обзорам рынка, вилка продуктового аналитика в России 250–450 тысяч. И попадают в неё именно те, кто дружит с ML и инженерией. 
 Поэтому мы тщательно проработали эти моменты в новом курсе Аналитика ПРО. Кому зайдет курс: 
— Джунам и стажёрам, которые хотят перейти от дашбордов к полноценному продакшну и расширить выбор вакансий.
— Аналитикам, которых на работе просят "оценить эффект от фичи", а как это сделать правильно, никто не объяснил.
— Тем, кто метит в Middle и выше. Без Causal Inference, ML и продвинутых АБ-тестов грейд не поднимут, какие бы красивые отчёты вы ни делали.
За 6 недель разбираемся в теме так, чтобы на собесе вы отвечали уверенно:
— Продвинутые АБ-тесты: CUPED, стратификация, гео-тесты, матчинг, последовательное тестирование.
— Causal Inference (каузальный вывод): регрессионный анализ, эконометрические подходы - то, что сейчас спрашивают на каждом собеседовании.
— Классический ML для аналитиков: как внедрять модели в пайплайны и интерпретировать результаты.
На выходе вы не просто понимаете теорию, а готовы применять эти навыки в работе. И закрываете 80% требований из вакансий на рынке, которые раньше казались недосягаемыми.
➡️ Записаться</v>
      </c>
      <c r="I160" s="6" t="str">
        <f>IFERROR(__xludf.DUMMYFUNCTION("""COMPUTED_VALUE"""),"external")</f>
        <v>external</v>
      </c>
      <c r="J160" s="10" t="str">
        <f>IFERROR(__xludf.DUMMYFUNCTION("""COMPUTED_VALUE"""),"https://t.me/ProdAnalysis/152")</f>
        <v>https://t.me/ProdAnalysis/152</v>
      </c>
      <c r="K160" s="6">
        <f>IFERROR(__xludf.DUMMYFUNCTION("""COMPUTED_VALUE"""),4110.0)</f>
        <v>4110</v>
      </c>
      <c r="L160" s="6">
        <f>IFERROR(__xludf.DUMMYFUNCTION("""COMPUTED_VALUE"""),15.0)</f>
        <v>15</v>
      </c>
      <c r="M160" s="6"/>
      <c r="N160" s="6" t="str">
        <f>IFERROR(__xludf.DUMMYFUNCTION("""COMPUTED_VALUE"""),"Telegram")</f>
        <v>Telegram</v>
      </c>
      <c r="O160" s="6" t="str">
        <f>IFERROR(__xludf.DUMMYFUNCTION("""COMPUTED_VALUE"""),"raw")</f>
        <v>raw</v>
      </c>
      <c r="P160" s="6" t="str">
        <f>IFERROR(__xludf.DUMMYFUNCTION("""COMPUTED_VALUE"""),"Codex")</f>
        <v>Codex</v>
      </c>
      <c r="Q160" s="6" t="str">
        <f>IFERROR(__xludf.DUMMYFUNCTION("""COMPUTED_VALUE"""),"Общий контакт @vice22821; признак связи с проектом")</f>
        <v>Общий контакт @vice22821; признак связи с проектом</v>
      </c>
      <c r="R160" s="6" t="str">
        <f>IFERROR(__xludf.DUMMYFUNCTION("""COMPUTED_VALUE"""),"unknown")</f>
        <v>unknown</v>
      </c>
      <c r="S160" s="6" t="str">
        <f>IFERROR(__xludf.DUMMYFUNCTION("""COMPUTED_VALUE"""),"unknown")</f>
        <v>unknown</v>
      </c>
      <c r="T160" s="6" t="str">
        <f>IFERROR(__xludf.DUMMYFUNCTION("""COMPUTED_VALUE"""),"telegram_external")</f>
        <v>telegram_external</v>
      </c>
      <c r="U160" s="6" t="str">
        <f>IFERROR(__xludf.DUMMYFUNCTION("""COMPUTED_VALUE"""),"Контент с предложением курсов")</f>
        <v>Контент с предложением курсов</v>
      </c>
      <c r="V160" s="6" t="str">
        <f>IFERROR(__xludf.DUMMYFUNCTION("""COMPUTED_VALUE"""),"")</f>
        <v/>
      </c>
      <c r="W160" s="6" t="str">
        <f>IFERROR(__xludf.DUMMYFUNCTION("""COMPUTED_VALUE"""),"")</f>
        <v/>
      </c>
      <c r="X160" s="6"/>
      <c r="Y160" s="6" t="str">
        <f>IFERROR(__xludf.DUMMYFUNCTION("""COMPUTED_VALUE"""),"https://t.me/postypashki_old/1859
https://t.me/m/p94YcePXNjcy")</f>
        <v>https://t.me/postypashki_old/1859
https://t.me/m/p94YcePXNjcy</v>
      </c>
      <c r="Z160" s="6" t="b">
        <f>IFERROR(__xludf.DUMMYFUNCTION("""COMPUTED_VALUE"""),TRUE)</f>
        <v>1</v>
      </c>
      <c r="AA160" s="6" t="str">
        <f>IFERROR(__xludf.DUMMYFUNCTION("""COMPUTED_VALUE"""),"")</f>
        <v/>
      </c>
      <c r="AB160" s="6" t="str">
        <f>IFERROR(__xludf.DUMMYFUNCTION("""COMPUTED_VALUE"""),"")</f>
        <v/>
      </c>
      <c r="AC160" s="6" t="str">
        <f>IFERROR(__xludf.DUMMYFUNCTION("""COMPUTED_VALUE"""),"")</f>
        <v/>
      </c>
      <c r="AD160" s="6" t="str">
        <f>IFERROR(__xludf.DUMMYFUNCTION("""COMPUTED_VALUE"""),"")</f>
        <v/>
      </c>
      <c r="AE160" s="6" t="str">
        <f>IFERROR(__xludf.DUMMYFUNCTION("""COMPUTED_VALUE"""),"")</f>
        <v/>
      </c>
      <c r="AF160" s="6" t="str">
        <f>IFERROR(__xludf.DUMMYFUNCTION("""COMPUTED_VALUE"""),"Не подтверждено")</f>
        <v>Не подтверждено</v>
      </c>
      <c r="AG160" s="6" t="str">
        <f>IFERROR(__xludf.DUMMYFUNCTION("""COMPUTED_VALUE"""),"")</f>
        <v/>
      </c>
      <c r="AH160" s="6" t="str">
        <f>IFERROR(__xludf.DUMMYFUNCTION("""COMPUTED_VALUE"""),"2026-09-11T11:47:35.971287+00:00")</f>
        <v>2026-09-11T11:47:35.971287+00:00</v>
      </c>
      <c r="AI160" s="6" t="str">
        <f>IFERROR(__xludf.DUMMYFUNCTION("""COMPUTED_VALUE"""),"raw/ProdAnalysis/page_001.html")</f>
        <v>raw/ProdAnalysis/page_001.html</v>
      </c>
      <c r="AJ160" s="9" t="s">
        <v>224</v>
      </c>
      <c r="AK160" s="9" t="s">
        <v>242</v>
      </c>
      <c r="AL160" s="9" t="s">
        <v>243</v>
      </c>
      <c r="AM160" s="9" t="s">
        <v>228</v>
      </c>
      <c r="AN160" s="4" t="str">
        <f>IFERROR(__xludf.DUMMYFUNCTION("IF(OR(AJ160=""general_brand"",AJ160=""external"",AJ160=""unknown""),"""",IF(AJ160=""product_line"",IF(AK160=""START"",""Аналитика старт | Алгоритмы старт | Backend старт | ML старт"",IF(AK160=""PRO"",""AI-агенты про | Алгоритмы про | Аналитика про | ML пр"&amp;"о | Backend про"",IF(AK160=""START | PRO"",""Аналитика старт | Алгоритмы старт | Backend старт | ML старт | AI-агенты про | Алгоритмы про | Аналитика про | ML про | Backend про"",""""))),TEXTJOIN("" | "",TRUE,IF(REGEXMATCH(LOWER(AL160&amp;"" | ""&amp;E160),""анал"&amp;"итика старт""),""Аналитика старт"",""""),IF(REGEXMATCH(LOWER(AL160&amp;"" | ""&amp;E160),""алгоритмы старт""),""Алгоритмы старт"",""""),IF(REGEXMATCH(LOWER(AL160&amp;"" | ""&amp;E160),""backend старт""),""Backend старт"",""""),IF(REGEXMATCH(LOWER(AL160&amp;"" | ""&amp;E160),""ml"&amp;" старт""),""ML старт"",""""),IF(REGEXMATCH(LOWER(AL160&amp;"" | ""&amp;E160),""ai[ -]?агент""),""AI-агенты про"",""""),IF(REGEXMATCH(LOWER(AL160&amp;"" | ""&amp;E160),""алгоритмы про""),""Алгоритмы про"",""""),IF(REGEXMATCH(LOWER(AL160&amp;"" | ""&amp;E160),""аналитика про""),"""&amp;"Аналитика про"",""""),IF(REGEXMATCH(LOWER(AL160&amp;"" | ""&amp;E160),""ml про""),""ML про"",""""),IF(REGEXMATCH(LOWER(AL160&amp;"" | ""&amp;E160),""backend про""),""Backend про"",""""),IF(REGEXMATCH(LOWER(AL160&amp;"" | ""&amp;E160),""(а/в|ав|а в|ab)[ -]?тест""),""А/В-тесты"","&amp;"""""),IF(REGEXMATCH(LOWER(AL160&amp;"" | ""&amp;E160),""data science""),""Data science"",""""),IF(REGEXMATCH(LOWER(AL160&amp;"" | ""&amp;E160),""data[- ]?инжен""),""Data-инженер"",""""),IF(REGEXMATCH(LOWER(AL160&amp;"" | ""&amp;E160),""frontend""),""Frontend"",""""))))"),"Аналитика про")</f>
        <v>Аналитика про</v>
      </c>
    </row>
    <row r="161">
      <c r="A161" s="6" t="str">
        <f>IFERROR(__xludf.DUMMYFUNCTION("""COMPUTED_VALUE"""),"EXT-61")</f>
        <v>EXT-61</v>
      </c>
      <c r="B161" s="6" t="str">
        <f>IFERROR(__xludf.DUMMYFUNCTION("""COMPUTED_VALUE"""),"2026-08-22 18:33:53")</f>
        <v>2026-08-22 18:33:53</v>
      </c>
      <c r="C161" s="6" t="str">
        <f>IFERROR(__xludf.DUMMYFUNCTION("""COMPUTED_VALUE"""),"@zadachi_ds")</f>
        <v>@zadachi_ds</v>
      </c>
      <c r="D161" s="4" t="str">
        <f>IFERROR(__xludf.DUMMYFUNCTION("""COMPUTED_VALUE"""),"Контент с предложением курсов")</f>
        <v>Контент с предложением курсов</v>
      </c>
      <c r="E161" s="6" t="str">
        <f>IFERROR(__xludf.DUMMYFUNCTION("""COMPUTED_VALUE"""),"")</f>
        <v/>
      </c>
      <c r="F161" s="6" t="str">
        <f>IFERROR(__xludf.DUMMYFUNCTION("""COMPUTED_VALUE"""),"")</f>
        <v/>
      </c>
      <c r="G161" s="10" t="str">
        <f>IFERROR(__xludf.DUMMYFUNCTION("""COMPUTED_VALUE"""),"https://t.me/zadachi_ds/404")</f>
        <v>https://t.me/zadachi_ds/404</v>
      </c>
      <c r="H161" s="6" t="str">
        <f>IFERROR(__xludf.DUMMYFUNCTION("""COMPUTED_VALUE"""),"Почему новичкам нужно уметь выводить модель в прод
Классическая история  вкатуна? закончившего курс по DS в надеждке на 300к/наносек: добавил строчки в резюме, собрал пет-проекты в ноутбуках, пошёл по собесам. И первым же делом выясняется, что модель в J"&amp;"upyter никому не нужна. Спрашивают, как ты её задеплоишь, как обновишь без даунтайма и как поймёшь, что она сломалась в проде.
Давайте посмотрим на вакансии:
ML-инженер, Росгосстрах: Kubernetes, Docker, Airflow, MLflow, FastAPI
ML-инженер, Уралхим: MLflo"&amp;"w, Airflow, CI/CD для моделей, Prometheus и Grafana
MLOps-инженер, В Кадре: MLflow обязателен, DVC, Kubeflow или Airflow
И таких вакансий сотни
Заметьте, это не сеньорские позиции. Это обычный прод, такой стек сейчас в каждой второй вакансии. Джун, котор"&amp;"ый умеет докатить модель до прода, на собесе обходит джуна с десятью юпитер-ноутбуками. А по свежим обзорам рынка средняя вилка ML-инженера в России 280-450 тысяч, и попадают в неё именно те, кто дружит с инфраструктурой.
Поэтому мы тщательно проработали"&amp;" в новом курсе ML PRO тему вывода модели в прод. Кому курс зайдёт:
- Джунам и стажёрам, которые хотят перейти от ноутбуков к боевым сервисам и расширить свой выбор вакансий;
- DS-ам, которых на работе просят ""заверни модель в сервис"", а как именно, никт"&amp;"о не рассказал;
- Тем, кто метит в middle. Без прод-навыков грейд не поднимут, какие бы ни были метрики;
За 6 недель занятий руками собираем полный цикл: сервис на FastAPI, Docker, деплой в Kubernetes, CI/CD на GitHub Actions, MLflow с реестром моделей, "&amp;"DVC, пайплайны в Airflow, мониторинг в Grafana и отлов дрейфа. Отдельно дообучаем LLM и выкатываем её на GPU. Также ботаем такие важные темы как рекомендации, матчинг, MLOps, динамическое ценообразование и так далее. Закрываем всё занятием по карьере: рез"&amp;"юме, собесы с HR и техничкой, поиск вакансий в России и зарубежом, LinkedIn.
На выходе у вас репозиторий, который поднимается одной командой, задеплоенная модель и внятные ответы на вопросы про прод. С этим уже можно ходить и на ML-инженера, и на MLOps, "&amp;"и на DS с инженерным уклоном.
➡️ Записаться")</f>
        <v>Почему новичкам нужно уметь выводить модель в прод
Классическая история  вкатуна? закончившего курс по DS в надеждке на 300к/наносек: добавил строчки в резюме, собрал пет-проекты в ноутбуках, пошёл по собесам. И первым же делом выясняется, что модель в Jupyter никому не нужна. Спрашивают, как ты её задеплоишь, как обновишь без даунтайма и как поймёшь, что она сломалась в проде.
Давайте посмотрим на вакансии:
ML-инженер, Росгосстрах: Kubernetes, Docker, Airflow, MLflow, FastAPI
ML-инженер, Уралхим: MLflow, Airflow, CI/CD для моделей, Prometheus и Grafana
MLOps-инженер, В Кадре: MLflow обязателен, DVC, Kubeflow или Airflow
И таких вакансий сотни
Заметьте, это не сеньорские позиции. Это обычный прод, такой стек сейчас в каждой второй вакансии. Джун, который умеет докатить модель до прода, на собесе обходит джуна с десятью юпитер-ноутбуками. А по свежим обзорам рынка средняя вилка ML-инженера в России 280-450 тысяч, и попадают в неё именно те, кто дружит с инфраструктурой.
Поэтому мы тщательно проработали в новом курсе ML PRO тему вывода модели в прод. Кому курс зайдёт:
- Джунам и стажёрам, которые хотят перейти от ноутбуков к боевым сервисам и расширить свой выбор вакансий;
- DS-ам, которых на работе просят "заверни модель в сервис", а как именно, никто не рассказал;
- Тем, кто метит в middle. Без прод-навыков грейд не поднимут, какие бы ни были метрики;
За 6 недель занятий руками собираем полный цикл: сервис на FastAPI, Docker, деплой в Kubernetes, CI/CD на GitHub Actions, MLflow с реестром моделей, DVC, пайплайны в Airflow, мониторинг в Grafana и отлов дрейфа. Отдельно дообучаем LLM и выкатываем её на GPU. Также ботаем такие важные темы как рекомендации, матчинг, MLOps, динамическое ценообразование и так далее. Закрываем всё занятием по карьере: резюме, собесы с HR и техничкой, поиск вакансий в России и зарубежом, LinkedIn.
На выходе у вас репозиторий, который поднимается одной командой, задеплоенная модель и внятные ответы на вопросы про прод. С этим уже можно ходить и на ML-инженера, и на MLOps, и на DS с инженерным уклоном.
➡️ Записаться</v>
      </c>
      <c r="I161" s="6" t="str">
        <f>IFERROR(__xludf.DUMMYFUNCTION("""COMPUTED_VALUE"""),"external")</f>
        <v>external</v>
      </c>
      <c r="J161" s="10" t="str">
        <f>IFERROR(__xludf.DUMMYFUNCTION("""COMPUTED_VALUE"""),"https://t.me/zadachi_ds/404")</f>
        <v>https://t.me/zadachi_ds/404</v>
      </c>
      <c r="K161" s="6">
        <f>IFERROR(__xludf.DUMMYFUNCTION("""COMPUTED_VALUE"""),4600.0)</f>
        <v>4600</v>
      </c>
      <c r="L161" s="6">
        <f>IFERROR(__xludf.DUMMYFUNCTION("""COMPUTED_VALUE"""),13.0)</f>
        <v>13</v>
      </c>
      <c r="M161" s="6"/>
      <c r="N161" s="6" t="str">
        <f>IFERROR(__xludf.DUMMYFUNCTION("""COMPUTED_VALUE"""),"Telegram")</f>
        <v>Telegram</v>
      </c>
      <c r="O161" s="6" t="str">
        <f>IFERROR(__xludf.DUMMYFUNCTION("""COMPUTED_VALUE"""),"raw")</f>
        <v>raw</v>
      </c>
      <c r="P161" s="6" t="str">
        <f>IFERROR(__xludf.DUMMYFUNCTION("""COMPUTED_VALUE"""),"Codex")</f>
        <v>Codex</v>
      </c>
      <c r="Q161" s="6" t="str">
        <f>IFERROR(__xludf.DUMMYFUNCTION("""COMPUTED_VALUE"""),"Общий контакт @vice22821; признак связи с проектом")</f>
        <v>Общий контакт @vice22821; признак связи с проектом</v>
      </c>
      <c r="R161" s="6" t="str">
        <f>IFERROR(__xludf.DUMMYFUNCTION("""COMPUTED_VALUE"""),"unknown")</f>
        <v>unknown</v>
      </c>
      <c r="S161" s="6" t="str">
        <f>IFERROR(__xludf.DUMMYFUNCTION("""COMPUTED_VALUE"""),"unknown")</f>
        <v>unknown</v>
      </c>
      <c r="T161" s="6" t="str">
        <f>IFERROR(__xludf.DUMMYFUNCTION("""COMPUTED_VALUE"""),"telegram_external")</f>
        <v>telegram_external</v>
      </c>
      <c r="U161" s="6" t="str">
        <f>IFERROR(__xludf.DUMMYFUNCTION("""COMPUTED_VALUE"""),"Контент с предложением курсов")</f>
        <v>Контент с предложением курсов</v>
      </c>
      <c r="V161" s="6" t="str">
        <f>IFERROR(__xludf.DUMMYFUNCTION("""COMPUTED_VALUE"""),"")</f>
        <v/>
      </c>
      <c r="W161" s="6" t="str">
        <f>IFERROR(__xludf.DUMMYFUNCTION("""COMPUTED_VALUE"""),"")</f>
        <v/>
      </c>
      <c r="X161" s="6"/>
      <c r="Y161" s="6" t="str">
        <f>IFERROR(__xludf.DUMMYFUNCTION("""COMPUTED_VALUE"""),"https://t.me/postypashki_old/1859
https://t.me/m/p94YcePXNjcy")</f>
        <v>https://t.me/postypashki_old/1859
https://t.me/m/p94YcePXNjcy</v>
      </c>
      <c r="Z161" s="6" t="b">
        <f>IFERROR(__xludf.DUMMYFUNCTION("""COMPUTED_VALUE"""),TRUE)</f>
        <v>1</v>
      </c>
      <c r="AA161" s="6" t="str">
        <f>IFERROR(__xludf.DUMMYFUNCTION("""COMPUTED_VALUE"""),"")</f>
        <v/>
      </c>
      <c r="AB161" s="6" t="str">
        <f>IFERROR(__xludf.DUMMYFUNCTION("""COMPUTED_VALUE"""),"")</f>
        <v/>
      </c>
      <c r="AC161" s="6" t="str">
        <f>IFERROR(__xludf.DUMMYFUNCTION("""COMPUTED_VALUE"""),"")</f>
        <v/>
      </c>
      <c r="AD161" s="6" t="str">
        <f>IFERROR(__xludf.DUMMYFUNCTION("""COMPUTED_VALUE"""),"")</f>
        <v/>
      </c>
      <c r="AE161" s="6" t="str">
        <f>IFERROR(__xludf.DUMMYFUNCTION("""COMPUTED_VALUE"""),"")</f>
        <v/>
      </c>
      <c r="AF161" s="6" t="str">
        <f>IFERROR(__xludf.DUMMYFUNCTION("""COMPUTED_VALUE"""),"Не подтверждено")</f>
        <v>Не подтверждено</v>
      </c>
      <c r="AG161" s="6" t="str">
        <f>IFERROR(__xludf.DUMMYFUNCTION("""COMPUTED_VALUE"""),"")</f>
        <v/>
      </c>
      <c r="AH161" s="6" t="str">
        <f>IFERROR(__xludf.DUMMYFUNCTION("""COMPUTED_VALUE"""),"2026-09-11T11:47:39.365425+00:00")</f>
        <v>2026-09-11T11:47:39.365425+00:00</v>
      </c>
      <c r="AI161" s="6" t="str">
        <f>IFERROR(__xludf.DUMMYFUNCTION("""COMPUTED_VALUE"""),"raw/zadachi_ds/page_000.html")</f>
        <v>raw/zadachi_ds/page_000.html</v>
      </c>
      <c r="AJ161" s="9" t="s">
        <v>224</v>
      </c>
      <c r="AK161" s="9" t="s">
        <v>242</v>
      </c>
      <c r="AL161" s="9" t="s">
        <v>252</v>
      </c>
      <c r="AM161" s="9" t="s">
        <v>226</v>
      </c>
      <c r="AN161" s="4" t="str">
        <f>IFERROR(__xludf.DUMMYFUNCTION("IF(OR(AJ161=""general_brand"",AJ161=""external"",AJ161=""unknown""),"""",IF(AJ161=""product_line"",IF(AK161=""START"",""Аналитика старт | Алгоритмы старт | Backend старт | ML старт"",IF(AK161=""PRO"",""AI-агенты про | Алгоритмы про | Аналитика про | ML пр"&amp;"о | Backend про"",IF(AK161=""START | PRO"",""Аналитика старт | Алгоритмы старт | Backend старт | ML старт | AI-агенты про | Алгоритмы про | Аналитика про | ML про | Backend про"",""""))),TEXTJOIN("" | "",TRUE,IF(REGEXMATCH(LOWER(AL161&amp;"" | ""&amp;E161),""анал"&amp;"итика старт""),""Аналитика старт"",""""),IF(REGEXMATCH(LOWER(AL161&amp;"" | ""&amp;E161),""алгоритмы старт""),""Алгоритмы старт"",""""),IF(REGEXMATCH(LOWER(AL161&amp;"" | ""&amp;E161),""backend старт""),""Backend старт"",""""),IF(REGEXMATCH(LOWER(AL161&amp;"" | ""&amp;E161),""ml"&amp;" старт""),""ML старт"",""""),IF(REGEXMATCH(LOWER(AL161&amp;"" | ""&amp;E161),""ai[ -]?агент""),""AI-агенты про"",""""),IF(REGEXMATCH(LOWER(AL161&amp;"" | ""&amp;E161),""алгоритмы про""),""Алгоритмы про"",""""),IF(REGEXMATCH(LOWER(AL161&amp;"" | ""&amp;E161),""аналитика про""),"""&amp;"Аналитика про"",""""),IF(REGEXMATCH(LOWER(AL161&amp;"" | ""&amp;E161),""ml про""),""ML про"",""""),IF(REGEXMATCH(LOWER(AL161&amp;"" | ""&amp;E161),""backend про""),""Backend про"",""""),IF(REGEXMATCH(LOWER(AL161&amp;"" | ""&amp;E161),""(а/в|ав|а в|ab)[ -]?тест""),""А/В-тесты"","&amp;"""""),IF(REGEXMATCH(LOWER(AL161&amp;"" | ""&amp;E161),""data science""),""Data science"",""""),IF(REGEXMATCH(LOWER(AL161&amp;"" | ""&amp;E161),""data[- ]?инжен""),""Data-инженер"",""""),IF(REGEXMATCH(LOWER(AL161&amp;"" | ""&amp;E161),""frontend""),""Frontend"",""""))))"),"ML про")</f>
        <v>ML про</v>
      </c>
    </row>
    <row r="162">
      <c r="A162" s="6" t="str">
        <f>IFERROR(__xludf.DUMMYFUNCTION("""COMPUTED_VALUE"""),"EXT-62")</f>
        <v>EXT-62</v>
      </c>
      <c r="B162" s="6" t="str">
        <f>IFERROR(__xludf.DUMMYFUNCTION("""COMPUTED_VALUE"""),"2026-08-23 17:09:54")</f>
        <v>2026-08-23 17:09:54</v>
      </c>
      <c r="C162" s="6" t="str">
        <f>IFERROR(__xludf.DUMMYFUNCTION("""COMPUTED_VALUE"""),"@algoses")</f>
        <v>@algoses</v>
      </c>
      <c r="D162" s="4" t="str">
        <f>IFERROR(__xludf.DUMMYFUNCTION("""COMPUTED_VALUE"""),"Контент с предложением курсов")</f>
        <v>Контент с предложением курсов</v>
      </c>
      <c r="E162" s="6" t="str">
        <f>IFERROR(__xludf.DUMMYFUNCTION("""COMPUTED_VALUE"""),"")</f>
        <v/>
      </c>
      <c r="F162" s="6" t="str">
        <f>IFERROR(__xludf.DUMMYFUNCTION("""COMPUTED_VALUE"""),"")</f>
        <v/>
      </c>
      <c r="G162" s="10" t="str">
        <f>IFERROR(__xludf.DUMMYFUNCTION("""COMPUTED_VALUE"""),"https://t.me/algoses/614")</f>
        <v>https://t.me/algoses/614</v>
      </c>
      <c r="H162" s="6" t="str">
        <f>IFERROR(__xludf.DUMMYFUNCTION("""COMPUTED_VALUE"""),"Зачем нужны продвинутые алгоритмы
Идет набор на наши курсы ПРО. Самое время обсудить, зачем нужен наш курс алгоритмы про. 
➡️ Записаться
Олимпиады и магистратуры
Почти на любую школу/стажировку/магистратуру вы пишете контесты, уровень этих контестов мен"&amp;"яется каждый год, уже в последнем контесте яндекса на стажировку вы можете увидеть продвинутые оптимизации ДП и MITM. Во всякие ШАДы и так понятно, что контесты требуют высокой подготовки и большой насмотренности по алгоритмам. А также всё чаще встречаютс"&amp;"я ивенты/олимпиады для студентов (например yandex cup/турниры от fonbet/чемпионат от мтс) и старше по олимпиадному программированию, за которые можно получать денежные призы/бви в магистратуры/ фасттреки в сильнейшие бигтехи или хфт конторы.
FAANG+
В зар"&amp;"убежные компании куда сложнее отбор, зачастую там отбор состоит из 3-4 собеседований, а пару алгоритмических тем не хватит чтобы пройти эти собеседования. Там значительно объемнее алгоритмический багаж, который требуется для решения задач, и даже умения р"&amp;"ешать хард задачи на литкоде не хватит на проход. Например наш выпускник Максим (отзыв на сайте) прошел все этапы собеседования в гугл и уже окончил intern swe стажировку с зарплатой 8000$ в месяц. На самом собеседовании он как-раз решал задачу на битовый"&amp;" бор, который мы разбирали на первом уроке.
Computer Science
У многих компаний бигтеха есть свои лаборатории, в которые они направляют задачки, возникшие в процессе разработки в проде, которые не имеют решений в настоящее время. Например в т-банке есть л"&amp;"аборатория cs, где работает один из наших учеников Игорь. Что оптимизирует: курьеры получают на день некоторое количество заказов, а компания должна придумать сразу оптимальное разбиение всех заказов по курьерам и их маршруты так, чтобы минимальное количе"&amp;"ство топлива было затрачено на их сумму минимальных путей (почти что TSP задача). Лаборанты по большому счету работают там над теорией алгоритмов, придумывают эффективную идею и тестируют её на синтетических данных, а уже потом предложенную идею отправляю"&amp;"т в прод. Здесь полноценный ресерч, вы должны не просто уметь хорошо решать задачи, но и должны знать большое количество алгоритмов и идей.
HFT
Даже в фонды среднячки нужна серьезная алгоритмическая подготовка, недавно мы узнали, что наш ученик Артем (см"&amp;"отрите на сайте), как раз устроился через пару месяцев после курса по алгосам в Fast Forward.  А ранее ему дали задачу на собеседовании в Spectral рейтинга 2000 на кфе, и эту секцию он легко прошел. В хфт есть несколько направлений SWE, QR и Trader. На ка"&amp;"ждое из этих направлений нужны очень сильные алгоритмы. Отчасти стэк технологий трейдера и задачи его покрывают qr и swe, поэтому рассмотрим потребность в алгоритмах от его лица. Всё сказанное про ML и Бэк верно и для него, но только требуется еще более г"&amp;"лубокое понимание всего. Например здесь же уже нужно понимать как реализованы внутри модели, какие структуры они используют, как их оптимизировать, а также и сами нюансы внутренние у реализаций библиотек. Здесь также и требуется иметь навыки бэкендера, но"&amp;" тут уже нужно глубокое понимание языка (чаще всего плюсов) на уровне количества инструкций в той или иной среде для какой-либо операции, а также нужно отлично знать алгоритмы и уметь их применять (последнее вдвойне ценится). Тут уже зачастую недостаточно"&amp;" придумать асимптотически наилучшее решение, нужно искать кучу неасимптотических оптимизаций для частных случаев данных.
Подписаться: @algoses")</f>
        <v>Зачем нужны продвинутые алгоритмы
Идет набор на наши курсы ПРО. Самое время обсудить, зачем нужен наш курс алгоритмы про. 
➡️ Записаться
Олимпиады и магистратуры
Почти на любую школу/стажировку/магистратуру вы пишете контесты, уровень этих контестов меняется каждый год, уже в последнем контесте яндекса на стажировку вы можете увидеть продвинутые оптимизации ДП и MITM. Во всякие ШАДы и так понятно, что контесты требуют высокой подготовки и большой насмотренности по алгоритмам. А также всё чаще встречаются ивенты/олимпиады для студентов (например yandex cup/турниры от fonbet/чемпионат от мтс) и старше по олимпиадному программированию, за которые можно получать денежные призы/бви в магистратуры/ фасттреки в сильнейшие бигтехи или хфт конторы.
FAANG+
В зарубежные компании куда сложнее отбор, зачастую там отбор состоит из 3-4 собеседований, а пару алгоритмических тем не хватит чтобы пройти эти собеседования. Там значительно объемнее алгоритмический багаж, который требуется для решения задач, и даже умения решать хард задачи на литкоде не хватит на проход. Например наш выпускник Максим (отзыв на сайте) прошел все этапы собеседования в гугл и уже окончил intern swe стажировку с зарплатой 8000$ в месяц. На самом собеседовании он как-раз решал задачу на битовый бор, который мы разбирали на первом уроке.
Computer Science
У многих компаний бигтеха есть свои лаборатории, в которые они направляют задачки, возникшие в процессе разработки в проде, которые не имеют решений в настоящее время. Например в т-банке есть лаборатория cs, где работает один из наших учеников Игорь. Что оптимизирует: курьеры получают на день некоторое количество заказов, а компания должна придумать сразу оптимальное разбиение всех заказов по курьерам и их маршруты так, чтобы минимальное количество топлива было затрачено на их сумму минимальных путей (почти что TSP задача). Лаборанты по большому счету работают там над теорией алгоритмов, придумывают эффективную идею и тестируют её на синтетических данных, а уже потом предложенную идею отправляют в прод. Здесь полноценный ресерч, вы должны не просто уметь хорошо решать задачи, но и должны знать большое количество алгоритмов и идей.
HFT
Даже в фонды среднячки нужна серьезная алгоритмическая подготовка, недавно мы узнали, что наш ученик Артем (смотрите на сайте), как раз устроился через пару месяцев после курса по алгосам в Fast Forward.  А ранее ему дали задачу на собеседовании в Spectral рейтинга 2000 на кфе, и эту секцию он легко прошел. В хфт есть несколько направлений SWE, QR и Trader. На каждое из этих направлений нужны очень сильные алгоритмы. Отчасти стэк технологий трейдера и задачи его покрывают qr и swe, поэтому рассмотрим потребность в алгоритмах от его лица. Всё сказанное про ML и Бэк верно и для него, но только требуется еще более глубокое понимание всего. Например здесь же уже нужно понимать как реализованы внутри модели, какие структуры они используют, как их оптимизировать, а также и сами нюансы внутренние у реализаций библиотек. Здесь также и требуется иметь навыки бэкендера, но тут уже нужно глубокое понимание языка (чаще всего плюсов) на уровне количества инструкций в той или иной среде для какой-либо операции, а также нужно отлично знать алгоритмы и уметь их применять (последнее вдвойне ценится). Тут уже зачастую недостаточно придумать асимптотически наилучшее решение, нужно искать кучу неасимптотических оптимизаций для частных случаев данных.
Подписаться: @algoses</v>
      </c>
      <c r="I162" s="6" t="str">
        <f>IFERROR(__xludf.DUMMYFUNCTION("""COMPUTED_VALUE"""),"external")</f>
        <v>external</v>
      </c>
      <c r="J162" s="10" t="str">
        <f>IFERROR(__xludf.DUMMYFUNCTION("""COMPUTED_VALUE"""),"https://t.me/algoses/614")</f>
        <v>https://t.me/algoses/614</v>
      </c>
      <c r="K162" s="6">
        <f>IFERROR(__xludf.DUMMYFUNCTION("""COMPUTED_VALUE"""),3490.0)</f>
        <v>3490</v>
      </c>
      <c r="L162" s="6">
        <f>IFERROR(__xludf.DUMMYFUNCTION("""COMPUTED_VALUE"""),8.0)</f>
        <v>8</v>
      </c>
      <c r="M162" s="6"/>
      <c r="N162" s="6" t="str">
        <f>IFERROR(__xludf.DUMMYFUNCTION("""COMPUTED_VALUE"""),"Telegram")</f>
        <v>Telegram</v>
      </c>
      <c r="O162" s="6" t="str">
        <f>IFERROR(__xludf.DUMMYFUNCTION("""COMPUTED_VALUE"""),"raw")</f>
        <v>raw</v>
      </c>
      <c r="P162" s="6" t="str">
        <f>IFERROR(__xludf.DUMMYFUNCTION("""COMPUTED_VALUE"""),"Codex")</f>
        <v>Codex</v>
      </c>
      <c r="Q162" s="6" t="str">
        <f>IFERROR(__xludf.DUMMYFUNCTION("""COMPUTED_VALUE"""),"Общий контакт @vice22821; признак связи с проектом")</f>
        <v>Общий контакт @vice22821; признак связи с проектом</v>
      </c>
      <c r="R162" s="6" t="str">
        <f>IFERROR(__xludf.DUMMYFUNCTION("""COMPUTED_VALUE"""),"unknown")</f>
        <v>unknown</v>
      </c>
      <c r="S162" s="6" t="str">
        <f>IFERROR(__xludf.DUMMYFUNCTION("""COMPUTED_VALUE"""),"unknown")</f>
        <v>unknown</v>
      </c>
      <c r="T162" s="6" t="str">
        <f>IFERROR(__xludf.DUMMYFUNCTION("""COMPUTED_VALUE"""),"telegram_external")</f>
        <v>telegram_external</v>
      </c>
      <c r="U162" s="6" t="str">
        <f>IFERROR(__xludf.DUMMYFUNCTION("""COMPUTED_VALUE"""),"Контент с предложением курсов")</f>
        <v>Контент с предложением курсов</v>
      </c>
      <c r="V162" s="6" t="str">
        <f>IFERROR(__xludf.DUMMYFUNCTION("""COMPUTED_VALUE"""),"")</f>
        <v/>
      </c>
      <c r="W162" s="6" t="str">
        <f>IFERROR(__xludf.DUMMYFUNCTION("""COMPUTED_VALUE"""),"")</f>
        <v/>
      </c>
      <c r="X162" s="6"/>
      <c r="Y162" s="6" t="str">
        <f>IFERROR(__xludf.DUMMYFUNCTION("""COMPUTED_VALUE"""),"https://t.me/postypashki_old/1859
https://old.postypashki.ru/%D0%BA%D0%B0%D1%80%D1%8C%D0%B5%D1%80%D0%BD%D1%8B%D0%B5-%D0%BA%D1%83%D1%80%D1%81%D1%8B/%D0%B0%D0%BB%D0%B3%D0%BE%D1%80%D0%B8%D1%82%D0%BC%D1%8B-%D1%85%D0%B0%D1%80%D0%B4/
https://t.me/m/p94YcePXNjcy")</f>
        <v>https://t.me/postypashki_old/1859
https://old.postypashki.ru/%D0%BA%D0%B0%D1%80%D1%8C%D0%B5%D1%80%D0%BD%D1%8B%D0%B5-%D0%BA%D1%83%D1%80%D1%81%D1%8B/%D0%B0%D0%BB%D0%B3%D0%BE%D1%80%D0%B8%D1%82%D0%BC%D1%8B-%D1%85%D0%B0%D1%80%D0%B4/
https://t.me/m/p94YcePXNjcy</v>
      </c>
      <c r="Z162" s="6" t="b">
        <f>IFERROR(__xludf.DUMMYFUNCTION("""COMPUTED_VALUE"""),TRUE)</f>
        <v>1</v>
      </c>
      <c r="AA162" s="6" t="str">
        <f>IFERROR(__xludf.DUMMYFUNCTION("""COMPUTED_VALUE"""),"")</f>
        <v/>
      </c>
      <c r="AB162" s="6" t="str">
        <f>IFERROR(__xludf.DUMMYFUNCTION("""COMPUTED_VALUE"""),"")</f>
        <v/>
      </c>
      <c r="AC162" s="6" t="str">
        <f>IFERROR(__xludf.DUMMYFUNCTION("""COMPUTED_VALUE"""),"")</f>
        <v/>
      </c>
      <c r="AD162" s="6" t="str">
        <f>IFERROR(__xludf.DUMMYFUNCTION("""COMPUTED_VALUE"""),"")</f>
        <v/>
      </c>
      <c r="AE162" s="6" t="str">
        <f>IFERROR(__xludf.DUMMYFUNCTION("""COMPUTED_VALUE"""),"")</f>
        <v/>
      </c>
      <c r="AF162" s="6" t="str">
        <f>IFERROR(__xludf.DUMMYFUNCTION("""COMPUTED_VALUE"""),"Не подтверждено")</f>
        <v>Не подтверждено</v>
      </c>
      <c r="AG162" s="6" t="str">
        <f>IFERROR(__xludf.DUMMYFUNCTION("""COMPUTED_VALUE"""),"")</f>
        <v/>
      </c>
      <c r="AH162" s="6" t="str">
        <f>IFERROR(__xludf.DUMMYFUNCTION("""COMPUTED_VALUE"""),"2026-09-11T11:47:43.784081+00:00")</f>
        <v>2026-09-11T11:47:43.784081+00:00</v>
      </c>
      <c r="AI162" s="6" t="str">
        <f>IFERROR(__xludf.DUMMYFUNCTION("""COMPUTED_VALUE"""),"raw/algoses/page_000.html")</f>
        <v>raw/algoses/page_000.html</v>
      </c>
      <c r="AJ162" s="9" t="s">
        <v>224</v>
      </c>
      <c r="AK162" s="9" t="s">
        <v>242</v>
      </c>
      <c r="AL162" s="9" t="s">
        <v>254</v>
      </c>
      <c r="AM162" s="9" t="s">
        <v>235</v>
      </c>
      <c r="AN162" s="4" t="str">
        <f>IFERROR(__xludf.DUMMYFUNCTION("IF(OR(AJ162=""general_brand"",AJ162=""external"",AJ162=""unknown""),"""",IF(AJ162=""product_line"",IF(AK162=""START"",""Аналитика старт | Алгоритмы старт | Backend старт | ML старт"",IF(AK162=""PRO"",""AI-агенты про | Алгоритмы про | Аналитика про | ML пр"&amp;"о | Backend про"",IF(AK162=""START | PRO"",""Аналитика старт | Алгоритмы старт | Backend старт | ML старт | AI-агенты про | Алгоритмы про | Аналитика про | ML про | Backend про"",""""))),TEXTJOIN("" | "",TRUE,IF(REGEXMATCH(LOWER(AL162&amp;"" | ""&amp;E162),""анал"&amp;"итика старт""),""Аналитика старт"",""""),IF(REGEXMATCH(LOWER(AL162&amp;"" | ""&amp;E162),""алгоритмы старт""),""Алгоритмы старт"",""""),IF(REGEXMATCH(LOWER(AL162&amp;"" | ""&amp;E162),""backend старт""),""Backend старт"",""""),IF(REGEXMATCH(LOWER(AL162&amp;"" | ""&amp;E162),""ml"&amp;" старт""),""ML старт"",""""),IF(REGEXMATCH(LOWER(AL162&amp;"" | ""&amp;E162),""ai[ -]?агент""),""AI-агенты про"",""""),IF(REGEXMATCH(LOWER(AL162&amp;"" | ""&amp;E162),""алгоритмы про""),""Алгоритмы про"",""""),IF(REGEXMATCH(LOWER(AL162&amp;"" | ""&amp;E162),""аналитика про""),"""&amp;"Аналитика про"",""""),IF(REGEXMATCH(LOWER(AL162&amp;"" | ""&amp;E162),""ml про""),""ML про"",""""),IF(REGEXMATCH(LOWER(AL162&amp;"" | ""&amp;E162),""backend про""),""Backend про"",""""),IF(REGEXMATCH(LOWER(AL162&amp;"" | ""&amp;E162),""(а/в|ав|а в|ab)[ -]?тест""),""А/В-тесты"","&amp;"""""),IF(REGEXMATCH(LOWER(AL162&amp;"" | ""&amp;E162),""data science""),""Data science"",""""),IF(REGEXMATCH(LOWER(AL162&amp;"" | ""&amp;E162),""data[- ]?инжен""),""Data-инженер"",""""),IF(REGEXMATCH(LOWER(AL162&amp;"" | ""&amp;E162),""frontend""),""Frontend"",""""))))"),"Алгоритмы про")</f>
        <v>Алгоритмы про</v>
      </c>
    </row>
    <row r="163">
      <c r="A163" s="6" t="str">
        <f>IFERROR(__xludf.DUMMYFUNCTION("""COMPUTED_VALUE"""),"EXT-63")</f>
        <v>EXT-63</v>
      </c>
      <c r="B163" s="6" t="str">
        <f>IFERROR(__xludf.DUMMYFUNCTION("""COMPUTED_VALUE"""),"2026-08-23 13:05:55")</f>
        <v>2026-08-23 13:05:55</v>
      </c>
      <c r="C163" s="6" t="str">
        <f>IFERROR(__xludf.DUMMYFUNCTION("""COMPUTED_VALUE"""),"@chad_protocol")</f>
        <v>@chad_protocol</v>
      </c>
      <c r="D163" s="4" t="str">
        <f>IFERROR(__xludf.DUMMYFUNCTION("""COMPUTED_VALUE"""),"Контент с упоминанием")</f>
        <v>Контент с упоминанием</v>
      </c>
      <c r="E163" s="6" t="str">
        <f>IFERROR(__xludf.DUMMYFUNCTION("""COMPUTED_VALUE"""),"")</f>
        <v/>
      </c>
      <c r="F163" s="6" t="str">
        <f>IFERROR(__xludf.DUMMYFUNCTION("""COMPUTED_VALUE"""),"")</f>
        <v/>
      </c>
      <c r="G163" s="10" t="str">
        <f>IFERROR(__xludf.DUMMYFUNCTION("""COMPUTED_VALUE"""),"https://t.me/chad_protocol/524")</f>
        <v>https://t.me/chad_protocol/524</v>
      </c>
      <c r="H163" s="6" t="str">
        <f>IFERROR(__xludf.DUMMYFUNCTION("""COMPUTED_VALUE"""),"Зарубеж: куда можно уехать и как там работать 🌍
Работа за границей - это не обязательно история про ""найти местную компанию, получить оффер и навсегда переехать"".
Есть несколько разных сценариев: можно поступить в зарубежный вуз, найти там стажировку"&amp;", устроиться в международную компанию или работать удалённо и жить в другой стране.
Один из таких вариантов - digital nomad, или цифровой кочевник.
Цифровой кочевник - человек, который работает удалённо и может жить в другой стране, не устраиваясь к мес"&amp;"тному работодателю.
Для этого некоторые страны выдают специальные визы. Обычно требуют:
✖️удостоверение личности (загран);  
✖️контракт с работодателем или клиентом за пределами страны;  
✖️подтверждённый доход определённого размера.
Условия зависят от"&amp;" страны: где-то достаточно подтвердить доход и удалённую работу, где-то нужны дополнительные документы.
Где есть визы цифрового кочевника
Для граждан СНГ такие визы выдают, например:
Европа: Венгрия, Греция, Испания, Мальта, Норвегия, Португалия.
Америк"&amp;"а: Аргентина, Бразилия, Коста-Рика, Мексика, Панама.
Другие направления: Грузия, ОАЭ, Маврикий, Сейшельские острова, Каймановы острова, Кюрасао, Доминика, Антигуа и Барбуда, Багамские острова.
Список и условия могут меняться, поэтому перед переездом всегд"&amp;"а нужно проверять актуальные требования!
А если специальная виза не нужна?
Есть страны, куда граждане РФ могут въехать без визы или получить визу по прибытии.
Причём в некоторые страны можно попасть даже без загранпаспорта:
🇦🇲 Армения — до 180 дней  
"&amp;"🇧🇾 Беларусь — до 90 дней  
🇰🇿 Казахстан — первые 30 дней без регистрации  
🇰🇬 Кыргызстан — первые 30 дней без регистрации
Если есть загранпаспорт, вариантов становится гораздо больше.
Например:
🎉 Грузия — до 360 дней  
🇲🇽 Мексика — до 180 дней
"&amp;"
До 90 дней:  
Азербайджан, Аргентина, Багамы, Бразилия, Гондурас, Египет, Израиль, Катар, Колумбия, Куба, Македония, Марокко, Молдова, Никарагуа, ОАЭ, Парагвай, Перу, Саудовская Аравия, Тунис, Уругвай, Чили, Эквадор, ЮАР, Ямайка и другие.
До 60 дней:  
"&amp;"Маврикий, Турция, Узбекистан, Южная Корея.
До 30 дней:  
Барбадос, Вануату, Индонезия, Иордания, Коста-Рика, Макао, Малайзия, Монголия, Сейшельские острова, Сербия, Филиппины, Черногория, Шри-Ланка, Китай.
Но есть важный нюанс
Безвизовый въезд не означа"&amp;"ет автоматически право работать. Можно приехать в страну на 30, 60 или 90 дней как турист, но это не значит, что можно легально устроиться там в местную компанию.
Поэтому если цель - именно работа и переезд, нужно отдельно смотреть:
✖️какую визу можно по"&amp;"лучить;  
✖️разрешена ли по ней работа;  
✖️нужен ли ВНЖ;  
✖️какой доход нужно подтвердить;  
✖️как устроены налоги;  
✖️какие документы потребуются.
И здесь как раз начинается самая интересная часть зарубежки: не просто выбрать красивую страну, а понят"&amp;"ь, какой маршрут подходит именно тебе.
Можно начать с учёбы, можно с удалённой работы, можно искать стажировку или сразу выходить на международный рынок труда.
Еще больше информации будет на новом потоке наших курсов ПРО, где добавили большой блок, как "&amp;"работать зарубежом и получать доход в валюте. 
Если тема зарубежки интересна - ставь 🔥 и пересылай пост тем, кто тоже присматривается к работе за границей.
Подписаться: @chad_protocol")</f>
        <v>Зарубеж: куда можно уехать и как там работать 🌍
Работа за границей - это не обязательно история про "найти местную компанию, получить оффер и навсегда переехать".
Есть несколько разных сценариев: можно поступить в зарубежный вуз, найти там стажировку, устроиться в международную компанию или работать удалённо и жить в другой стране.
Один из таких вариантов - digital nomad, или цифровой кочевник.
Цифровой кочевник - человек, который работает удалённо и может жить в другой стране, не устраиваясь к местному работодателю.
Для этого некоторые страны выдают специальные визы. Обычно требуют:
✖️удостоверение личности (загран);  
✖️контракт с работодателем или клиентом за пределами страны;  
✖️подтверждённый доход определённого размера.
Условия зависят от страны: где-то достаточно подтвердить доход и удалённую работу, где-то нужны дополнительные документы.
Где есть визы цифрового кочевника
Для граждан СНГ такие визы выдают, например:
Европа: Венгрия, Греция, Испания, Мальта, Норвегия, Португалия.
Америка: Аргентина, Бразилия, Коста-Рика, Мексика, Панама.
Другие направления: Грузия, ОАЭ, Маврикий, Сейшельские острова, Каймановы острова, Кюрасао, Доминика, Антигуа и Барбуда, Багамские острова.
Список и условия могут меняться, поэтому перед переездом всегда нужно проверять актуальные требования!
А если специальная виза не нужна?
Есть страны, куда граждане РФ могут въехать без визы или получить визу по прибытии.
Причём в некоторые страны можно попасть даже без загранпаспорта:
🇦🇲 Армения — до 180 дней  
🇧🇾 Беларусь — до 90 дней  
🇰🇿 Казахстан — первые 30 дней без регистрации  
🇰🇬 Кыргызстан — первые 30 дней без регистрации
Если есть загранпаспорт, вариантов становится гораздо больше.
Например:
🎉 Грузия — до 360 дней  
🇲🇽 Мексика — до 180 дней
До 90 дней:  
Азербайджан, Аргентина, Багамы, Бразилия, Гондурас, Египет, Израиль, Катар, Колумбия, Куба, Македония, Марокко, Молдова, Никарагуа, ОАЭ, Парагвай, Перу, Саудовская Аравия, Тунис, Уругвай, Чили, Эквадор, ЮАР, Ямайка и другие.
До 60 дней:  
Маврикий, Турция, Узбекистан, Южная Корея.
До 30 дней:  
Барбадос, Вануату, Индонезия, Иордания, Коста-Рика, Макао, Малайзия, Монголия, Сейшельские острова, Сербия, Филиппины, Черногория, Шри-Ланка, Китай.
Но есть важный нюанс
Безвизовый въезд не означает автоматически право работать. Можно приехать в страну на 30, 60 или 90 дней как турист, но это не значит, что можно легально устроиться там в местную компанию.
Поэтому если цель - именно работа и переезд, нужно отдельно смотреть:
✖️какую визу можно получить;  
✖️разрешена ли по ней работа;  
✖️нужен ли ВНЖ;  
✖️какой доход нужно подтвердить;  
✖️как устроены налоги;  
✖️какие документы потребуются.
И здесь как раз начинается самая интересная часть зарубежки: не просто выбрать красивую страну, а понять, какой маршрут подходит именно тебе.
Можно начать с учёбы, можно с удалённой работы, можно искать стажировку или сразу выходить на международный рынок труда.
Еще больше информации будет на новом потоке наших курсов ПРО, где добавили большой блок, как работать зарубежом и получать доход в валюте. 
Если тема зарубежки интересна - ставь 🔥 и пересылай пост тем, кто тоже присматривается к работе за границей.
Подписаться: @chad_protocol</v>
      </c>
      <c r="I163" s="6" t="str">
        <f>IFERROR(__xludf.DUMMYFUNCTION("""COMPUTED_VALUE"""),"external")</f>
        <v>external</v>
      </c>
      <c r="J163" s="10" t="str">
        <f>IFERROR(__xludf.DUMMYFUNCTION("""COMPUTED_VALUE"""),"https://t.me/chad_protocol/524")</f>
        <v>https://t.me/chad_protocol/524</v>
      </c>
      <c r="K163" s="6">
        <f>IFERROR(__xludf.DUMMYFUNCTION("""COMPUTED_VALUE"""),4550.0)</f>
        <v>4550</v>
      </c>
      <c r="L163" s="6">
        <f>IFERROR(__xludf.DUMMYFUNCTION("""COMPUTED_VALUE"""),45.0)</f>
        <v>45</v>
      </c>
      <c r="M163" s="6"/>
      <c r="N163" s="6" t="str">
        <f>IFERROR(__xludf.DUMMYFUNCTION("""COMPUTED_VALUE"""),"Telegram")</f>
        <v>Telegram</v>
      </c>
      <c r="O163" s="6" t="str">
        <f>IFERROR(__xludf.DUMMYFUNCTION("""COMPUTED_VALUE"""),"raw")</f>
        <v>raw</v>
      </c>
      <c r="P163" s="6" t="str">
        <f>IFERROR(__xludf.DUMMYFUNCTION("""COMPUTED_VALUE"""),"Codex")</f>
        <v>Codex</v>
      </c>
      <c r="Q163" s="6" t="str">
        <f>IFERROR(__xludf.DUMMYFUNCTION("""COMPUTED_VALUE"""),"Общий контакт @vice22821; признак связи с проектом")</f>
        <v>Общий контакт @vice22821; признак связи с проектом</v>
      </c>
      <c r="R163" s="6" t="str">
        <f>IFERROR(__xludf.DUMMYFUNCTION("""COMPUTED_VALUE"""),"unknown")</f>
        <v>unknown</v>
      </c>
      <c r="S163" s="6" t="str">
        <f>IFERROR(__xludf.DUMMYFUNCTION("""COMPUTED_VALUE"""),"unknown")</f>
        <v>unknown</v>
      </c>
      <c r="T163" s="6" t="str">
        <f>IFERROR(__xludf.DUMMYFUNCTION("""COMPUTED_VALUE"""),"telegram_external")</f>
        <v>telegram_external</v>
      </c>
      <c r="U163" s="6" t="str">
        <f>IFERROR(__xludf.DUMMYFUNCTION("""COMPUTED_VALUE"""),"Контент с упоминанием")</f>
        <v>Контент с упоминанием</v>
      </c>
      <c r="V163" s="6" t="str">
        <f>IFERROR(__xludf.DUMMYFUNCTION("""COMPUTED_VALUE"""),"")</f>
        <v/>
      </c>
      <c r="W163" s="6" t="str">
        <f>IFERROR(__xludf.DUMMYFUNCTION("""COMPUTED_VALUE"""),"")</f>
        <v/>
      </c>
      <c r="X163" s="6"/>
      <c r="Y163" s="10" t="str">
        <f>IFERROR(__xludf.DUMMYFUNCTION("""COMPUTED_VALUE"""),"https://t.me/postypashki_old/1859")</f>
        <v>https://t.me/postypashki_old/1859</v>
      </c>
      <c r="Z163" s="6" t="b">
        <f>IFERROR(__xludf.DUMMYFUNCTION("""COMPUTED_VALUE"""),FALSE)</f>
        <v>0</v>
      </c>
      <c r="AA163" s="6" t="str">
        <f>IFERROR(__xludf.DUMMYFUNCTION("""COMPUTED_VALUE"""),"")</f>
        <v/>
      </c>
      <c r="AB163" s="6" t="str">
        <f>IFERROR(__xludf.DUMMYFUNCTION("""COMPUTED_VALUE"""),"")</f>
        <v/>
      </c>
      <c r="AC163" s="6" t="str">
        <f>IFERROR(__xludf.DUMMYFUNCTION("""COMPUTED_VALUE"""),"")</f>
        <v/>
      </c>
      <c r="AD163" s="6" t="str">
        <f>IFERROR(__xludf.DUMMYFUNCTION("""COMPUTED_VALUE"""),"")</f>
        <v/>
      </c>
      <c r="AE163" s="6" t="str">
        <f>IFERROR(__xludf.DUMMYFUNCTION("""COMPUTED_VALUE"""),"")</f>
        <v/>
      </c>
      <c r="AF163" s="6" t="str">
        <f>IFERROR(__xludf.DUMMYFUNCTION("""COMPUTED_VALUE"""),"Не подтверждено")</f>
        <v>Не подтверждено</v>
      </c>
      <c r="AG163" s="6" t="str">
        <f>IFERROR(__xludf.DUMMYFUNCTION("""COMPUTED_VALUE"""),"")</f>
        <v/>
      </c>
      <c r="AH163" s="6" t="str">
        <f>IFERROR(__xludf.DUMMYFUNCTION("""COMPUTED_VALUE"""),"2026-09-11T11:47:50.761841+00:00")</f>
        <v>2026-09-11T11:47:50.761841+00:00</v>
      </c>
      <c r="AI163" s="6" t="str">
        <f>IFERROR(__xludf.DUMMYFUNCTION("""COMPUTED_VALUE"""),"raw/chad_protocol/page_000.html")</f>
        <v>raw/chad_protocol/page_000.html</v>
      </c>
      <c r="AJ163" s="9" t="s">
        <v>167</v>
      </c>
      <c r="AK163" s="9" t="s">
        <v>242</v>
      </c>
      <c r="AM163" s="9" t="s">
        <v>219</v>
      </c>
      <c r="AN163" s="4" t="str">
        <f>IFERROR(__xludf.DUMMYFUNCTION("IF(OR(AJ163=""general_brand"",AJ163=""external"",AJ163=""unknown""),"""",IF(AJ163=""product_line"",IF(AK163=""START"",""Аналитика старт | Алгоритмы старт | Backend старт | ML старт"",IF(AK163=""PRO"",""AI-агенты про | Алгоритмы про | Аналитика про | ML пр"&amp;"о | Backend про"",IF(AK163=""START | PRO"",""Аналитика старт | Алгоритмы старт | Backend старт | ML старт | AI-агенты про | Алгоритмы про | Аналитика про | ML про | Backend про"",""""))),TEXTJOIN("" | "",TRUE,IF(REGEXMATCH(LOWER(AL163&amp;"" | ""&amp;E163),""анал"&amp;"итика старт""),""Аналитика старт"",""""),IF(REGEXMATCH(LOWER(AL163&amp;"" | ""&amp;E163),""алгоритмы старт""),""Алгоритмы старт"",""""),IF(REGEXMATCH(LOWER(AL163&amp;"" | ""&amp;E163),""backend старт""),""Backend старт"",""""),IF(REGEXMATCH(LOWER(AL163&amp;"" | ""&amp;E163),""ml"&amp;" старт""),""ML старт"",""""),IF(REGEXMATCH(LOWER(AL163&amp;"" | ""&amp;E163),""ai[ -]?агент""),""AI-агенты про"",""""),IF(REGEXMATCH(LOWER(AL163&amp;"" | ""&amp;E163),""алгоритмы про""),""Алгоритмы про"",""""),IF(REGEXMATCH(LOWER(AL163&amp;"" | ""&amp;E163),""аналитика про""),"""&amp;"Аналитика про"",""""),IF(REGEXMATCH(LOWER(AL163&amp;"" | ""&amp;E163),""ml про""),""ML про"",""""),IF(REGEXMATCH(LOWER(AL163&amp;"" | ""&amp;E163),""backend про""),""Backend про"",""""),IF(REGEXMATCH(LOWER(AL163&amp;"" | ""&amp;E163),""(а/в|ав|а в|ab)[ -]?тест""),""А/В-тесты"","&amp;"""""),IF(REGEXMATCH(LOWER(AL163&amp;"" | ""&amp;E163),""data science""),""Data science"",""""),IF(REGEXMATCH(LOWER(AL163&amp;"" | ""&amp;E163),""data[- ]?инжен""),""Data-инженер"",""""),IF(REGEXMATCH(LOWER(AL163&amp;"" | ""&amp;E163),""frontend""),""Frontend"",""""))))"),"AI-агенты про | Алгоритмы про | Аналитика про | ML про | Backend про")</f>
        <v>AI-агенты про | Алгоритмы про | Аналитика про | ML про | Backend про</v>
      </c>
    </row>
    <row r="164">
      <c r="A164" s="6" t="str">
        <f>IFERROR(__xludf.DUMMYFUNCTION("""COMPUTED_VALUE"""),"EXT-64")</f>
        <v>EXT-64</v>
      </c>
      <c r="B164" s="6" t="str">
        <f>IFERROR(__xludf.DUMMYFUNCTION("""COMPUTED_VALUE"""),"2026-08-23 20:36:09")</f>
        <v>2026-08-23 20:36:09</v>
      </c>
      <c r="C164" s="6" t="str">
        <f>IFERROR(__xludf.DUMMYFUNCTION("""COMPUTED_VALUE"""),"@codeof_art")</f>
        <v>@codeof_art</v>
      </c>
      <c r="D164" s="4" t="str">
        <f>IFERROR(__xludf.DUMMYFUNCTION("""COMPUTED_VALUE"""),"Промо со скидкой")</f>
        <v>Промо со скидкой</v>
      </c>
      <c r="E164" s="6" t="str">
        <f>IFERROR(__xludf.DUMMYFUNCTION("""COMPUTED_VALUE"""),"")</f>
        <v/>
      </c>
      <c r="F164" s="6" t="str">
        <f>IFERROR(__xludf.DUMMYFUNCTION("""COMPUTED_VALUE"""),"")</f>
        <v/>
      </c>
      <c r="G164" s="10" t="str">
        <f>IFERROR(__xludf.DUMMYFUNCTION("""COMPUTED_VALUE"""),"https://t.me/codeof_art/314")</f>
        <v>https://t.me/codeof_art/314</v>
      </c>
      <c r="H164" s="6" t="str">
        <f>IFERROR(__xludf.DUMMYFUNCTION("""COMPUTED_VALUE"""),"Полный цикл собесов на Go-разработчика в Авито
Идут последние 5 часов скидки на наши карьерные курсы ПРО. В честь этого в посте разберемся, как на самом деле устроен наём в Авито. Свёл официальный плейбук компании с внутренними методичками для интервьюер"&amp;"ов по техническим секциям, которые предоставили наши выпускники. Получилась такая роудмапа: 4-5 встреч от первого созвона до оффера, и на каждом этапе могут разбить на несколько созвонов.
Этап 1. Звонок с рекрутером
Тут все по классике: обсуждение опыта,"&amp;" ожидания от новой работы, причины смены места. Можно и нужно закидывать встречные вопросы про команду и процессы - лучше перед этим с манифестом ознакомиться, так будешь выглядить подшаренным, что +реп дает.
Этап 2. Скоринговое интервью
30 минут в Zoom "&amp;"по техничке, но без лайвкодинга. Спрашивают несложные вопросы: по алгоритмам и структурам данных, языку программирования, HTTP, SQL, Git, Unix. Легкий фильтр перед тем, как тратить 2-3 часа на полноценную техничку, тут просто нужно готовиться по теории, н"&amp;"ичего страшного здесь нет.
Этап 3. Техническое интервью 
2-3 часа, реальный лайвкодинг на их платформе. Две обязательные секции плюс одна опциональная.
""Программирование"" - общая для любого стека часть на алгоритмы и сложность, причём библиотечными фу"&amp;"нкциями пользоваться нельзя, только руками. Час времени, easy/medium задачки, уровень определяют по чёткой сетке: от ""не решил ни одной задачи"" до ""решил всё оптимально, без подсказок, ещё и объясняет вслух"". В целом, если вдруг твой код не компилитьс"&amp;"я из-за синтаксической ошибки например, но ты объяснил свой код, то на это скорее всего закроют глаза просто. Реальные задачи в файле.
""Платформа"" - уже под Go: указатели, горутины, каналы, context, сеть. Классика - горутины в цикле, которые ищут макси"&amp;"мальное чётное число. Подробнее в файлике.
""Проектирование"" - опциональная, идёт последней и только при успешном прохождении первых двух. Главный дифференциатор для выхода на грейд E5 и выше. Дают кейс вроде ""спроектируй доску объявлений"" или условие"&amp;" под конкретную команду, интервьюер играет заказчика и оценивает не столько итоговую схему, сколько ход рассуждений: начинают с простого варианта, а если остаётся время - усложняют требования. Рисуют в Draw.io, Miro, Whimsical или Excalidraw - стоит заран"&amp;"ее зарегистрироваться и освоиться с инструментом, а не разбираться в интерфейсе на самом интервью.
Этап 4. Финальное интервью
Час с нанимающим менеджером и рекрутером. Уже не про код, а про мотивацию, soft skills и culture fit. Расскажут, чем занимается "&amp;"команда и как устроены процессы, а сами посмотрят, комфортно ли вам друг с другом и совпадают ли взгляды с ценностями команды.
Этап 5. Оффер
Письменно или на коротком созвоне. Если не прошли отбор, дают обратную связь, а на техническое интервью можно поп"&amp;"робовать зайти повторно через полгода.
Подробней с задачами в прикрепленном файле, все это закрывается на наших курсах. Отзывы о прошлом наборе на курс Бэкенд ПРО здесь и ниже (ставьте бананы). 
➡️ Записаться
Подписаться: @postypashki_old")</f>
        <v>Полный цикл собесов на Go-разработчика в Авито
Идут последние 5 часов скидки на наши карьерные курсы ПРО. В честь этого в посте разберемся, как на самом деле устроен наём в Авито. Свёл официальный плейбук компании с внутренними методичками для интервьюеров по техническим секциям, которые предоставили наши выпускники. Получилась такая роудмапа: 4-5 встреч от первого созвона до оффера, и на каждом этапе могут разбить на несколько созвонов.
Этап 1. Звонок с рекрутером
Тут все по классике: обсуждение опыта, ожидания от новой работы, причины смены места. Можно и нужно закидывать встречные вопросы про команду и процессы - лучше перед этим с манифестом ознакомиться, так будешь выглядить подшаренным, что +реп дает.
Этап 2. Скоринговое интервью
30 минут в Zoom по техничке, но без лайвкодинга. Спрашивают несложные вопросы: по алгоритмам и структурам данных, языку программирования, HTTP, SQL, Git, Unix. Легкий фильтр перед тем, как тратить 2-3 часа на полноценную техничку, тут просто нужно готовиться по теории, ничего страшного здесь нет.
Этап 3. Техническое интервью 
2-3 часа, реальный лайвкодинг на их платформе. Две обязательные секции плюс одна опциональная.
"Программирование" - общая для любого стека часть на алгоритмы и сложность, причём библиотечными функциями пользоваться нельзя, только руками. Час времени, easy/medium задачки, уровень определяют по чёткой сетке: от "не решил ни одной задачи" до "решил всё оптимально, без подсказок, ещё и объясняет вслух". В целом, если вдруг твой код не компилиться из-за синтаксической ошибки например, но ты объяснил свой код, то на это скорее всего закроют глаза просто. Реальные задачи в файле.
"Платформа" - уже под Go: указатели, горутины, каналы, context, сеть. Классика - горутины в цикле, которые ищут максимальное чётное число. Подробнее в файлике.
"Проектирование" - опциональная, идёт последней и только при успешном прохождении первых двух. Главный дифференциатор для выхода на грейд E5 и выше. Дают кейс вроде "спроектируй доску объявлений" или условие под конкретную команду, интервьюер играет заказчика и оценивает не столько итоговую схему, сколько ход рассуждений: начинают с простого варианта, а если остаётся время - усложняют требования. Рисуют в Draw.io, Miro, Whimsical или Excalidraw - стоит заранее зарегистрироваться и освоиться с инструментом, а не разбираться в интерфейсе на самом интервью.
Этап 4. Финальное интервью
Час с нанимающим менеджером и рекрутером. Уже не про код, а про мотивацию, soft skills и culture fit. Расскажут, чем занимается команда и как устроены процессы, а сами посмотрят, комфортно ли вам друг с другом и совпадают ли взгляды с ценностями команды.
Этап 5. Оффер
Письменно или на коротком созвоне. Если не прошли отбор, дают обратную связь, а на техническое интервью можно попробовать зайти повторно через полгода.
Подробней с задачами в прикрепленном файле, все это закрывается на наших курсах. Отзывы о прошлом наборе на курс Бэкенд ПРО здесь и ниже (ставьте бананы). 
➡️ Записаться
Подписаться: @postypashki_old</v>
      </c>
      <c r="I164" s="6" t="str">
        <f>IFERROR(__xludf.DUMMYFUNCTION("""COMPUTED_VALUE"""),"external")</f>
        <v>external</v>
      </c>
      <c r="J164" s="10" t="str">
        <f>IFERROR(__xludf.DUMMYFUNCTION("""COMPUTED_VALUE"""),"https://t.me/codeof_art/314")</f>
        <v>https://t.me/codeof_art/314</v>
      </c>
      <c r="K164" s="6">
        <f>IFERROR(__xludf.DUMMYFUNCTION("""COMPUTED_VALUE"""),835.0)</f>
        <v>835</v>
      </c>
      <c r="L164" s="6"/>
      <c r="M164" s="6"/>
      <c r="N164" s="6" t="str">
        <f>IFERROR(__xludf.DUMMYFUNCTION("""COMPUTED_VALUE"""),"Telegram")</f>
        <v>Telegram</v>
      </c>
      <c r="O164" s="6" t="str">
        <f>IFERROR(__xludf.DUMMYFUNCTION("""COMPUTED_VALUE"""),"raw")</f>
        <v>raw</v>
      </c>
      <c r="P164" s="6" t="str">
        <f>IFERROR(__xludf.DUMMYFUNCTION("""COMPUTED_VALUE"""),"Codex")</f>
        <v>Codex</v>
      </c>
      <c r="Q164" s="6" t="str">
        <f>IFERROR(__xludf.DUMMYFUNCTION("""COMPUTED_VALUE"""),"Общий контакт @vice22821; признак связи с проектом")</f>
        <v>Общий контакт @vice22821; признак связи с проектом</v>
      </c>
      <c r="R164" s="6" t="str">
        <f>IFERROR(__xludf.DUMMYFUNCTION("""COMPUTED_VALUE"""),"unknown")</f>
        <v>unknown</v>
      </c>
      <c r="S164" s="6" t="str">
        <f>IFERROR(__xludf.DUMMYFUNCTION("""COMPUTED_VALUE"""),"unknown")</f>
        <v>unknown</v>
      </c>
      <c r="T164" s="6" t="str">
        <f>IFERROR(__xludf.DUMMYFUNCTION("""COMPUTED_VALUE"""),"telegram_external")</f>
        <v>telegram_external</v>
      </c>
      <c r="U164" s="6" t="str">
        <f>IFERROR(__xludf.DUMMYFUNCTION("""COMPUTED_VALUE"""),"Промо со скидкой")</f>
        <v>Промо со скидкой</v>
      </c>
      <c r="V164" s="6" t="str">
        <f>IFERROR(__xludf.DUMMYFUNCTION("""COMPUTED_VALUE"""),"")</f>
        <v/>
      </c>
      <c r="W164" s="6" t="str">
        <f>IFERROR(__xludf.DUMMYFUNCTION("""COMPUTED_VALUE"""),"")</f>
        <v/>
      </c>
      <c r="X164" s="6"/>
      <c r="Y164" s="6" t="str">
        <f>IFERROR(__xludf.DUMMYFUNCTION("""COMPUTED_VALUE"""),"https://t.me/postypashki_old/1859
https://t.me/m/p94YcePXNjcy
https://t.me/postypashki_old")</f>
        <v>https://t.me/postypashki_old/1859
https://t.me/m/p94YcePXNjcy
https://t.me/postypashki_old</v>
      </c>
      <c r="Z164" s="6" t="b">
        <f>IFERROR(__xludf.DUMMYFUNCTION("""COMPUTED_VALUE"""),TRUE)</f>
        <v>1</v>
      </c>
      <c r="AA164" s="6" t="str">
        <f>IFERROR(__xludf.DUMMYFUNCTION("""COMPUTED_VALUE"""),"")</f>
        <v/>
      </c>
      <c r="AB164" s="6" t="str">
        <f>IFERROR(__xludf.DUMMYFUNCTION("""COMPUTED_VALUE"""),"")</f>
        <v/>
      </c>
      <c r="AC164" s="6" t="str">
        <f>IFERROR(__xludf.DUMMYFUNCTION("""COMPUTED_VALUE"""),"")</f>
        <v/>
      </c>
      <c r="AD164" s="6" t="str">
        <f>IFERROR(__xludf.DUMMYFUNCTION("""COMPUTED_VALUE"""),"")</f>
        <v/>
      </c>
      <c r="AE164" s="6" t="str">
        <f>IFERROR(__xludf.DUMMYFUNCTION("""COMPUTED_VALUE"""),"")</f>
        <v/>
      </c>
      <c r="AF164" s="6" t="str">
        <f>IFERROR(__xludf.DUMMYFUNCTION("""COMPUTED_VALUE"""),"Не подтверждено")</f>
        <v>Не подтверждено</v>
      </c>
      <c r="AG164" s="6" t="str">
        <f>IFERROR(__xludf.DUMMYFUNCTION("""COMPUTED_VALUE"""),"")</f>
        <v/>
      </c>
      <c r="AH164" s="6" t="str">
        <f>IFERROR(__xludf.DUMMYFUNCTION("""COMPUTED_VALUE"""),"2026-09-11T11:47:36.835348+00:00")</f>
        <v>2026-09-11T11:47:36.835348+00:00</v>
      </c>
      <c r="AI164" s="6" t="str">
        <f>IFERROR(__xludf.DUMMYFUNCTION("""COMPUTED_VALUE"""),"raw/codeof_art/page_000.html")</f>
        <v>raw/codeof_art/page_000.html</v>
      </c>
      <c r="AJ164" s="9" t="s">
        <v>224</v>
      </c>
      <c r="AK164" s="9" t="s">
        <v>242</v>
      </c>
      <c r="AL164" s="9" t="s">
        <v>246</v>
      </c>
      <c r="AM164" s="9" t="s">
        <v>231</v>
      </c>
      <c r="AN164" s="4" t="str">
        <f>IFERROR(__xludf.DUMMYFUNCTION("IF(OR(AJ164=""general_brand"",AJ164=""external"",AJ164=""unknown""),"""",IF(AJ164=""product_line"",IF(AK164=""START"",""Аналитика старт | Алгоритмы старт | Backend старт | ML старт"",IF(AK164=""PRO"",""AI-агенты про | Алгоритмы про | Аналитика про | ML пр"&amp;"о | Backend про"",IF(AK164=""START | PRO"",""Аналитика старт | Алгоритмы старт | Backend старт | ML старт | AI-агенты про | Алгоритмы про | Аналитика про | ML про | Backend про"",""""))),TEXTJOIN("" | "",TRUE,IF(REGEXMATCH(LOWER(AL164&amp;"" | ""&amp;E164),""анал"&amp;"итика старт""),""Аналитика старт"",""""),IF(REGEXMATCH(LOWER(AL164&amp;"" | ""&amp;E164),""алгоритмы старт""),""Алгоритмы старт"",""""),IF(REGEXMATCH(LOWER(AL164&amp;"" | ""&amp;E164),""backend старт""),""Backend старт"",""""),IF(REGEXMATCH(LOWER(AL164&amp;"" | ""&amp;E164),""ml"&amp;" старт""),""ML старт"",""""),IF(REGEXMATCH(LOWER(AL164&amp;"" | ""&amp;E164),""ai[ -]?агент""),""AI-агенты про"",""""),IF(REGEXMATCH(LOWER(AL164&amp;"" | ""&amp;E164),""алгоритмы про""),""Алгоритмы про"",""""),IF(REGEXMATCH(LOWER(AL164&amp;"" | ""&amp;E164),""аналитика про""),"""&amp;"Аналитика про"",""""),IF(REGEXMATCH(LOWER(AL164&amp;"" | ""&amp;E164),""ml про""),""ML про"",""""),IF(REGEXMATCH(LOWER(AL164&amp;"" | ""&amp;E164),""backend про""),""Backend про"",""""),IF(REGEXMATCH(LOWER(AL164&amp;"" | ""&amp;E164),""(а/в|ав|а в|ab)[ -]?тест""),""А/В-тесты"","&amp;"""""),IF(REGEXMATCH(LOWER(AL164&amp;"" | ""&amp;E164),""data science""),""Data science"",""""),IF(REGEXMATCH(LOWER(AL164&amp;"" | ""&amp;E164),""data[- ]?инжен""),""Data-инженер"",""""),IF(REGEXMATCH(LOWER(AL164&amp;"" | ""&amp;E164),""frontend""),""Frontend"",""""))))"),"Backend про")</f>
        <v>Backend про</v>
      </c>
    </row>
    <row r="165">
      <c r="A165" s="6" t="str">
        <f>IFERROR(__xludf.DUMMYFUNCTION("""COMPUTED_VALUE"""),"EXT-65")</f>
        <v>EXT-65</v>
      </c>
      <c r="B165" s="6" t="str">
        <f>IFERROR(__xludf.DUMMYFUNCTION("""COMPUTED_VALUE"""),"2026-08-23 20:33:54")</f>
        <v>2026-08-23 20:33:54</v>
      </c>
      <c r="C165" s="6" t="str">
        <f>IFERROR(__xludf.DUMMYFUNCTION("""COMPUTED_VALUE"""),"@matesha_shad")</f>
        <v>@matesha_shad</v>
      </c>
      <c r="D165" s="4" t="str">
        <f>IFERROR(__xludf.DUMMYFUNCTION("""COMPUTED_VALUE"""),"Промо со скидкой")</f>
        <v>Промо со скидкой</v>
      </c>
      <c r="E165" s="6" t="str">
        <f>IFERROR(__xludf.DUMMYFUNCTION("""COMPUTED_VALUE"""),"")</f>
        <v/>
      </c>
      <c r="F165" s="6" t="str">
        <f>IFERROR(__xludf.DUMMYFUNCTION("""COMPUTED_VALUE"""),"")</f>
        <v/>
      </c>
      <c r="G165" s="10" t="str">
        <f>IFERROR(__xludf.DUMMYFUNCTION("""COMPUTED_VALUE"""),"https://t.me/matesha_shad/381")</f>
        <v>https://t.me/matesha_shad/381</v>
      </c>
      <c r="H165" s="6" t="str">
        <f>IFERROR(__xludf.DUMMYFUNCTION("""COMPUTED_VALUE"""),"Зачем нужны продвинутые алгоритмы
Идут последние часы скидки на наши курсы ПРО. Самое время обсудить, зачем нужен наш курс алгоритмы про. 
➡️ Записаться
Олимпиады и магистратуры
Почти на любую школу/стажировку/магистратуру вы пишете контесты, уровень эт"&amp;"их контестов меняется каждый год, уже в последнем контесте яндекса на стажировку вы можете увидеть продвинутые оптимизации ДП и MITM. Во всякие ШАДы и так понятно, что контесты требуют высокой подготовки и большой насмотренности по алгоритмам. А также всё"&amp;" чаще встречаются ивенты/олимпиады для студентов (например yandex cup/турниры от fonbet/чемпионат от мтс) и старше по олимпиадному программированию, за которые можно получать денежные призы/бви в магистратуры/ фасттреки в сильнейшие бигтехи или хфт контор"&amp;"ы.
FAANG+
В зарубежные компании куда сложнее отбор, зачастую там отбор состоит из 3-4 собеседований, а пару алгоритмических тем не хватит чтобы пройти эти собеседования. Там значительно объемнее алгоритмический багаж, который требуется для решения задач,"&amp;" и даже умения решать хард задачи на литкоде не хватит на проход. Например наш выпускник Максим (отзыв на сайте) прошел все этапы собеседования в гугл и уже окончил intern swe стажировку с зарплатой 8000$ в месяц. На самом собеседовании он как-раз решал з"&amp;"адачу на битовый бор, который мы разбирали на первом уроке.
Computer Science
У многих компаний бигтеха есть свои лаборатории, в которые они направляют задачки, возникшие в процессе разработки в проде, которые не имеют решений в настоящее время. Например "&amp;"в т-банке есть лаборатория cs, где работает один из наших учеников Игорь. Что оптимизирует: курьеры получают на день некоторое количество заказов, а компания должна придумать сразу оптимальное разбиение всех заказов по курьерам и их маршруты так, чтобы ми"&amp;"нимальное количество топлива было затрачено на их сумму минимальных путей (почти что TSP задача). Лаборанты по большому счету работают там над теорией алгоритмов, придумывают эффективную идею и тестируют её на синтетических данных, а уже потом предложенну"&amp;"ю идею отправляют в прод. Здесь полноценный ресерч, вы должны не просто уметь хорошо решать задачи, но и должны знать большое количество алгоритмов и идей.
HFT
Даже в фонды среднячки нужна серьезная алгоритмическая подготовка, недавно мы узнали, что наш "&amp;"ученик Артем (смотрите на сайте), как раз устроился через пару месяцев после курса по алгосам в Fast Forward.  А ранее ему дали задачу на собеседовании в Spectral рейтинга 2000 на кфе, и эту секцию он легко прошел. В хфт есть несколько направлений SWE, QR"&amp;" и Trader. На каждое из этих направлений нужны очень сильные алгоритмы. Отчасти стэк технологий трейдера и задачи его покрывают qr и swe, поэтому рассмотрим потребность в алгоритмах от его лица. Всё сказанное про ML и Бэк верно и для него, но только требу"&amp;"ется еще более глубокое понимание всего. Например здесь же уже нужно понимать как реализованы внутри модели, какие структуры они используют, как их оптимизировать, а также и сами нюансы внутренние у реализаций библиотек. Здесь также и требуется иметь навы"&amp;"ки бэкендера, но тут уже нужно глубокое понимание языка (чаще всего плюсов) на уровне количества инструкций в той или иной среде для какой-либо операции, а также нужно отлично знать алгоритмы и уметь их применять (последнее вдвойне ценится). Тут уже зачас"&amp;"тую недостаточно придумать асимптотически наилучшее решение, нужно искать кучу неасимптотических оптимизаций для частных случаев данных.
Подписаться: @matesha_shad")</f>
        <v>Зачем нужны продвинутые алгоритмы
Идут последние часы скидки на наши курсы ПРО. Самое время обсудить, зачем нужен наш курс алгоритмы про. 
➡️ Записаться
Олимпиады и магистратуры
Почти на любую школу/стажировку/магистратуру вы пишете контесты, уровень этих контестов меняется каждый год, уже в последнем контесте яндекса на стажировку вы можете увидеть продвинутые оптимизации ДП и MITM. Во всякие ШАДы и так понятно, что контесты требуют высокой подготовки и большой насмотренности по алгоритмам. А также всё чаще встречаются ивенты/олимпиады для студентов (например yandex cup/турниры от fonbet/чемпионат от мтс) и старше по олимпиадному программированию, за которые можно получать денежные призы/бви в магистратуры/ фасттреки в сильнейшие бигтехи или хфт конторы.
FAANG+
В зарубежные компании куда сложнее отбор, зачастую там отбор состоит из 3-4 собеседований, а пару алгоритмических тем не хватит чтобы пройти эти собеседования. Там значительно объемнее алгоритмический багаж, который требуется для решения задач, и даже умения решать хард задачи на литкоде не хватит на проход. Например наш выпускник Максим (отзыв на сайте) прошел все этапы собеседования в гугл и уже окончил intern swe стажировку с зарплатой 8000$ в месяц. На самом собеседовании он как-раз решал задачу на битовый бор, который мы разбирали на первом уроке.
Computer Science
У многих компаний бигтеха есть свои лаборатории, в которые они направляют задачки, возникшие в процессе разработки в проде, которые не имеют решений в настоящее время. Например в т-банке есть лаборатория cs, где работает один из наших учеников Игорь. Что оптимизирует: курьеры получают на день некоторое количество заказов, а компания должна придумать сразу оптимальное разбиение всех заказов по курьерам и их маршруты так, чтобы минимальное количество топлива было затрачено на их сумму минимальных путей (почти что TSP задача). Лаборанты по большому счету работают там над теорией алгоритмов, придумывают эффективную идею и тестируют её на синтетических данных, а уже потом предложенную идею отправляют в прод. Здесь полноценный ресерч, вы должны не просто уметь хорошо решать задачи, но и должны знать большое количество алгоритмов и идей.
HFT
Даже в фонды среднячки нужна серьезная алгоритмическая подготовка, недавно мы узнали, что наш ученик Артем (смотрите на сайте), как раз устроился через пару месяцев после курса по алгосам в Fast Forward.  А ранее ему дали задачу на собеседовании в Spectral рейтинга 2000 на кфе, и эту секцию он легко прошел. В хфт есть несколько направлений SWE, QR и Trader. На каждое из этих направлений нужны очень сильные алгоритмы. Отчасти стэк технологий трейдера и задачи его покрывают qr и swe, поэтому рассмотрим потребность в алгоритмах от его лица. Всё сказанное про ML и Бэк верно и для него, но только требуется еще более глубокое понимание всего. Например здесь же уже нужно понимать как реализованы внутри модели, какие структуры они используют, как их оптимизировать, а также и сами нюансы внутренние у реализаций библиотек. Здесь также и требуется иметь навыки бэкендера, но тут уже нужно глубокое понимание языка (чаще всего плюсов) на уровне количества инструкций в той или иной среде для какой-либо операции, а также нужно отлично знать алгоритмы и уметь их применять (последнее вдвойне ценится). Тут уже зачастую недостаточно придумать асимптотически наилучшее решение, нужно искать кучу неасимптотических оптимизаций для частных случаев данных.
Подписаться: @matesha_shad</v>
      </c>
      <c r="I165" s="6" t="str">
        <f>IFERROR(__xludf.DUMMYFUNCTION("""COMPUTED_VALUE"""),"external")</f>
        <v>external</v>
      </c>
      <c r="J165" s="10" t="str">
        <f>IFERROR(__xludf.DUMMYFUNCTION("""COMPUTED_VALUE"""),"https://t.me/matesha_shad/381")</f>
        <v>https://t.me/matesha_shad/381</v>
      </c>
      <c r="K165" s="6">
        <f>IFERROR(__xludf.DUMMYFUNCTION("""COMPUTED_VALUE"""),2200.0)</f>
        <v>2200</v>
      </c>
      <c r="L165" s="6">
        <f>IFERROR(__xludf.DUMMYFUNCTION("""COMPUTED_VALUE"""),9.0)</f>
        <v>9</v>
      </c>
      <c r="M165" s="6"/>
      <c r="N165" s="6" t="str">
        <f>IFERROR(__xludf.DUMMYFUNCTION("""COMPUTED_VALUE"""),"Telegram")</f>
        <v>Telegram</v>
      </c>
      <c r="O165" s="6" t="str">
        <f>IFERROR(__xludf.DUMMYFUNCTION("""COMPUTED_VALUE"""),"raw")</f>
        <v>raw</v>
      </c>
      <c r="P165" s="6" t="str">
        <f>IFERROR(__xludf.DUMMYFUNCTION("""COMPUTED_VALUE"""),"Codex")</f>
        <v>Codex</v>
      </c>
      <c r="Q165" s="6" t="str">
        <f>IFERROR(__xludf.DUMMYFUNCTION("""COMPUTED_VALUE"""),"Общий контакт @vice22821; признак связи с проектом")</f>
        <v>Общий контакт @vice22821; признак связи с проектом</v>
      </c>
      <c r="R165" s="6" t="str">
        <f>IFERROR(__xludf.DUMMYFUNCTION("""COMPUTED_VALUE"""),"unknown")</f>
        <v>unknown</v>
      </c>
      <c r="S165" s="6" t="str">
        <f>IFERROR(__xludf.DUMMYFUNCTION("""COMPUTED_VALUE"""),"unknown")</f>
        <v>unknown</v>
      </c>
      <c r="T165" s="6" t="str">
        <f>IFERROR(__xludf.DUMMYFUNCTION("""COMPUTED_VALUE"""),"telegram_external")</f>
        <v>telegram_external</v>
      </c>
      <c r="U165" s="6" t="str">
        <f>IFERROR(__xludf.DUMMYFUNCTION("""COMPUTED_VALUE"""),"Промо со скидкой")</f>
        <v>Промо со скидкой</v>
      </c>
      <c r="V165" s="6" t="str">
        <f>IFERROR(__xludf.DUMMYFUNCTION("""COMPUTED_VALUE"""),"")</f>
        <v/>
      </c>
      <c r="W165" s="6" t="str">
        <f>IFERROR(__xludf.DUMMYFUNCTION("""COMPUTED_VALUE"""),"")</f>
        <v/>
      </c>
      <c r="X165" s="6"/>
      <c r="Y165" s="6" t="str">
        <f>IFERROR(__xludf.DUMMYFUNCTION("""COMPUTED_VALUE"""),"https://t.me/postypashki_old/1859
https://old.postypashki.ru/%D0%BA%D0%B0%D1%80%D1%8C%D0%B5%D1%80%D0%BD%D1%8B%D0%B5-%D0%BA%D1%83%D1%80%D1%81%D1%8B/%D0%B0%D0%BB%D0%B3%D0%BE%D1%80%D0%B8%D1%82%D0%BC%D1%8B-%D1%85%D0%B0%D1%80%D0%B4/
https://t.me/m/p94YcePXNjcy")</f>
        <v>https://t.me/postypashki_old/1859
https://old.postypashki.ru/%D0%BA%D0%B0%D1%80%D1%8C%D0%B5%D1%80%D0%BD%D1%8B%D0%B5-%D0%BA%D1%83%D1%80%D1%81%D1%8B/%D0%B0%D0%BB%D0%B3%D0%BE%D1%80%D0%B8%D1%82%D0%BC%D1%8B-%D1%85%D0%B0%D1%80%D0%B4/
https://t.me/m/p94YcePXNjcy</v>
      </c>
      <c r="Z165" s="6" t="b">
        <f>IFERROR(__xludf.DUMMYFUNCTION("""COMPUTED_VALUE"""),TRUE)</f>
        <v>1</v>
      </c>
      <c r="AA165" s="6" t="str">
        <f>IFERROR(__xludf.DUMMYFUNCTION("""COMPUTED_VALUE"""),"")</f>
        <v/>
      </c>
      <c r="AB165" s="6" t="str">
        <f>IFERROR(__xludf.DUMMYFUNCTION("""COMPUTED_VALUE"""),"")</f>
        <v/>
      </c>
      <c r="AC165" s="6" t="str">
        <f>IFERROR(__xludf.DUMMYFUNCTION("""COMPUTED_VALUE"""),"")</f>
        <v/>
      </c>
      <c r="AD165" s="6" t="str">
        <f>IFERROR(__xludf.DUMMYFUNCTION("""COMPUTED_VALUE"""),"")</f>
        <v/>
      </c>
      <c r="AE165" s="6" t="str">
        <f>IFERROR(__xludf.DUMMYFUNCTION("""COMPUTED_VALUE"""),"")</f>
        <v/>
      </c>
      <c r="AF165" s="6" t="str">
        <f>IFERROR(__xludf.DUMMYFUNCTION("""COMPUTED_VALUE"""),"Не подтверждено")</f>
        <v>Не подтверждено</v>
      </c>
      <c r="AG165" s="6" t="str">
        <f>IFERROR(__xludf.DUMMYFUNCTION("""COMPUTED_VALUE"""),"")</f>
        <v/>
      </c>
      <c r="AH165" s="6" t="str">
        <f>IFERROR(__xludf.DUMMYFUNCTION("""COMPUTED_VALUE"""),"2026-09-11T11:47:48.120400+00:00")</f>
        <v>2026-09-11T11:47:48.120400+00:00</v>
      </c>
      <c r="AI165" s="6" t="str">
        <f>IFERROR(__xludf.DUMMYFUNCTION("""COMPUTED_VALUE"""),"raw/matesha_shad/page_000.html")</f>
        <v>raw/matesha_shad/page_000.html</v>
      </c>
      <c r="AJ165" s="9" t="s">
        <v>224</v>
      </c>
      <c r="AK165" s="9" t="s">
        <v>242</v>
      </c>
      <c r="AL165" s="9" t="s">
        <v>254</v>
      </c>
      <c r="AM165" s="9" t="s">
        <v>235</v>
      </c>
      <c r="AN165" s="4" t="str">
        <f>IFERROR(__xludf.DUMMYFUNCTION("IF(OR(AJ165=""general_brand"",AJ165=""external"",AJ165=""unknown""),"""",IF(AJ165=""product_line"",IF(AK165=""START"",""Аналитика старт | Алгоритмы старт | Backend старт | ML старт"",IF(AK165=""PRO"",""AI-агенты про | Алгоритмы про | Аналитика про | ML пр"&amp;"о | Backend про"",IF(AK165=""START | PRO"",""Аналитика старт | Алгоритмы старт | Backend старт | ML старт | AI-агенты про | Алгоритмы про | Аналитика про | ML про | Backend про"",""""))),TEXTJOIN("" | "",TRUE,IF(REGEXMATCH(LOWER(AL165&amp;"" | ""&amp;E165),""анал"&amp;"итика старт""),""Аналитика старт"",""""),IF(REGEXMATCH(LOWER(AL165&amp;"" | ""&amp;E165),""алгоритмы старт""),""Алгоритмы старт"",""""),IF(REGEXMATCH(LOWER(AL165&amp;"" | ""&amp;E165),""backend старт""),""Backend старт"",""""),IF(REGEXMATCH(LOWER(AL165&amp;"" | ""&amp;E165),""ml"&amp;" старт""),""ML старт"",""""),IF(REGEXMATCH(LOWER(AL165&amp;"" | ""&amp;E165),""ai[ -]?агент""),""AI-агенты про"",""""),IF(REGEXMATCH(LOWER(AL165&amp;"" | ""&amp;E165),""алгоритмы про""),""Алгоритмы про"",""""),IF(REGEXMATCH(LOWER(AL165&amp;"" | ""&amp;E165),""аналитика про""),"""&amp;"Аналитика про"",""""),IF(REGEXMATCH(LOWER(AL165&amp;"" | ""&amp;E165),""ml про""),""ML про"",""""),IF(REGEXMATCH(LOWER(AL165&amp;"" | ""&amp;E165),""backend про""),""Backend про"",""""),IF(REGEXMATCH(LOWER(AL165&amp;"" | ""&amp;E165),""(а/в|ав|а в|ab)[ -]?тест""),""А/В-тесты"","&amp;"""""),IF(REGEXMATCH(LOWER(AL165&amp;"" | ""&amp;E165),""data science""),""Data science"",""""),IF(REGEXMATCH(LOWER(AL165&amp;"" | ""&amp;E165),""data[- ]?инжен""),""Data-инженер"",""""),IF(REGEXMATCH(LOWER(AL165&amp;"" | ""&amp;E165),""frontend""),""Frontend"",""""))))"),"Алгоритмы про")</f>
        <v>Алгоритмы про</v>
      </c>
    </row>
    <row r="166">
      <c r="A166" s="6" t="str">
        <f>IFERROR(__xludf.DUMMYFUNCTION("""COMPUTED_VALUE"""),"EXT-66")</f>
        <v>EXT-66</v>
      </c>
      <c r="B166" s="6" t="str">
        <f>IFERROR(__xludf.DUMMYFUNCTION("""COMPUTED_VALUE"""),"2026-08-23 12:41:53")</f>
        <v>2026-08-23 12:41:53</v>
      </c>
      <c r="C166" s="6" t="str">
        <f>IFERROR(__xludf.DUMMYFUNCTION("""COMPUTED_VALUE"""),"@zadachi_ds")</f>
        <v>@zadachi_ds</v>
      </c>
      <c r="D166" s="4" t="str">
        <f>IFERROR(__xludf.DUMMYFUNCTION("""COMPUTED_VALUE"""),"Прочий контент")</f>
        <v>Прочий контент</v>
      </c>
      <c r="E166" s="6" t="str">
        <f>IFERROR(__xludf.DUMMYFUNCTION("""COMPUTED_VALUE"""),"")</f>
        <v/>
      </c>
      <c r="F166" s="6" t="str">
        <f>IFERROR(__xludf.DUMMYFUNCTION("""COMPUTED_VALUE"""),"")</f>
        <v/>
      </c>
      <c r="G166" s="10" t="str">
        <f>IFERROR(__xludf.DUMMYFUNCTION("""COMPUTED_VALUE"""),"https://t.me/zadachi_ds/405")</f>
        <v>https://t.me/zadachi_ds/405</v>
      </c>
      <c r="H166" s="6" t="str">
        <f>IFERROR(__xludf.DUMMYFUNCTION("""COMPUTED_VALUE"""),"Кейс Авито: как ML модернирует видео, чтобы не пропустить мошенников и 18+
Нашему выпускнику на собеседовании с командой предложили интересный кейс. Что общего у объявления о диване и схемы злоумышленников? Ответ: видео.
Каждый день на Авито загружают т"&amp;"ысячи роликов. Раньше их проверяли руками, но с ростом платформы - это стало нереально: 100 000 видео в сутки, 2 минуты на каждое = 3 000+ человеко-часов ежедневно.  
Задача: автоматизировать модерацию, не потеряв в качестве и не разорив бизнес.  
Бизне"&amp;"с-метрики
В приоритете OPEX (расходы), CAC (привлечение клиентов) и качество сервиса.  
Но этого мало, нужны конкретные показатели работы модели:
• Автобан = отменённые апелляции после автобана / все апелляции после автобана. Показывает, насколько модель"&amp;" права, когда банит сама.
• Ручная модерация = подтверждённые нарушения / весь контент на ручной проверке. Показывает эффективность работы модераторов.
• Пропуск = хорошие видео в случайном сэмпле / размер сэмпла. Показывает сколько нарушений модель пропу"&amp;"стила (главная метрика безопасности).
• Модерация = контент, не отправленный на ручную проверку / весь контент. Балансирует, чтобы не перегружать людей и не пропускать опасное.
Постановка ML-задачи
Нам нужно бинарно классифицировать видео: 0 - ок, 1 - на"&amp;"рушение.  
Но на деле задача распадается на две независимые:
1. Распознавание текста (личные данные, ссылки, нецензурная лексика)  
2. Распознавание объектов (оружие, наркотики, 18+ и т.д.)
Распознавание текста: OCR + NLP
Видео разбивается на кадры. Кажд"&amp;"ый кадр проходит через OCR - детектируем и распознаём текст.  
Затем:
- удаляем дубликаты (чтобы не учитывать одно и то же на разных кадрах),
- парсим признаки: has_phone, has_passport, has_url, has_mats и др.,
- отправляем текст в NLP-классификатор - пол"&amp;"учаем вероятности prob_spam, prob_fraud и т.п.
На выходе вектор признаков для каждого видео.  
Дальше либо решаем по порогу, либо подаём в обученную модель.
Схема:  
Видео → кадры → OCR → NLP → вектор → результат
Распознавание объектов: CLIP + промпты
З"&amp;"десь сложнее, но красивее.
- Создаём список текстовых промптов: ""пистолет"", ""нож"", ""наркотики"" и т.д.
- Прогоняем кадры через кодер CLIP → получаем визуальные эмбеддинги.
- Прогоняем каждый промпт через текстовый кодер CLIP → текстовые эмбеддинги.
-"&amp;" Считаем косинусное расстояние между визуальным и текстовыми векторами.
Важно: классы не взаимоисключающие, в видео может быть и пистолет, и нож одновременно. Поэтому вместо Softmax применяем пороговое сравнение (или сигмоиду) для каждого промпта отдельн"&amp;"о.
Схема:  
Видео → кадры → CLIP (эмбеддинги) → вычисление схожести → пороги / модель → результат
(Аудио пока оставим за скобками — отдельная большая тема.)
Офлайн-метрики
• Precision: качество автобана (меньше ложных срабатываний)  
• Recall: сколько н"&amp;"арушений нашли (меньше пропусков)  
• F1: гармоническое среднее  
• PR-AUC: особенно полезна при сильном дисбалансе классов (нарушений мало)
Данные
•  X - признаки из кадров (текстовые и визуальные).
•  Y - бинарная метка (1 - нарушение).
Обучаемся на и"&amp;"сторических данных ручной модерации.  
Чтобы снизить нагрузку, кадры сэмплируем (не все подряд).  
При дисбалансе классов используем Focal Loss, он фокусируется на сложных примерах.
Эксплуатация модели
Мониторинг трёх уровней:
- Системный: CPU / RAM / GP"&amp;"U, задержки.
- Качество модели: Data Drift, падение метрик.
- Бизнес-метрики: если резко упали, ищем проблему в данных или инфраструктуре.
Стратегия при Data Drift:
- небольшой → корректируем пороги  
- средний → дообучаем модель на новых данных  
- силь"&amp;"ный → пересобираем пайплайн с нуля
Деплой и версионирование
Используем Canary Deployment:
- новая модель получает 5% трафика,
- старая 95%,
- если метрики стабильны, постепенно увеличиваем долю до 100%,
- при ухудшении откатываемся.
Перед релизом обязате"&amp;"льные Unit-, Integration- и Validation-тесты.
Обсудить задачу/спросить совета можно в нашем чате. 
Подписаться: @zadachi_ds")</f>
        <v>Кейс Авито: как ML модернирует видео, чтобы не пропустить мошенников и 18+
Нашему выпускнику на собеседовании с командой предложили интересный кейс. Что общего у объявления о диване и схемы злоумышленников? Ответ: видео.
Каждый день на Авито загружают тысячи роликов. Раньше их проверяли руками, но с ростом платформы - это стало нереально: 100 000 видео в сутки, 2 минуты на каждое = 3 000+ человеко-часов ежедневно.  
Задача: автоматизировать модерацию, не потеряв в качестве и не разорив бизнес.  
Бизнес-метрики
В приоритете OPEX (расходы), CAC (привлечение клиентов) и качество сервиса.  
Но этого мало, нужны конкретные показатели работы модели:
• Автобан = отменённые апелляции после автобана / все апелляции после автобана. Показывает, насколько модель права, когда банит сама.
• Ручная модерация = подтверждённые нарушения / весь контент на ручной проверке. Показывает эффективность работы модераторов.
• Пропуск = хорошие видео в случайном сэмпле / размер сэмпла. Показывает сколько нарушений модель пропустила (главная метрика безопасности).
• Модерация = контент, не отправленный на ручную проверку / весь контент. Балансирует, чтобы не перегружать людей и не пропускать опасное.
Постановка ML-задачи
Нам нужно бинарно классифицировать видео: 0 - ок, 1 - нарушение.  
Но на деле задача распадается на две независимые:
1. Распознавание текста (личные данные, ссылки, нецензурная лексика)  
2. Распознавание объектов (оружие, наркотики, 18+ и т.д.)
Распознавание текста: OCR + NLP
Видео разбивается на кадры. Каждый кадр проходит через OCR - детектируем и распознаём текст.  
Затем:
- удаляем дубликаты (чтобы не учитывать одно и то же на разных кадрах),
- парсим признаки: has_phone, has_passport, has_url, has_mats и др.,
- отправляем текст в NLP-классификатор - получаем вероятности prob_spam, prob_fraud и т.п.
На выходе вектор признаков для каждого видео.  
Дальше либо решаем по порогу, либо подаём в обученную модель.
Схема:  
Видео → кадры → OCR → NLP → вектор → результат
Распознавание объектов: CLIP + промпты
Здесь сложнее, но красивее.
- Создаём список текстовых промптов: "пистолет", "нож", "наркотики" и т.д.
- Прогоняем кадры через кодер CLIP → получаем визуальные эмбеддинги.
- Прогоняем каждый промпт через текстовый кодер CLIP → текстовые эмбеддинги.
- Считаем косинусное расстояние между визуальным и текстовыми векторами.
Важно: классы не взаимоисключающие, в видео может быть и пистолет, и нож одновременно. Поэтому вместо Softmax применяем пороговое сравнение (или сигмоиду) для каждого промпта отдельно.
Схема:  
Видео → кадры → CLIP (эмбеддинги) → вычисление схожести → пороги / модель → результат
(Аудио пока оставим за скобками — отдельная большая тема.)
Офлайн-метрики
• Precision: качество автобана (меньше ложных срабатываний)  
• Recall: сколько нарушений нашли (меньше пропусков)  
• F1: гармоническое среднее  
• PR-AUC: особенно полезна при сильном дисбалансе классов (нарушений мало)
Данные
•  X - признаки из кадров (текстовые и визуальные).
•  Y - бинарная метка (1 - нарушение).
Обучаемся на исторических данных ручной модерации.  
Чтобы снизить нагрузку, кадры сэмплируем (не все подряд).  
При дисбалансе классов используем Focal Loss, он фокусируется на сложных примерах.
Эксплуатация модели
Мониторинг трёх уровней:
- Системный: CPU / RAM / GPU, задержки.
- Качество модели: Data Drift, падение метрик.
- Бизнес-метрики: если резко упали, ищем проблему в данных или инфраструктуре.
Стратегия при Data Drift:
- небольшой → корректируем пороги  
- средний → дообучаем модель на новых данных  
- сильный → пересобираем пайплайн с нуля
Деплой и версионирование
Используем Canary Deployment:
- новая модель получает 5% трафика,
- старая 95%,
- если метрики стабильны, постепенно увеличиваем долю до 100%,
- при ухудшении откатываемся.
Перед релизом обязательные Unit-, Integration- и Validation-тесты.
Обсудить задачу/спросить совета можно в нашем чате. 
Подписаться: @zadachi_ds</v>
      </c>
      <c r="I166" s="6" t="str">
        <f>IFERROR(__xludf.DUMMYFUNCTION("""COMPUTED_VALUE"""),"external")</f>
        <v>external</v>
      </c>
      <c r="J166" s="10" t="str">
        <f>IFERROR(__xludf.DUMMYFUNCTION("""COMPUTED_VALUE"""),"https://t.me/zadachi_ds/405")</f>
        <v>https://t.me/zadachi_ds/405</v>
      </c>
      <c r="K166" s="6">
        <f>IFERROR(__xludf.DUMMYFUNCTION("""COMPUTED_VALUE"""),2380.0)</f>
        <v>2380</v>
      </c>
      <c r="L166" s="6">
        <f>IFERROR(__xludf.DUMMYFUNCTION("""COMPUTED_VALUE"""),7.0)</f>
        <v>7</v>
      </c>
      <c r="M166" s="6"/>
      <c r="N166" s="6" t="str">
        <f>IFERROR(__xludf.DUMMYFUNCTION("""COMPUTED_VALUE"""),"Telegram")</f>
        <v>Telegram</v>
      </c>
      <c r="O166" s="6" t="str">
        <f>IFERROR(__xludf.DUMMYFUNCTION("""COMPUTED_VALUE"""),"raw")</f>
        <v>raw</v>
      </c>
      <c r="P166" s="6" t="str">
        <f>IFERROR(__xludf.DUMMYFUNCTION("""COMPUTED_VALUE"""),"Codex")</f>
        <v>Codex</v>
      </c>
      <c r="Q166" s="6" t="str">
        <f>IFERROR(__xludf.DUMMYFUNCTION("""COMPUTED_VALUE"""),"Общий контакт @vice22821; признак связи с проектом")</f>
        <v>Общий контакт @vice22821; признак связи с проектом</v>
      </c>
      <c r="R166" s="6" t="str">
        <f>IFERROR(__xludf.DUMMYFUNCTION("""COMPUTED_VALUE"""),"unknown")</f>
        <v>unknown</v>
      </c>
      <c r="S166" s="6" t="str">
        <f>IFERROR(__xludf.DUMMYFUNCTION("""COMPUTED_VALUE"""),"unknown")</f>
        <v>unknown</v>
      </c>
      <c r="T166" s="6" t="str">
        <f>IFERROR(__xludf.DUMMYFUNCTION("""COMPUTED_VALUE"""),"telegram_external")</f>
        <v>telegram_external</v>
      </c>
      <c r="U166" s="6" t="str">
        <f>IFERROR(__xludf.DUMMYFUNCTION("""COMPUTED_VALUE"""),"Прочий контент")</f>
        <v>Прочий контент</v>
      </c>
      <c r="V166" s="6" t="str">
        <f>IFERROR(__xludf.DUMMYFUNCTION("""COMPUTED_VALUE"""),"")</f>
        <v/>
      </c>
      <c r="W166" s="6" t="str">
        <f>IFERROR(__xludf.DUMMYFUNCTION("""COMPUTED_VALUE"""),"")</f>
        <v/>
      </c>
      <c r="X166" s="6"/>
      <c r="Y166" s="10" t="str">
        <f>IFERROR(__xludf.DUMMYFUNCTION("""COMPUTED_VALUE"""),"https://t.me/postypashki_old/1859")</f>
        <v>https://t.me/postypashki_old/1859</v>
      </c>
      <c r="Z166" s="6" t="b">
        <f>IFERROR(__xludf.DUMMYFUNCTION("""COMPUTED_VALUE"""),FALSE)</f>
        <v>0</v>
      </c>
      <c r="AA166" s="6" t="str">
        <f>IFERROR(__xludf.DUMMYFUNCTION("""COMPUTED_VALUE"""),"")</f>
        <v/>
      </c>
      <c r="AB166" s="6" t="str">
        <f>IFERROR(__xludf.DUMMYFUNCTION("""COMPUTED_VALUE"""),"")</f>
        <v/>
      </c>
      <c r="AC166" s="6" t="str">
        <f>IFERROR(__xludf.DUMMYFUNCTION("""COMPUTED_VALUE"""),"")</f>
        <v/>
      </c>
      <c r="AD166" s="6" t="str">
        <f>IFERROR(__xludf.DUMMYFUNCTION("""COMPUTED_VALUE"""),"")</f>
        <v/>
      </c>
      <c r="AE166" s="6" t="str">
        <f>IFERROR(__xludf.DUMMYFUNCTION("""COMPUTED_VALUE"""),"")</f>
        <v/>
      </c>
      <c r="AF166" s="6" t="str">
        <f>IFERROR(__xludf.DUMMYFUNCTION("""COMPUTED_VALUE"""),"Не подтверждено")</f>
        <v>Не подтверждено</v>
      </c>
      <c r="AG166" s="6" t="str">
        <f>IFERROR(__xludf.DUMMYFUNCTION("""COMPUTED_VALUE"""),"")</f>
        <v/>
      </c>
      <c r="AH166" s="6" t="str">
        <f>IFERROR(__xludf.DUMMYFUNCTION("""COMPUTED_VALUE"""),"2026-09-11T11:47:39.365425+00:00")</f>
        <v>2026-09-11T11:47:39.365425+00:00</v>
      </c>
      <c r="AI166" s="6" t="str">
        <f>IFERROR(__xludf.DUMMYFUNCTION("""COMPUTED_VALUE"""),"raw/zadachi_ds/page_000.html")</f>
        <v>raw/zadachi_ds/page_000.html</v>
      </c>
      <c r="AJ166" s="9" t="s">
        <v>208</v>
      </c>
      <c r="AM166" s="9" t="s">
        <v>226</v>
      </c>
      <c r="AN166" s="6" t="str">
        <f>IFERROR(__xludf.DUMMYFUNCTION("IF(OR(AJ166=""general_brand"",AJ166=""external"",AJ166=""unknown""),"""",IF(AJ166=""product_line"",IF(AK166=""START"",""Аналитика старт | Алгоритмы старт | Backend старт | ML старт"",IF(AK166=""PRO"",""AI-агенты про | Алгоритмы про | Аналитика про | ML пр"&amp;"о | Backend про"",IF(AK166=""START | PRO"",""Аналитика старт | Алгоритмы старт | Backend старт | ML старт | AI-агенты про | Алгоритмы про | Аналитика про | ML про | Backend про"",""""))),TEXTJOIN("" | "",TRUE,IF(REGEXMATCH(LOWER(AL166&amp;"" | ""&amp;E166),""анал"&amp;"итика старт""),""Аналитика старт"",""""),IF(REGEXMATCH(LOWER(AL166&amp;"" | ""&amp;E166),""алгоритмы старт""),""Алгоритмы старт"",""""),IF(REGEXMATCH(LOWER(AL166&amp;"" | ""&amp;E166),""backend старт""),""Backend старт"",""""),IF(REGEXMATCH(LOWER(AL166&amp;"" | ""&amp;E166),""ml"&amp;" старт""),""ML старт"",""""),IF(REGEXMATCH(LOWER(AL166&amp;"" | ""&amp;E166),""ai[ -]?агент""),""AI-агенты про"",""""),IF(REGEXMATCH(LOWER(AL166&amp;"" | ""&amp;E166),""алгоритмы про""),""Алгоритмы про"",""""),IF(REGEXMATCH(LOWER(AL166&amp;"" | ""&amp;E166),""аналитика про""),"""&amp;"Аналитика про"",""""),IF(REGEXMATCH(LOWER(AL166&amp;"" | ""&amp;E166),""ml про""),""ML про"",""""),IF(REGEXMATCH(LOWER(AL166&amp;"" | ""&amp;E166),""backend про""),""Backend про"",""""),IF(REGEXMATCH(LOWER(AL166&amp;"" | ""&amp;E166),""(а/в|ав|а в|ab)[ -]?тест""),""А/В-тесты"","&amp;"""""),IF(REGEXMATCH(LOWER(AL166&amp;"" | ""&amp;E166),""data science""),""Data science"",""""),IF(REGEXMATCH(LOWER(AL166&amp;"" | ""&amp;E166),""data[- ]?инжен""),""Data-инженер"",""""),IF(REGEXMATCH(LOWER(AL166&amp;"" | ""&amp;E166),""frontend""),""Frontend"",""""))))"),"")</f>
        <v/>
      </c>
    </row>
    <row r="167">
      <c r="A167" s="6" t="str">
        <f>IFERROR(__xludf.DUMMYFUNCTION("""COMPUTED_VALUE"""),"EXT-67")</f>
        <v>EXT-67</v>
      </c>
      <c r="B167" s="6" t="str">
        <f>IFERROR(__xludf.DUMMYFUNCTION("""COMPUTED_VALUE"""),"2026-08-23 14:43:59")</f>
        <v>2026-08-23 14:43:59</v>
      </c>
      <c r="C167" s="6" t="str">
        <f>IFERROR(__xludf.DUMMYFUNCTION("""COMPUTED_VALUE"""),"@zadachi_ds")</f>
        <v>@zadachi_ds</v>
      </c>
      <c r="D167" s="4" t="str">
        <f>IFERROR(__xludf.DUMMYFUNCTION("""COMPUTED_VALUE"""),"Контент с предложением курсов")</f>
        <v>Контент с предложением курсов</v>
      </c>
      <c r="E167" s="6" t="str">
        <f>IFERROR(__xludf.DUMMYFUNCTION("""COMPUTED_VALUE"""),"")</f>
        <v/>
      </c>
      <c r="F167" s="6" t="str">
        <f>IFERROR(__xludf.DUMMYFUNCTION("""COMPUTED_VALUE"""),"")</f>
        <v/>
      </c>
      <c r="G167" s="10" t="str">
        <f>IFERROR(__xludf.DUMMYFUNCTION("""COMPUTED_VALUE"""),"https://t.me/zadachi_ds/406")</f>
        <v>https://t.me/zadachi_ds/406</v>
      </c>
      <c r="H167" s="6" t="str">
        <f>IFERROR(__xludf.DUMMYFUNCTION("""COMPUTED_VALUE"""),"AI-агенты: анализ рынка
На HHRU по запросу ""LLM агенты"" выдает более шестисот вакансий. Ещё год назад агентами занимались исследовательские команды Сбера и Яндекса, и на этом список заканчивался. Теперь агента хотят все: строительный стартап, медиахолд"&amp;"инг, доставка еды и так далее. 
И зовут на эти вакансии не каких-то жестких ресерч инженеров, а обычных вкатунов. 
Вот вакансия, которая называется Junior AI/ML-инженер, компания ELEMENT, 100-120 тысяч. Внутри: LLM-агенты, tool use, RAG, построение evals"&amp;". И примечательная строчка: опыт с API годится ""хотя бы на уровне пет-проектов"". То есть по сути: принеси работающего агента, и мы поговорим. 
Аксис зовёт инженера с опытом от года на вилку 150-300: оркестрация агентов, tool calling, RAG с указанием ис"&amp;"точников. У Медийных Технологий открыта позиция, где человек занят исключительно оценкой качества LLM. Тема, которой в типичном курсе отводят полчаса, успела вырасти в отдельную профессию. 
Виден и потолок: старший разработчик агентов для Алисы, вилка 25"&amp;"3-508. Туда не устраиваются с улицы, туда дорастают. Но весь вопрос в первой ступеньке. 
Загвоздка в том, что привычные пет-проекты ступенькой быть перестали. Чат по PDF, собранный за вечер по туториалу, никого не впечатляет: такой же лежит в каждом втор"&amp;"ом резюме. На собеседовании вас будут спрашивать о другом. Как агент решает, какой инструмент вызвать? Что происходит, когда он зацикливается? Чем вы докажете, что новая версия промпта лучше старой? Это вопросы об инженерии, которая начинается там, где за"&amp;"канчивается туториал. И вот её как раз почти нигде не учат.
Ровно под этот разрыв мы собрали новый курс по AI-агентам:
Устроен он так. Первым делом пишем ReAct-агента с нуля, на чистом Python, без фреймворков: цикл ""рассуждение, действие, наблюдение"" н"&amp;"ужно один раз собрать руками, иначе он навсегда останется магией. Затем добавляем готовые фреймворки: инструменты, RAG над собственным корпусом, долговременная память. Переносим агента на LangGraph и smolagents и на живом сравнении видим, что фреймворк эк"&amp;"ономит, а что прячет. Дальше мульти-агентная система с критиком, MCP, браузерный агент, prompt injection и защита от него. А в финале то, ради чего всё затевалось: свой датасет, eval-пайплайн с LLM-судьёй, трейсинг, деплой. Тот самый список из вакансий вы"&amp;"ше, пункт за пунктом.
Кому курс подойдет:
- джунам и стажёрам, уставшим конкурировать с сотней одинаковых резюме за классические ML-позиции;
- действующим DS-ам, которым выдали задачу ""прикрутите нам LLM"" без инструкции;
- бэкендерам, которые хотят вой"&amp;"ти в AI через инженерию, а не через полгода матстата;
- тем, кто метит в middle: спрос на агентный стек сейчас заметно обгоняет предложение
➡️ Записаться")</f>
        <v>AI-агенты: анализ рынка
На HHRU по запросу "LLM агенты" выдает более шестисот вакансий. Ещё год назад агентами занимались исследовательские команды Сбера и Яндекса, и на этом список заканчивался. Теперь агента хотят все: строительный стартап, медиахолдинг, доставка еды и так далее. 
И зовут на эти вакансии не каких-то жестких ресерч инженеров, а обычных вкатунов. 
Вот вакансия, которая называется Junior AI/ML-инженер, компания ELEMENT, 100-120 тысяч. Внутри: LLM-агенты, tool use, RAG, построение evals. И примечательная строчка: опыт с API годится "хотя бы на уровне пет-проектов". То есть по сути: принеси работающего агента, и мы поговорим. 
Аксис зовёт инженера с опытом от года на вилку 150-300: оркестрация агентов, tool calling, RAG с указанием источников. У Медийных Технологий открыта позиция, где человек занят исключительно оценкой качества LLM. Тема, которой в типичном курсе отводят полчаса, успела вырасти в отдельную профессию. 
Виден и потолок: старший разработчик агентов для Алисы, вилка 253-508. Туда не устраиваются с улицы, туда дорастают. Но весь вопрос в первой ступеньке. 
Загвоздка в том, что привычные пет-проекты ступенькой быть перестали. Чат по PDF, собранный за вечер по туториалу, никого не впечатляет: такой же лежит в каждом втором резюме. На собеседовании вас будут спрашивать о другом. Как агент решает, какой инструмент вызвать? Что происходит, когда он зацикливается? Чем вы докажете, что новая версия промпта лучше старой? Это вопросы об инженерии, которая начинается там, где заканчивается туториал. И вот её как раз почти нигде не учат.
Ровно под этот разрыв мы собрали новый курс по AI-агентам:
Устроен он так. Первым делом пишем ReAct-агента с нуля, на чистом Python, без фреймворков: цикл "рассуждение, действие, наблюдение" нужно один раз собрать руками, иначе он навсегда останется магией. Затем добавляем готовые фреймворки: инструменты, RAG над собственным корпусом, долговременная память. Переносим агента на LangGraph и smolagents и на живом сравнении видим, что фреймворк экономит, а что прячет. Дальше мульти-агентная система с критиком, MCP, браузерный агент, prompt injection и защита от него. А в финале то, ради чего всё затевалось: свой датасет, eval-пайплайн с LLM-судьёй, трейсинг, деплой. Тот самый список из вакансий выше, пункт за пунктом.
Кому курс подойдет:
- джунам и стажёрам, уставшим конкурировать с сотней одинаковых резюме за классические ML-позиции;
- действующим DS-ам, которым выдали задачу "прикрутите нам LLM" без инструкции;
- бэкендерам, которые хотят войти в AI через инженерию, а не через полгода матстата;
- тем, кто метит в middle: спрос на агентный стек сейчас заметно обгоняет предложение
➡️ Записаться</v>
      </c>
      <c r="I167" s="6" t="str">
        <f>IFERROR(__xludf.DUMMYFUNCTION("""COMPUTED_VALUE"""),"external")</f>
        <v>external</v>
      </c>
      <c r="J167" s="10" t="str">
        <f>IFERROR(__xludf.DUMMYFUNCTION("""COMPUTED_VALUE"""),"https://t.me/zadachi_ds/406")</f>
        <v>https://t.me/zadachi_ds/406</v>
      </c>
      <c r="K167" s="6">
        <f>IFERROR(__xludf.DUMMYFUNCTION("""COMPUTED_VALUE"""),7030.0)</f>
        <v>7030</v>
      </c>
      <c r="L167" s="6">
        <f>IFERROR(__xludf.DUMMYFUNCTION("""COMPUTED_VALUE"""),8.0)</f>
        <v>8</v>
      </c>
      <c r="M167" s="6"/>
      <c r="N167" s="6" t="str">
        <f>IFERROR(__xludf.DUMMYFUNCTION("""COMPUTED_VALUE"""),"Telegram")</f>
        <v>Telegram</v>
      </c>
      <c r="O167" s="6" t="str">
        <f>IFERROR(__xludf.DUMMYFUNCTION("""COMPUTED_VALUE"""),"raw")</f>
        <v>raw</v>
      </c>
      <c r="P167" s="6" t="str">
        <f>IFERROR(__xludf.DUMMYFUNCTION("""COMPUTED_VALUE"""),"Codex")</f>
        <v>Codex</v>
      </c>
      <c r="Q167" s="6" t="str">
        <f>IFERROR(__xludf.DUMMYFUNCTION("""COMPUTED_VALUE"""),"Общий контакт @vice22821; признак связи с проектом")</f>
        <v>Общий контакт @vice22821; признак связи с проектом</v>
      </c>
      <c r="R167" s="6" t="str">
        <f>IFERROR(__xludf.DUMMYFUNCTION("""COMPUTED_VALUE"""),"unknown")</f>
        <v>unknown</v>
      </c>
      <c r="S167" s="6" t="str">
        <f>IFERROR(__xludf.DUMMYFUNCTION("""COMPUTED_VALUE"""),"unknown")</f>
        <v>unknown</v>
      </c>
      <c r="T167" s="6" t="str">
        <f>IFERROR(__xludf.DUMMYFUNCTION("""COMPUTED_VALUE"""),"telegram_external")</f>
        <v>telegram_external</v>
      </c>
      <c r="U167" s="6" t="str">
        <f>IFERROR(__xludf.DUMMYFUNCTION("""COMPUTED_VALUE"""),"Контент с предложением курсов")</f>
        <v>Контент с предложением курсов</v>
      </c>
      <c r="V167" s="6" t="str">
        <f>IFERROR(__xludf.DUMMYFUNCTION("""COMPUTED_VALUE"""),"")</f>
        <v/>
      </c>
      <c r="W167" s="6" t="str">
        <f>IFERROR(__xludf.DUMMYFUNCTION("""COMPUTED_VALUE"""),"")</f>
        <v/>
      </c>
      <c r="X167" s="6"/>
      <c r="Y167" s="6" t="str">
        <f>IFERROR(__xludf.DUMMYFUNCTION("""COMPUTED_VALUE"""),"https://old.postypashki.ru/%D0%BA%D0%B0%D1%80%D1%8C%D0%B5%D1%80%D0%BD%D1%8B%D0%B5-%D0%BA%D1%83%D1%80%D1%81%D1%8B/ai-%D0%B0%D0%B3%D0%B5%D0%BD%D1%82%D1%8B-%D0%BF%D1%80%D0%BE/
https://t.me/m/p94YcePXNjcy")</f>
        <v>https://old.postypashki.ru/%D0%BA%D0%B0%D1%80%D1%8C%D0%B5%D1%80%D0%BD%D1%8B%D0%B5-%D0%BA%D1%83%D1%80%D1%81%D1%8B/ai-%D0%B0%D0%B3%D0%B5%D0%BD%D1%82%D1%8B-%D0%BF%D1%80%D0%BE/
https://t.me/m/p94YcePXNjcy</v>
      </c>
      <c r="Z167" s="6" t="b">
        <f>IFERROR(__xludf.DUMMYFUNCTION("""COMPUTED_VALUE"""),TRUE)</f>
        <v>1</v>
      </c>
      <c r="AA167" s="6" t="str">
        <f>IFERROR(__xludf.DUMMYFUNCTION("""COMPUTED_VALUE"""),"")</f>
        <v/>
      </c>
      <c r="AB167" s="6" t="str">
        <f>IFERROR(__xludf.DUMMYFUNCTION("""COMPUTED_VALUE"""),"")</f>
        <v/>
      </c>
      <c r="AC167" s="6" t="str">
        <f>IFERROR(__xludf.DUMMYFUNCTION("""COMPUTED_VALUE"""),"")</f>
        <v/>
      </c>
      <c r="AD167" s="6" t="str">
        <f>IFERROR(__xludf.DUMMYFUNCTION("""COMPUTED_VALUE"""),"")</f>
        <v/>
      </c>
      <c r="AE167" s="6" t="str">
        <f>IFERROR(__xludf.DUMMYFUNCTION("""COMPUTED_VALUE"""),"")</f>
        <v/>
      </c>
      <c r="AF167" s="6" t="str">
        <f>IFERROR(__xludf.DUMMYFUNCTION("""COMPUTED_VALUE"""),"Не подтверждено")</f>
        <v>Не подтверждено</v>
      </c>
      <c r="AG167" s="6" t="str">
        <f>IFERROR(__xludf.DUMMYFUNCTION("""COMPUTED_VALUE"""),"")</f>
        <v/>
      </c>
      <c r="AH167" s="6" t="str">
        <f>IFERROR(__xludf.DUMMYFUNCTION("""COMPUTED_VALUE"""),"2026-09-11T11:47:39.365425+00:00")</f>
        <v>2026-09-11T11:47:39.365425+00:00</v>
      </c>
      <c r="AI167" s="6" t="str">
        <f>IFERROR(__xludf.DUMMYFUNCTION("""COMPUTED_VALUE"""),"raw/zadachi_ds/page_000.html")</f>
        <v>raw/zadachi_ds/page_000.html</v>
      </c>
      <c r="AJ167" s="9" t="s">
        <v>224</v>
      </c>
      <c r="AK167" s="9" t="s">
        <v>242</v>
      </c>
      <c r="AL167" s="9" t="s">
        <v>245</v>
      </c>
      <c r="AM167" s="9" t="s">
        <v>238</v>
      </c>
      <c r="AN167" s="4" t="str">
        <f>IFERROR(__xludf.DUMMYFUNCTION("IF(OR(AJ167=""general_brand"",AJ167=""external"",AJ167=""unknown""),"""",IF(AJ167=""product_line"",IF(AK167=""START"",""Аналитика старт | Алгоритмы старт | Backend старт | ML старт"",IF(AK167=""PRO"",""AI-агенты про | Алгоритмы про | Аналитика про | ML пр"&amp;"о | Backend про"",IF(AK167=""START | PRO"",""Аналитика старт | Алгоритмы старт | Backend старт | ML старт | AI-агенты про | Алгоритмы про | Аналитика про | ML про | Backend про"",""""))),TEXTJOIN("" | "",TRUE,IF(REGEXMATCH(LOWER(AL167&amp;"" | ""&amp;E167),""анал"&amp;"итика старт""),""Аналитика старт"",""""),IF(REGEXMATCH(LOWER(AL167&amp;"" | ""&amp;E167),""алгоритмы старт""),""Алгоритмы старт"",""""),IF(REGEXMATCH(LOWER(AL167&amp;"" | ""&amp;E167),""backend старт""),""Backend старт"",""""),IF(REGEXMATCH(LOWER(AL167&amp;"" | ""&amp;E167),""ml"&amp;" старт""),""ML старт"",""""),IF(REGEXMATCH(LOWER(AL167&amp;"" | ""&amp;E167),""ai[ -]?агент""),""AI-агенты про"",""""),IF(REGEXMATCH(LOWER(AL167&amp;"" | ""&amp;E167),""алгоритмы про""),""Алгоритмы про"",""""),IF(REGEXMATCH(LOWER(AL167&amp;"" | ""&amp;E167),""аналитика про""),"""&amp;"Аналитика про"",""""),IF(REGEXMATCH(LOWER(AL167&amp;"" | ""&amp;E167),""ml про""),""ML про"",""""),IF(REGEXMATCH(LOWER(AL167&amp;"" | ""&amp;E167),""backend про""),""Backend про"",""""),IF(REGEXMATCH(LOWER(AL167&amp;"" | ""&amp;E167),""(а/в|ав|а в|ab)[ -]?тест""),""А/В-тесты"","&amp;"""""),IF(REGEXMATCH(LOWER(AL167&amp;"" | ""&amp;E167),""data science""),""Data science"",""""),IF(REGEXMATCH(LOWER(AL167&amp;"" | ""&amp;E167),""data[- ]?инжен""),""Data-инженер"",""""),IF(REGEXMATCH(LOWER(AL167&amp;"" | ""&amp;E167),""frontend""),""Frontend"",""""))))"),"AI-агенты про")</f>
        <v>AI-агенты про</v>
      </c>
    </row>
    <row r="168">
      <c r="A168" s="6" t="str">
        <f>IFERROR(__xludf.DUMMYFUNCTION("""COMPUTED_VALUE"""),"EXT-68")</f>
        <v>EXT-68</v>
      </c>
      <c r="B168" s="6" t="str">
        <f>IFERROR(__xludf.DUMMYFUNCTION("""COMPUTED_VALUE"""),"2026-08-24 19:24:29")</f>
        <v>2026-08-24 19:24:29</v>
      </c>
      <c r="C168" s="6" t="str">
        <f>IFERROR(__xludf.DUMMYFUNCTION("""COMPUTED_VALUE"""),"@chad_protocol")</f>
        <v>@chad_protocol</v>
      </c>
      <c r="D168" s="4" t="str">
        <f>IFERROR(__xludf.DUMMYFUNCTION("""COMPUTED_VALUE"""),"Контент с предложением курсов")</f>
        <v>Контент с предложением курсов</v>
      </c>
      <c r="E168" s="6" t="str">
        <f>IFERROR(__xludf.DUMMYFUNCTION("""COMPUTED_VALUE"""),"")</f>
        <v/>
      </c>
      <c r="F168" s="6" t="str">
        <f>IFERROR(__xludf.DUMMYFUNCTION("""COMPUTED_VALUE"""),"")</f>
        <v/>
      </c>
      <c r="G168" s="10" t="str">
        <f>IFERROR(__xludf.DUMMYFUNCTION("""COMPUTED_VALUE"""),"https://t.me/chad_protocol/527")</f>
        <v>https://t.me/chad_protocol/527</v>
      </c>
      <c r="H168" s="6" t="str">
        <f>IFERROR(__xludf.DUMMYFUNCTION("""COMPUTED_VALUE"""),"Подпивасный анализ рынка 
Короче, у нас сейчас проходит набор на курсы ПРО и я одним вечером открыл по приколу HHRU и решил поанализировать. 
Общие впечатления 
За последние полгода количество вакансий на хх реально просело, вроде бы даже процентов на 2"&amp;"5-30, но при этом вакансий, где прямо написано ""AI"", ""ML"", ""LLM"" стало только больше. Я сам перепроверял цифры: в начале 25-го было около 9 тысяч таких вакансий, сейчас уже под 11. И это при том, что общий рынок сдувается.
AI-инженер - это просто б"&amp;"экендер, который подружился с нейросетками
Я смотрел вакансию в S7. Там просто список технологий: vLLM, SGLang, векторные базы, FastAPI, очереди. Это же просто набор бэкенд-инструментов, где нейросеть выступает как черный ящик. То есть ты не учишь модели,"&amp;" ты просто умеешь написать сервис, который ходит в нейросетку по API, получает ответ и кладет его в базу. Как будто ты просто работаешь с какой-то внешней системой, только вместо обычного сервера у тебя LLM.
Или вот видел вакансию в «Дневнике.ру». Они пи"&amp;"шут: строить агентов, интегрировать с инфраструктурой. Опять разработка. И по сути, если ты бэкендер на Python, знаешь FastAPI и умеешь работать с базами данных, то ты уже AI-инженер на 80%. Остальное это понимание как дергать LLM и куда складывать ответы"&amp;". Поэтому ты, бэкенд питон разработчик, понял намек? 
А вот ML-инженер - это уже другое
Я посмотрел вакансии в Яндексе. Там реально хардкор.
В одном месте аудиоязыковые модели. Нужно знать SFT, DPO, RLHF. Это техники дообучения, когда модельку учат специ"&amp;"фическим хитрым способам, а не просто подают данные и говорят ""учись"". Тут уже математика и понимание того, как нейросети внутри устроены.
В другом роботы-доставщики. Нужно оптимизировать нейросетки под слабое железо, чтобы на CPU работали за доли милл"&amp;"исекунды. И доменные знания по навигации, локализации. Это уже не про ""пойти в API и получить ответ"", а про реальное инженерное мышление.
А теперь самое интересное
Мне кажется рынок идет к тому, что AI-инженер и ML-инженер - это один и тот же человек.
"&amp;"Я видел вакансию в Сбере, где название NLP and Backend. И там реально смесь: и FastAPI, и Kafka, и LangChain, и Transformers, и Pandas с NumPy. То есть человек должен уметь и бэкенд написать, и модельку дообучить, и все это задеплоить.
И знаете, у меня т"&amp;"акое ощущение, что так и будет. Сейчас с вайб-кодингом писать бэкенд стало очень легко. А вот обучать модельки пока сложно автоматизировать  там слишком много нюансов, нужно смотреть на метрики, логи, эксперименты. Поэтому ценность как раз в ML-части.
Чт"&amp;"о еще
• MLOps:  в бигтехах это отдельный человек, который выделяет GPU, настраивает пайплайны, чинит инфраструктуру.
• AI-тренер: по сути разметчик данных. Нужен для специфических доменов, где модель не может сама себя проверить, например медицина или юри"&amp;"спруденция.
• Промт-инженер: вообще смешная позиция. На деле часто оказывается обычным AI/ML-разработчиком. Я видел вакансию, где в требованиях FastAPI, RAG, агенты, а называется ""Промт-инженер"".
• Не ищите только «ML-инженера». Ищите по всем названиям"&amp;": AI Engineer, NLP Engineer, LLM Engineer, Prompt Engineer. Везде примерно одно и то же.
• И не бойтесь длинных списков технологий в вакансиях. Часто это сгенерировано нейросеткой и на деле требования намного проще. Хватит хорошего знания Python, FastAPI,"&amp;" базового понимания LLM и умения работать с инфраструктурой.
• Вилки у всех примерно одинаковые 
И да если пост понравился записывайся на курсы МЛ ПРО и Аи агенты ПРО, будем из вас делать жестких быков осеменителей-тягочей рынка. 
➡️ Записаться
Подписат"&amp;"ься: @chad_protocol")</f>
        <v>Подпивасный анализ рынка 
Короче, у нас сейчас проходит набор на курсы ПРО и я одним вечером открыл по приколу HHRU и решил поанализировать. 
Общие впечатления 
За последние полгода количество вакансий на хх реально просело, вроде бы даже процентов на 25-30, но при этом вакансий, где прямо написано "AI", "ML", "LLM" стало только больше. Я сам перепроверял цифры: в начале 25-го было около 9 тысяч таких вакансий, сейчас уже под 11. И это при том, что общий рынок сдувается.
AI-инженер - это просто бэкендер, который подружился с нейросетками
Я смотрел вакансию в S7. Там просто список технологий: vLLM, SGLang, векторные базы, FastAPI, очереди. Это же просто набор бэкенд-инструментов, где нейросеть выступает как черный ящик. То есть ты не учишь модели, ты просто умеешь написать сервис, который ходит в нейросетку по API, получает ответ и кладет его в базу. Как будто ты просто работаешь с какой-то внешней системой, только вместо обычного сервера у тебя LLM.
Или вот видел вакансию в «Дневнике.ру». Они пишут: строить агентов, интегрировать с инфраструктурой. Опять разработка. И по сути, если ты бэкендер на Python, знаешь FastAPI и умеешь работать с базами данных, то ты уже AI-инженер на 80%. Остальное это понимание как дергать LLM и куда складывать ответы. Поэтому ты, бэкенд питон разработчик, понял намек? 
А вот ML-инженер - это уже другое
Я посмотрел вакансии в Яндексе. Там реально хардкор.
В одном месте аудиоязыковые модели. Нужно знать SFT, DPO, RLHF. Это техники дообучения, когда модельку учат специфическим хитрым способам, а не просто подают данные и говорят "учись". Тут уже математика и понимание того, как нейросети внутри устроены.
В другом роботы-доставщики. Нужно оптимизировать нейросетки под слабое железо, чтобы на CPU работали за доли миллисекунды. И доменные знания по навигации, локализации. Это уже не про "пойти в API и получить ответ", а про реальное инженерное мышление.
А теперь самое интересное
Мне кажется рынок идет к тому, что AI-инженер и ML-инженер - это один и тот же человек.
Я видел вакансию в Сбере, где название NLP and Backend. И там реально смесь: и FastAPI, и Kafka, и LangChain, и Transformers, и Pandas с NumPy. То есть человек должен уметь и бэкенд написать, и модельку дообучить, и все это задеплоить.
И знаете, у меня такое ощущение, что так и будет. Сейчас с вайб-кодингом писать бэкенд стало очень легко. А вот обучать модельки пока сложно автоматизировать  там слишком много нюансов, нужно смотреть на метрики, логи, эксперименты. Поэтому ценность как раз в ML-части.
Что еще
• MLOps:  в бигтехах это отдельный человек, который выделяет GPU, настраивает пайплайны, чинит инфраструктуру.
• AI-тренер: по сути разметчик данных. Нужен для специфических доменов, где модель не может сама себя проверить, например медицина или юриспруденция.
• Промт-инженер: вообще смешная позиция. На деле часто оказывается обычным AI/ML-разработчиком. Я видел вакансию, где в требованиях FastAPI, RAG, агенты, а называется "Промт-инженер".
• Не ищите только «ML-инженера». Ищите по всем названиям: AI Engineer, NLP Engineer, LLM Engineer, Prompt Engineer. Везде примерно одно и то же.
• И не бойтесь длинных списков технологий в вакансиях. Часто это сгенерировано нейросеткой и на деле требования намного проще. Хватит хорошего знания Python, FastAPI, базового понимания LLM и умения работать с инфраструктурой.
• Вилки у всех примерно одинаковые 
И да если пост понравился записывайся на курсы МЛ ПРО и Аи агенты ПРО, будем из вас делать жестких быков осеменителей-тягочей рынка. 
➡️ Записаться
Подписаться: @chad_protocol</v>
      </c>
      <c r="I168" s="6" t="str">
        <f>IFERROR(__xludf.DUMMYFUNCTION("""COMPUTED_VALUE"""),"external")</f>
        <v>external</v>
      </c>
      <c r="J168" s="10" t="str">
        <f>IFERROR(__xludf.DUMMYFUNCTION("""COMPUTED_VALUE"""),"https://t.me/chad_protocol/527")</f>
        <v>https://t.me/chad_protocol/527</v>
      </c>
      <c r="K168" s="6">
        <f>IFERROR(__xludf.DUMMYFUNCTION("""COMPUTED_VALUE"""),6210.0)</f>
        <v>6210</v>
      </c>
      <c r="L168" s="6">
        <f>IFERROR(__xludf.DUMMYFUNCTION("""COMPUTED_VALUE"""),22.0)</f>
        <v>22</v>
      </c>
      <c r="M168" s="6"/>
      <c r="N168" s="6" t="str">
        <f>IFERROR(__xludf.DUMMYFUNCTION("""COMPUTED_VALUE"""),"Telegram")</f>
        <v>Telegram</v>
      </c>
      <c r="O168" s="6" t="str">
        <f>IFERROR(__xludf.DUMMYFUNCTION("""COMPUTED_VALUE"""),"raw")</f>
        <v>raw</v>
      </c>
      <c r="P168" s="6" t="str">
        <f>IFERROR(__xludf.DUMMYFUNCTION("""COMPUTED_VALUE"""),"Codex")</f>
        <v>Codex</v>
      </c>
      <c r="Q168" s="6" t="str">
        <f>IFERROR(__xludf.DUMMYFUNCTION("""COMPUTED_VALUE"""),"Общий контакт @vice22821; признак связи с проектом")</f>
        <v>Общий контакт @vice22821; признак связи с проектом</v>
      </c>
      <c r="R168" s="6" t="str">
        <f>IFERROR(__xludf.DUMMYFUNCTION("""COMPUTED_VALUE"""),"unknown")</f>
        <v>unknown</v>
      </c>
      <c r="S168" s="6" t="str">
        <f>IFERROR(__xludf.DUMMYFUNCTION("""COMPUTED_VALUE"""),"unknown")</f>
        <v>unknown</v>
      </c>
      <c r="T168" s="6" t="str">
        <f>IFERROR(__xludf.DUMMYFUNCTION("""COMPUTED_VALUE"""),"telegram_external")</f>
        <v>telegram_external</v>
      </c>
      <c r="U168" s="6" t="str">
        <f>IFERROR(__xludf.DUMMYFUNCTION("""COMPUTED_VALUE"""),"Контент с предложением курсов")</f>
        <v>Контент с предложением курсов</v>
      </c>
      <c r="V168" s="6" t="str">
        <f>IFERROR(__xludf.DUMMYFUNCTION("""COMPUTED_VALUE"""),"")</f>
        <v/>
      </c>
      <c r="W168" s="6" t="str">
        <f>IFERROR(__xludf.DUMMYFUNCTION("""COMPUTED_VALUE"""),"")</f>
        <v/>
      </c>
      <c r="X168" s="6"/>
      <c r="Y168" s="6" t="str">
        <f>IFERROR(__xludf.DUMMYFUNCTION("""COMPUTED_VALUE"""),"https://t.me/postypashki_old/1859
https://old.postypashki.ru/%D0%BA%D0%B0%D1%80%D1%8C%D0%B5%D1%80%D0%BD%D1%8B%D0%B5-%D0%BA%D1%83%D1%80%D1%81%D1%8B/ml-%D1%85%D0%B0%D1%80%D0%B4/
https://old.postypashki.ru/%D0%BA%D0%B0%D1%80%D1%8C%D0%B5%D1%80%D0%BD%D1%8B%D0%"&amp;"B5-%D0%BA%D1%83%D1%80%D1%81%D1%8B/ai-%D0%B0%D0%B3%D0%B5%D0%BD%D1%82%D1%8B-%D0%BF%D1%80%D0%BE/
https://t.me/m/p94YcePXNjcy")</f>
        <v>https://t.me/postypashki_old/1859
https://old.postypashki.ru/%D0%BA%D0%B0%D1%80%D1%8C%D0%B5%D1%80%D0%BD%D1%8B%D0%B5-%D0%BA%D1%83%D1%80%D1%81%D1%8B/ml-%D1%85%D0%B0%D1%80%D0%B4/
https://old.postypashki.ru/%D0%BA%D0%B0%D1%80%D1%8C%D0%B5%D1%80%D0%BD%D1%8B%D0%B5-%D0%BA%D1%83%D1%80%D1%81%D1%8B/ai-%D0%B0%D0%B3%D0%B5%D0%BD%D1%82%D1%8B-%D0%BF%D1%80%D0%BE/
https://t.me/m/p94YcePXNjcy</v>
      </c>
      <c r="Z168" s="6" t="b">
        <f>IFERROR(__xludf.DUMMYFUNCTION("""COMPUTED_VALUE"""),TRUE)</f>
        <v>1</v>
      </c>
      <c r="AA168" s="6" t="str">
        <f>IFERROR(__xludf.DUMMYFUNCTION("""COMPUTED_VALUE"""),"")</f>
        <v/>
      </c>
      <c r="AB168" s="6" t="str">
        <f>IFERROR(__xludf.DUMMYFUNCTION("""COMPUTED_VALUE"""),"")</f>
        <v/>
      </c>
      <c r="AC168" s="6" t="str">
        <f>IFERROR(__xludf.DUMMYFUNCTION("""COMPUTED_VALUE"""),"")</f>
        <v/>
      </c>
      <c r="AD168" s="6" t="str">
        <f>IFERROR(__xludf.DUMMYFUNCTION("""COMPUTED_VALUE"""),"")</f>
        <v/>
      </c>
      <c r="AE168" s="6" t="str">
        <f>IFERROR(__xludf.DUMMYFUNCTION("""COMPUTED_VALUE"""),"")</f>
        <v/>
      </c>
      <c r="AF168" s="6" t="str">
        <f>IFERROR(__xludf.DUMMYFUNCTION("""COMPUTED_VALUE"""),"Не подтверждено")</f>
        <v>Не подтверждено</v>
      </c>
      <c r="AG168" s="6" t="str">
        <f>IFERROR(__xludf.DUMMYFUNCTION("""COMPUTED_VALUE"""),"")</f>
        <v/>
      </c>
      <c r="AH168" s="6" t="str">
        <f>IFERROR(__xludf.DUMMYFUNCTION("""COMPUTED_VALUE"""),"2026-09-11T11:47:50.761841+00:00")</f>
        <v>2026-09-11T11:47:50.761841+00:00</v>
      </c>
      <c r="AI168" s="6" t="str">
        <f>IFERROR(__xludf.DUMMYFUNCTION("""COMPUTED_VALUE"""),"raw/chad_protocol/page_000.html")</f>
        <v>raw/chad_protocol/page_000.html</v>
      </c>
      <c r="AJ168" s="9" t="s">
        <v>223</v>
      </c>
      <c r="AK168" s="9" t="s">
        <v>242</v>
      </c>
      <c r="AL168" s="9" t="s">
        <v>255</v>
      </c>
      <c r="AM168" s="9" t="s">
        <v>238</v>
      </c>
      <c r="AN168" s="4" t="str">
        <f>IFERROR(__xludf.DUMMYFUNCTION("IF(OR(AJ168=""general_brand"",AJ168=""external"",AJ168=""unknown""),"""",IF(AJ168=""product_line"",IF(AK168=""START"",""Аналитика старт | Алгоритмы старт | Backend старт | ML старт"",IF(AK168=""PRO"",""AI-агенты про | Алгоритмы про | Аналитика про | ML пр"&amp;"о | Backend про"",IF(AK168=""START | PRO"",""Аналитика старт | Алгоритмы старт | Backend старт | ML старт | AI-агенты про | Алгоритмы про | Аналитика про | ML про | Backend про"",""""))),TEXTJOIN("" | "",TRUE,IF(REGEXMATCH(LOWER(AL168&amp;"" | ""&amp;E168),""анал"&amp;"итика старт""),""Аналитика старт"",""""),IF(REGEXMATCH(LOWER(AL168&amp;"" | ""&amp;E168),""алгоритмы старт""),""Алгоритмы старт"",""""),IF(REGEXMATCH(LOWER(AL168&amp;"" | ""&amp;E168),""backend старт""),""Backend старт"",""""),IF(REGEXMATCH(LOWER(AL168&amp;"" | ""&amp;E168),""ml"&amp;" старт""),""ML старт"",""""),IF(REGEXMATCH(LOWER(AL168&amp;"" | ""&amp;E168),""ai[ -]?агент""),""AI-агенты про"",""""),IF(REGEXMATCH(LOWER(AL168&amp;"" | ""&amp;E168),""алгоритмы про""),""Алгоритмы про"",""""),IF(REGEXMATCH(LOWER(AL168&amp;"" | ""&amp;E168),""аналитика про""),"""&amp;"Аналитика про"",""""),IF(REGEXMATCH(LOWER(AL168&amp;"" | ""&amp;E168),""ml про""),""ML про"",""""),IF(REGEXMATCH(LOWER(AL168&amp;"" | ""&amp;E168),""backend про""),""Backend про"",""""),IF(REGEXMATCH(LOWER(AL168&amp;"" | ""&amp;E168),""(а/в|ав|а в|ab)[ -]?тест""),""А/В-тесты"","&amp;"""""),IF(REGEXMATCH(LOWER(AL168&amp;"" | ""&amp;E168),""data science""),""Data science"",""""),IF(REGEXMATCH(LOWER(AL168&amp;"" | ""&amp;E168),""data[- ]?инжен""),""Data-инженер"",""""),IF(REGEXMATCH(LOWER(AL168&amp;"" | ""&amp;E168),""frontend""),""Frontend"",""""))))"),"AI-агенты про | ML про")</f>
        <v>AI-агенты про | ML про</v>
      </c>
    </row>
    <row r="169">
      <c r="A169" s="6" t="str">
        <f>IFERROR(__xludf.DUMMYFUNCTION("""COMPUTED_VALUE"""),"EXT-69")</f>
        <v>EXT-69</v>
      </c>
      <c r="B169" s="6" t="str">
        <f>IFERROR(__xludf.DUMMYFUNCTION("""COMPUTED_VALUE"""),"2026-08-24 20:44:23")</f>
        <v>2026-08-24 20:44:23</v>
      </c>
      <c r="C169" s="6" t="str">
        <f>IFERROR(__xludf.DUMMYFUNCTION("""COMPUTED_VALUE"""),"@codeof_art")</f>
        <v>@codeof_art</v>
      </c>
      <c r="D169" s="4" t="str">
        <f>IFERROR(__xludf.DUMMYFUNCTION("""COMPUTED_VALUE"""),"Контент с предложением курсов")</f>
        <v>Контент с предложением курсов</v>
      </c>
      <c r="E169" s="6" t="str">
        <f>IFERROR(__xludf.DUMMYFUNCTION("""COMPUTED_VALUE"""),"")</f>
        <v/>
      </c>
      <c r="F169" s="6" t="str">
        <f>IFERROR(__xludf.DUMMYFUNCTION("""COMPUTED_VALUE"""),"")</f>
        <v/>
      </c>
      <c r="G169" s="10" t="str">
        <f>IFERROR(__xludf.DUMMYFUNCTION("""COMPUTED_VALUE"""),"https://t.me/codeof_art/315")</f>
        <v>https://t.me/codeof_art/315</v>
      </c>
      <c r="H169" s="6" t="str">
        <f>IFERROR(__xludf.DUMMYFUNCTION("""COMPUTED_VALUE"""),"Почему бэкендеру-новичку в 2026 мало уметь перекладывать JSON
Найм изменился. То, что стажёр делал за неделю, Claude и ChatGPT делают за десять минут и модели улучшаются каждый месяц. Итог простой: бизнесу больше не нужны «болванчики», исполняющие задачу"&amp;" по инструкции. Нужны те, кто понимает код, умеет спроектировать распределённую систему и, главное, умеет валидировать ИИ, потому что нейронка может как правдоподобную чушь, так и хороший результат генерировать
Что у джунов:
Junior Go, ITK academy:  прям"&amp;"ым текстом: PostgreSQL и SQL с транзакциями, JOIN и оптимизацией запросов, базовый Redis, REST API, сетевые протоколы и их уровни, принципы конкурентного программирования в Go, Docker и gRPC. Это джун, а тут уже и многопоточка, и сети, и транзакции. 
Jun"&amp;"ior Java, ИТ-Холдинг Т1: позиция джуновская, а в требованиях: уверенное владение Java Core и multi-threading, знание основ и опыт разработки микросервисных систем, работа с брокерами сообщений (Kafka/RabbitMQ), опыт на высоконагруженных проектах, разные т"&amp;"ипы БД и понимание CI/CD. Многопоточка и брокеры в джун-вакансии буквально. 
Младший Python-разработчик, Ozon: отдел разработки аналитических инструментов и управления данными. Бигтех спокойно берёт джунов на внутреннюю дата-платформу: Python, SQL и базы"&amp;", REST-интеграции внутренних сервисов, дата-пайплайны. 
Общая картина по всему рынку джунов та же: на бэкенде обязательны работа с БД,  проектирование REST API и понимание архитектурных паттернов: микросервисы, монолит, event-driven. То есть очереди, кэш"&amp;", микросервисы и БД глубже, чем «умею JOIN» - это базовый минимум.
А что с мидлами
Middle Go, Т-Банк, команда инструментов продуктовой аналитики: стек PostgreSQL, Kafka, Cassandra, Prometheus, Golang, Kubernetes; нужно понимать архитектуру многокомпонент"&amp;"ных систем - балансировку нагрузки и отказоустойчивость, плюс менторить джунов. 
Разница между грейдами
Средние вилки по рынку 2026: джун - 80–150 тысяч, миддл - 200–350. И попадают в верх именно те, кто дружит с распределёнкой и многопоточкой. 
Именно "&amp;"это мы разбираем на курсе Backend Про. Всё, что нужно молодому специалисту, который хочет реально разбираться в коде и распределённых системах, а не перекладывать JSON. Как раз таких разрабов и требуют российский бигтех и западные компании на текущий моме"&amp;"нт.
Кому зайдёт:
- Джунам и стажёрам: выйти за пределы типичных CRUD и расширить выбор вакансий;
- Тем, кто имеет опыт и уже метит в миддлы: без архитектуры и распределёнки грейд не поднимут.
Что ботаем по модулям:
Модуль 1. Многопоточка: потоки и проце"&amp;"ссы, синхронизация, race condition, deadlock, thread-safe структуры. Там, где ИИ врёт чаще всего.
Модуль 2. Сети
Модуль 3. Межсервисное взаимодействие и микросервисы: микросервисы против монолита, RPC, REST, брокеры, gRPC, stateful/stateless.
Модуль 4. Ба"&amp;"зы: SQL и NoSQL, планы выполнения, блокировки, транзакции, уровни изоляции.
Модуль 5. Highload: репликация, шардирование, балансировка, оптимизация и отказоустойчивость.
Модуль 6. Разбираем blockchain
Отдельно проходимся по систем дизайну
На выходе вы ум"&amp;"еете спроектировать систему, объяснить, где она отказывает, ускорить чужой код и поймать то, что нагенерил ИИ. С этим идут и на сильного джуна, и на миддла.
➡️Записаться")</f>
        <v>Почему бэкендеру-новичку в 2026 мало уметь перекладывать JSON
Найм изменился. То, что стажёр делал за неделю, Claude и ChatGPT делают за десять минут и модели улучшаются каждый месяц. Итог простой: бизнесу больше не нужны «болванчики», исполняющие задачу по инструкции. Нужны те, кто понимает код, умеет спроектировать распределённую систему и, главное, умеет валидировать ИИ, потому что нейронка может как правдоподобную чушь, так и хороший результат генерировать
Что у джунов:
Junior Go, ITK academy:  прямым текстом: PostgreSQL и SQL с транзакциями, JOIN и оптимизацией запросов, базовый Redis, REST API, сетевые протоколы и их уровни, принципы конкурентного программирования в Go, Docker и gRPC. Это джун, а тут уже и многопоточка, и сети, и транзакции. 
Junior Java, ИТ-Холдинг Т1: позиция джуновская, а в требованиях: уверенное владение Java Core и multi-threading, знание основ и опыт разработки микросервисных систем, работа с брокерами сообщений (Kafka/RabbitMQ), опыт на высоконагруженных проектах, разные типы БД и понимание CI/CD. Многопоточка и брокеры в джун-вакансии буквально. 
Младший Python-разработчик, Ozon: отдел разработки аналитических инструментов и управления данными. Бигтех спокойно берёт джунов на внутреннюю дата-платформу: Python, SQL и базы, REST-интеграции внутренних сервисов, дата-пайплайны. 
Общая картина по всему рынку джунов та же: на бэкенде обязательны работа с БД,  проектирование REST API и понимание архитектурных паттернов: микросервисы, монолит, event-driven. То есть очереди, кэш, микросервисы и БД глубже, чем «умею JOIN» - это базовый минимум.
А что с мидлами
Middle Go, Т-Банк, команда инструментов продуктовой аналитики: стек PostgreSQL, Kafka, Cassandra, Prometheus, Golang, Kubernetes; нужно понимать архитектуру многокомпонентных систем - балансировку нагрузки и отказоустойчивость, плюс менторить джунов. 
Разница между грейдами
Средние вилки по рынку 2026: джун - 80–150 тысяч, миддл - 200–350. И попадают в верх именно те, кто дружит с распределёнкой и многопоточкой. 
Именно это мы разбираем на курсе Backend Про. Всё, что нужно молодому специалисту, который хочет реально разбираться в коде и распределённых системах, а не перекладывать JSON. Как раз таких разрабов и требуют российский бигтех и западные компании на текущий момент.
Кому зайдёт:
- Джунам и стажёрам: выйти за пределы типичных CRUD и расширить выбор вакансий;
- Тем, кто имеет опыт и уже метит в миддлы: без архитектуры и распределёнки грейд не поднимут.
Что ботаем по модулям:
Модуль 1. Многопоточка: потоки и процессы, синхронизация, race condition, deadlock, thread-safe структуры. Там, где ИИ врёт чаще всего.
Модуль 2. Сети
Модуль 3. Межсервисное взаимодействие и микросервисы: микросервисы против монолита, RPC, REST, брокеры, gRPC, stateful/stateless.
Модуль 4. Базы: SQL и NoSQL, планы выполнения, блокировки, транзакции, уровни изоляции.
Модуль 5. Highload: репликация, шардирование, балансировка, оптимизация и отказоустойчивость.
Модуль 6. Разбираем blockchain
Отдельно проходимся по систем дизайну
На выходе вы умеете спроектировать систему, объяснить, где она отказывает, ускорить чужой код и поймать то, что нагенерил ИИ. С этим идут и на сильного джуна, и на миддла.
➡️Записаться</v>
      </c>
      <c r="I169" s="6" t="str">
        <f>IFERROR(__xludf.DUMMYFUNCTION("""COMPUTED_VALUE"""),"external")</f>
        <v>external</v>
      </c>
      <c r="J169" s="10" t="str">
        <f>IFERROR(__xludf.DUMMYFUNCTION("""COMPUTED_VALUE"""),"https://t.me/codeof_art/315")</f>
        <v>https://t.me/codeof_art/315</v>
      </c>
      <c r="K169" s="6">
        <f>IFERROR(__xludf.DUMMYFUNCTION("""COMPUTED_VALUE"""),2330.0)</f>
        <v>2330</v>
      </c>
      <c r="L169" s="6">
        <f>IFERROR(__xludf.DUMMYFUNCTION("""COMPUTED_VALUE"""),5.0)</f>
        <v>5</v>
      </c>
      <c r="M169" s="6"/>
      <c r="N169" s="6" t="str">
        <f>IFERROR(__xludf.DUMMYFUNCTION("""COMPUTED_VALUE"""),"Telegram")</f>
        <v>Telegram</v>
      </c>
      <c r="O169" s="6" t="str">
        <f>IFERROR(__xludf.DUMMYFUNCTION("""COMPUTED_VALUE"""),"raw")</f>
        <v>raw</v>
      </c>
      <c r="P169" s="6" t="str">
        <f>IFERROR(__xludf.DUMMYFUNCTION("""COMPUTED_VALUE"""),"Codex")</f>
        <v>Codex</v>
      </c>
      <c r="Q169" s="6" t="str">
        <f>IFERROR(__xludf.DUMMYFUNCTION("""COMPUTED_VALUE"""),"Общий контакт @vice22821; признак связи с проектом")</f>
        <v>Общий контакт @vice22821; признак связи с проектом</v>
      </c>
      <c r="R169" s="6" t="str">
        <f>IFERROR(__xludf.DUMMYFUNCTION("""COMPUTED_VALUE"""),"unknown")</f>
        <v>unknown</v>
      </c>
      <c r="S169" s="6" t="str">
        <f>IFERROR(__xludf.DUMMYFUNCTION("""COMPUTED_VALUE"""),"unknown")</f>
        <v>unknown</v>
      </c>
      <c r="T169" s="6" t="str">
        <f>IFERROR(__xludf.DUMMYFUNCTION("""COMPUTED_VALUE"""),"telegram_external")</f>
        <v>telegram_external</v>
      </c>
      <c r="U169" s="6" t="str">
        <f>IFERROR(__xludf.DUMMYFUNCTION("""COMPUTED_VALUE"""),"Контент с предложением курсов")</f>
        <v>Контент с предложением курсов</v>
      </c>
      <c r="V169" s="6" t="str">
        <f>IFERROR(__xludf.DUMMYFUNCTION("""COMPUTED_VALUE"""),"")</f>
        <v/>
      </c>
      <c r="W169" s="6" t="str">
        <f>IFERROR(__xludf.DUMMYFUNCTION("""COMPUTED_VALUE"""),"")</f>
        <v/>
      </c>
      <c r="X169" s="6"/>
      <c r="Y169" s="6" t="str">
        <f>IFERROR(__xludf.DUMMYFUNCTION("""COMPUTED_VALUE"""),"https://t.me/postypashki_old/1859
https://old.postypashki.ru/%D0%BA%D0%B0%D1%80%D1%8C%D0%B5%D1%80%D0%BD%D1%8B%D0%B5-%D0%BA%D1%83%D1%80%D1%81%D1%8B/backend-%D1%85%D0%B0%D1%80%D0%B4")</f>
        <v>https://t.me/postypashki_old/1859
https://old.postypashki.ru/%D0%BA%D0%B0%D1%80%D1%8C%D0%B5%D1%80%D0%BD%D1%8B%D0%B5-%D0%BA%D1%83%D1%80%D1%81%D1%8B/backend-%D1%85%D0%B0%D1%80%D0%B4</v>
      </c>
      <c r="Z169" s="6" t="b">
        <f>IFERROR(__xludf.DUMMYFUNCTION("""COMPUTED_VALUE"""),TRUE)</f>
        <v>1</v>
      </c>
      <c r="AA169" s="6" t="str">
        <f>IFERROR(__xludf.DUMMYFUNCTION("""COMPUTED_VALUE"""),"")</f>
        <v/>
      </c>
      <c r="AB169" s="6" t="str">
        <f>IFERROR(__xludf.DUMMYFUNCTION("""COMPUTED_VALUE"""),"")</f>
        <v/>
      </c>
      <c r="AC169" s="6" t="str">
        <f>IFERROR(__xludf.DUMMYFUNCTION("""COMPUTED_VALUE"""),"")</f>
        <v/>
      </c>
      <c r="AD169" s="6" t="str">
        <f>IFERROR(__xludf.DUMMYFUNCTION("""COMPUTED_VALUE"""),"")</f>
        <v/>
      </c>
      <c r="AE169" s="6" t="str">
        <f>IFERROR(__xludf.DUMMYFUNCTION("""COMPUTED_VALUE"""),"")</f>
        <v/>
      </c>
      <c r="AF169" s="6" t="str">
        <f>IFERROR(__xludf.DUMMYFUNCTION("""COMPUTED_VALUE"""),"Не подтверждено")</f>
        <v>Не подтверждено</v>
      </c>
      <c r="AG169" s="6" t="str">
        <f>IFERROR(__xludf.DUMMYFUNCTION("""COMPUTED_VALUE"""),"")</f>
        <v/>
      </c>
      <c r="AH169" s="6" t="str">
        <f>IFERROR(__xludf.DUMMYFUNCTION("""COMPUTED_VALUE"""),"2026-09-11T11:47:36.835348+00:00")</f>
        <v>2026-09-11T11:47:36.835348+00:00</v>
      </c>
      <c r="AI169" s="6" t="str">
        <f>IFERROR(__xludf.DUMMYFUNCTION("""COMPUTED_VALUE"""),"raw/codeof_art/page_000.html")</f>
        <v>raw/codeof_art/page_000.html</v>
      </c>
      <c r="AJ169" s="9" t="s">
        <v>224</v>
      </c>
      <c r="AK169" s="9" t="s">
        <v>242</v>
      </c>
      <c r="AL169" s="9" t="s">
        <v>246</v>
      </c>
      <c r="AM169" s="9" t="s">
        <v>231</v>
      </c>
      <c r="AN169" s="4" t="str">
        <f>IFERROR(__xludf.DUMMYFUNCTION("IF(OR(AJ169=""general_brand"",AJ169=""external"",AJ169=""unknown""),"""",IF(AJ169=""product_line"",IF(AK169=""START"",""Аналитика старт | Алгоритмы старт | Backend старт | ML старт"",IF(AK169=""PRO"",""AI-агенты про | Алгоритмы про | Аналитика про | ML пр"&amp;"о | Backend про"",IF(AK169=""START | PRO"",""Аналитика старт | Алгоритмы старт | Backend старт | ML старт | AI-агенты про | Алгоритмы про | Аналитика про | ML про | Backend про"",""""))),TEXTJOIN("" | "",TRUE,IF(REGEXMATCH(LOWER(AL169&amp;"" | ""&amp;E169),""анал"&amp;"итика старт""),""Аналитика старт"",""""),IF(REGEXMATCH(LOWER(AL169&amp;"" | ""&amp;E169),""алгоритмы старт""),""Алгоритмы старт"",""""),IF(REGEXMATCH(LOWER(AL169&amp;"" | ""&amp;E169),""backend старт""),""Backend старт"",""""),IF(REGEXMATCH(LOWER(AL169&amp;"" | ""&amp;E169),""ml"&amp;" старт""),""ML старт"",""""),IF(REGEXMATCH(LOWER(AL169&amp;"" | ""&amp;E169),""ai[ -]?агент""),""AI-агенты про"",""""),IF(REGEXMATCH(LOWER(AL169&amp;"" | ""&amp;E169),""алгоритмы про""),""Алгоритмы про"",""""),IF(REGEXMATCH(LOWER(AL169&amp;"" | ""&amp;E169),""аналитика про""),"""&amp;"Аналитика про"",""""),IF(REGEXMATCH(LOWER(AL169&amp;"" | ""&amp;E169),""ml про""),""ML про"",""""),IF(REGEXMATCH(LOWER(AL169&amp;"" | ""&amp;E169),""backend про""),""Backend про"",""""),IF(REGEXMATCH(LOWER(AL169&amp;"" | ""&amp;E169),""(а/в|ав|а в|ab)[ -]?тест""),""А/В-тесты"","&amp;"""""),IF(REGEXMATCH(LOWER(AL169&amp;"" | ""&amp;E169),""data science""),""Data science"",""""),IF(REGEXMATCH(LOWER(AL169&amp;"" | ""&amp;E169),""data[- ]?инжен""),""Data-инженер"",""""),IF(REGEXMATCH(LOWER(AL169&amp;"" | ""&amp;E169),""frontend""),""Frontend"",""""))))"),"Backend про")</f>
        <v>Backend про</v>
      </c>
    </row>
    <row r="170">
      <c r="A170" s="6" t="str">
        <f>IFERROR(__xludf.DUMMYFUNCTION("""COMPUTED_VALUE"""),"EXT-70")</f>
        <v>EXT-70</v>
      </c>
      <c r="B170" s="6" t="str">
        <f>IFERROR(__xludf.DUMMYFUNCTION("""COMPUTED_VALUE"""),"2026-08-24 21:25:55")</f>
        <v>2026-08-24 21:25:55</v>
      </c>
      <c r="C170" s="6" t="str">
        <f>IFERROR(__xludf.DUMMYFUNCTION("""COMPUTED_VALUE"""),"@zadachi_ds")</f>
        <v>@zadachi_ds</v>
      </c>
      <c r="D170" s="4" t="str">
        <f>IFERROR(__xludf.DUMMYFUNCTION("""COMPUTED_VALUE"""),"Прочий контент")</f>
        <v>Прочий контент</v>
      </c>
      <c r="E170" s="6" t="str">
        <f>IFERROR(__xludf.DUMMYFUNCTION("""COMPUTED_VALUE"""),"")</f>
        <v/>
      </c>
      <c r="F170" s="6" t="str">
        <f>IFERROR(__xludf.DUMMYFUNCTION("""COMPUTED_VALUE"""),"")</f>
        <v/>
      </c>
      <c r="G170" s="10" t="str">
        <f>IFERROR(__xludf.DUMMYFUNCTION("""COMPUTED_VALUE"""),"https://t.me/zadachi_ds/408")</f>
        <v>https://t.me/zadachi_ds/408</v>
      </c>
      <c r="H170" s="6" t="str">
        <f>IFERROR(__xludf.DUMMYFUNCTION("""COMPUTED_VALUE"""),"Как собеседуют в Nebius
Рассказывает наш выпускник, который проходил недавно собеседование на позицию Senior ML Engineer, удалёнка из Европы, все интервью проходило на русском. 
Процесс и этапы
HR вышел на меня сам в Linkedin. Первый созвон: обсуждение "&amp;"вакансии, мотивация. Команда раньше тренировала собственные модели, но сейчас фокус сместился на тонкую настройку под клиентов. Уже на этом этапе мне показалось, что описание продукта размыто: непонятно, как именно команда монетизирует AI-Студию. Это, кст"&amp;"ати, потом аукнулось.
Второй раунд: классический ML + кодинг.
Сначала задача на скользящее окно (два указателя) - решили быстро. Потом пошли теоретические вопросы:
• логистическая регрессия: формула, loss-функция, смысл параметров;
• методы регуляризации"&amp;" и борьбы с переобучением;
• градиентный спуск: как устроен, формулы обновления весов.
Короче самая база, процесс как в Яндексе)
Третий раунд: NLP и трансформеры.
Тут началось самое интересное. Вопросы:
• как работает BPE-токенизация;
• позиционные эмбед"&amp;"динги, и особенно как дообучать RoPE на новую длину (я сходу не овтетил);
• устройство self-attention, отличия MHA, MQA, GQA и их влияние на инференс;
• небольшой опыт работы с трансформерами.
А затем 15 минут на кодинг: реализовать механизм внимания на "&amp;"чистом NumPy. С этим справились без проблем. Но на этом не остановились. Пошли детали реализации:
• почему нормируем скалярное произведение на корень из размерности;
• подводные камни Softmax;
• как добавить новые головы в реализацию без лишних матричных "&amp;"умножений.
Вот тут я уже начал плыть. После этого раунда я понял, что дальше, скорее всего, не пройду. И действительно, вскоре пришёл отказ. Финальный этап, если бы он состоялся, был бы чисто алгоритмическим: две задачи на LeetCode.
Что понравилось и что"&amp;" нет
Плюсы:
• HR чётко описал весь процесс, этапы, без сюрпризов;
• можно было брать паузы между раундами, без спешки.
Минусы:
• после трёх раундов так и не сложилась картинка, какую именно проблему решает команда. Интервьюеры не смогли внятно объяснить"&amp;" цель продукта;
• сами вопросы были «заготовлены», на встречные уточнения отвечали неуверенно.
Про зарплату
Я назвал ожидания по общей компенсации: от 200 тысяч долларов в год. В компании сказали, что это в рамках бюджета. Nebius - публичная компания, ча"&amp;"сть компенсации идёт акциями, которые можно продать. Кстати, после объявления о партнёрстве с Microsoft в сентябре 2025 акции взлетели в два раза, так что 200K+ - вполне реально.
Короче, собеседование очень напоминает формат Яндекса: глубокие технические"&amp;" вопросы, акцент на детали реализации, много теории. В зарубежных компаниях такой уровень технической секции встречается реже, но здесь видимо, наследие ""яндекс-корней"".
Еще больше собесов в открытом банке собесов, тестовых заданий и пет проектов на на"&amp;"шем сайте. 
Подписаться: @zadachi_ds")</f>
        <v>Как собеседуют в Nebius
Рассказывает наш выпускник, который проходил недавно собеседование на позицию Senior ML Engineer, удалёнка из Европы, все интервью проходило на русском. 
Процесс и этапы
HR вышел на меня сам в Linkedin. Первый созвон: обсуждение вакансии, мотивация. Команда раньше тренировала собственные модели, но сейчас фокус сместился на тонкую настройку под клиентов. Уже на этом этапе мне показалось, что описание продукта размыто: непонятно, как именно команда монетизирует AI-Студию. Это, кстати, потом аукнулось.
Второй раунд: классический ML + кодинг.
Сначала задача на скользящее окно (два указателя) - решили быстро. Потом пошли теоретические вопросы:
• логистическая регрессия: формула, loss-функция, смысл параметров;
• методы регуляризации и борьбы с переобучением;
• градиентный спуск: как устроен, формулы обновления весов.
Короче самая база, процесс как в Яндексе)
Третий раунд: NLP и трансформеры.
Тут началось самое интересное. Вопросы:
• как работает BPE-токенизация;
• позиционные эмбеддинги, и особенно как дообучать RoPE на новую длину (я сходу не овтетил);
• устройство self-attention, отличия MHA, MQA, GQA и их влияние на инференс;
• небольшой опыт работы с трансформерами.
А затем 15 минут на кодинг: реализовать механизм внимания на чистом NumPy. С этим справились без проблем. Но на этом не остановились. Пошли детали реализации:
• почему нормируем скалярное произведение на корень из размерности;
• подводные камни Softmax;
• как добавить новые головы в реализацию без лишних матричных умножений.
Вот тут я уже начал плыть. После этого раунда я понял, что дальше, скорее всего, не пройду. И действительно, вскоре пришёл отказ. Финальный этап, если бы он состоялся, был бы чисто алгоритмическим: две задачи на LeetCode.
Что понравилось и что нет
Плюсы:
• HR чётко описал весь процесс, этапы, без сюрпризов;
• можно было брать паузы между раундами, без спешки.
Минусы:
• после трёх раундов так и не сложилась картинка, какую именно проблему решает команда. Интервьюеры не смогли внятно объяснить цель продукта;
• сами вопросы были «заготовлены», на встречные уточнения отвечали неуверенно.
Про зарплату
Я назвал ожидания по общей компенсации: от 200 тысяч долларов в год. В компании сказали, что это в рамках бюджета. Nebius - публичная компания, часть компенсации идёт акциями, которые можно продать. Кстати, после объявления о партнёрстве с Microsoft в сентябре 2025 акции взлетели в два раза, так что 200K+ - вполне реально.
Короче, собеседование очень напоминает формат Яндекса: глубокие технические вопросы, акцент на детали реализации, много теории. В зарубежных компаниях такой уровень технической секции встречается реже, но здесь видимо, наследие "яндекс-корней".
Еще больше собесов в открытом банке собесов, тестовых заданий и пет проектов на нашем сайте. 
Подписаться: @zadachi_ds</v>
      </c>
      <c r="I170" s="6" t="str">
        <f>IFERROR(__xludf.DUMMYFUNCTION("""COMPUTED_VALUE"""),"external")</f>
        <v>external</v>
      </c>
      <c r="J170" s="10" t="str">
        <f>IFERROR(__xludf.DUMMYFUNCTION("""COMPUTED_VALUE"""),"https://t.me/zadachi_ds/408")</f>
        <v>https://t.me/zadachi_ds/408</v>
      </c>
      <c r="K170" s="6">
        <f>IFERROR(__xludf.DUMMYFUNCTION("""COMPUTED_VALUE"""),2700.0)</f>
        <v>2700</v>
      </c>
      <c r="L170" s="6">
        <f>IFERROR(__xludf.DUMMYFUNCTION("""COMPUTED_VALUE"""),19.0)</f>
        <v>19</v>
      </c>
      <c r="M170" s="6"/>
      <c r="N170" s="6" t="str">
        <f>IFERROR(__xludf.DUMMYFUNCTION("""COMPUTED_VALUE"""),"Telegram")</f>
        <v>Telegram</v>
      </c>
      <c r="O170" s="6" t="str">
        <f>IFERROR(__xludf.DUMMYFUNCTION("""COMPUTED_VALUE"""),"raw")</f>
        <v>raw</v>
      </c>
      <c r="P170" s="6" t="str">
        <f>IFERROR(__xludf.DUMMYFUNCTION("""COMPUTED_VALUE"""),"Codex")</f>
        <v>Codex</v>
      </c>
      <c r="Q170" s="6" t="str">
        <f>IFERROR(__xludf.DUMMYFUNCTION("""COMPUTED_VALUE"""),"Общий контакт @vice22821; признак связи с проектом")</f>
        <v>Общий контакт @vice22821; признак связи с проектом</v>
      </c>
      <c r="R170" s="6" t="str">
        <f>IFERROR(__xludf.DUMMYFUNCTION("""COMPUTED_VALUE"""),"unknown")</f>
        <v>unknown</v>
      </c>
      <c r="S170" s="6" t="str">
        <f>IFERROR(__xludf.DUMMYFUNCTION("""COMPUTED_VALUE"""),"unknown")</f>
        <v>unknown</v>
      </c>
      <c r="T170" s="6" t="str">
        <f>IFERROR(__xludf.DUMMYFUNCTION("""COMPUTED_VALUE"""),"telegram_external")</f>
        <v>telegram_external</v>
      </c>
      <c r="U170" s="6" t="str">
        <f>IFERROR(__xludf.DUMMYFUNCTION("""COMPUTED_VALUE"""),"Прочий контент")</f>
        <v>Прочий контент</v>
      </c>
      <c r="V170" s="6" t="str">
        <f>IFERROR(__xludf.DUMMYFUNCTION("""COMPUTED_VALUE"""),"")</f>
        <v/>
      </c>
      <c r="W170" s="6" t="str">
        <f>IFERROR(__xludf.DUMMYFUNCTION("""COMPUTED_VALUE"""),"")</f>
        <v/>
      </c>
      <c r="X170" s="6"/>
      <c r="Y170" s="6" t="str">
        <f>IFERROR(__xludf.DUMMYFUNCTION("""COMPUTED_VALUE"""),"https://old.postypashki.ru/%D0%BA%D0%B0%D1%80%D1%8C%D0%B5%D1%80%D0%BD%D1%8B%D0%B5-%D0%BA%D1%83%D1%80%D1%81%D1%8B/
https://old.postypashki.ru/%D1%81%D0%BE%D0%B1%D0%B5%D1%81%D0%B5%D0%B4%D0%BE%D0%B2%D0%B0%D0%BD%D0%B8%D1%8F/")</f>
        <v>https://old.postypashki.ru/%D0%BA%D0%B0%D1%80%D1%8C%D0%B5%D1%80%D0%BD%D1%8B%D0%B5-%D0%BA%D1%83%D1%80%D1%81%D1%8B/
https://old.postypashki.ru/%D1%81%D0%BE%D0%B1%D0%B5%D1%81%D0%B5%D0%B4%D0%BE%D0%B2%D0%B0%D0%BD%D0%B8%D1%8F/</v>
      </c>
      <c r="Z170" s="6" t="b">
        <f>IFERROR(__xludf.DUMMYFUNCTION("""COMPUTED_VALUE"""),TRUE)</f>
        <v>1</v>
      </c>
      <c r="AA170" s="6" t="str">
        <f>IFERROR(__xludf.DUMMYFUNCTION("""COMPUTED_VALUE"""),"")</f>
        <v/>
      </c>
      <c r="AB170" s="6" t="str">
        <f>IFERROR(__xludf.DUMMYFUNCTION("""COMPUTED_VALUE"""),"")</f>
        <v/>
      </c>
      <c r="AC170" s="6" t="str">
        <f>IFERROR(__xludf.DUMMYFUNCTION("""COMPUTED_VALUE"""),"")</f>
        <v/>
      </c>
      <c r="AD170" s="6" t="str">
        <f>IFERROR(__xludf.DUMMYFUNCTION("""COMPUTED_VALUE"""),"")</f>
        <v/>
      </c>
      <c r="AE170" s="6" t="str">
        <f>IFERROR(__xludf.DUMMYFUNCTION("""COMPUTED_VALUE"""),"")</f>
        <v/>
      </c>
      <c r="AF170" s="6" t="str">
        <f>IFERROR(__xludf.DUMMYFUNCTION("""COMPUTED_VALUE"""),"Не подтверждено")</f>
        <v>Не подтверждено</v>
      </c>
      <c r="AG170" s="6" t="str">
        <f>IFERROR(__xludf.DUMMYFUNCTION("""COMPUTED_VALUE"""),"")</f>
        <v/>
      </c>
      <c r="AH170" s="6" t="str">
        <f>IFERROR(__xludf.DUMMYFUNCTION("""COMPUTED_VALUE"""),"2026-09-11T11:47:39.365425+00:00")</f>
        <v>2026-09-11T11:47:39.365425+00:00</v>
      </c>
      <c r="AI170" s="6" t="str">
        <f>IFERROR(__xludf.DUMMYFUNCTION("""COMPUTED_VALUE"""),"raw/zadachi_ds/page_000.html")</f>
        <v>raw/zadachi_ds/page_000.html</v>
      </c>
      <c r="AJ170" s="9" t="s">
        <v>208</v>
      </c>
      <c r="AM170" s="9" t="s">
        <v>226</v>
      </c>
      <c r="AN170" s="6" t="str">
        <f>IFERROR(__xludf.DUMMYFUNCTION("IF(OR(AJ170=""general_brand"",AJ170=""external"",AJ170=""unknown""),"""",IF(AJ170=""product_line"",IF(AK170=""START"",""Аналитика старт | Алгоритмы старт | Backend старт | ML старт"",IF(AK170=""PRO"",""AI-агенты про | Алгоритмы про | Аналитика про | ML пр"&amp;"о | Backend про"",IF(AK170=""START | PRO"",""Аналитика старт | Алгоритмы старт | Backend старт | ML старт | AI-агенты про | Алгоритмы про | Аналитика про | ML про | Backend про"",""""))),TEXTJOIN("" | "",TRUE,IF(REGEXMATCH(LOWER(AL170&amp;"" | ""&amp;E170),""анал"&amp;"итика старт""),""Аналитика старт"",""""),IF(REGEXMATCH(LOWER(AL170&amp;"" | ""&amp;E170),""алгоритмы старт""),""Алгоритмы старт"",""""),IF(REGEXMATCH(LOWER(AL170&amp;"" | ""&amp;E170),""backend старт""),""Backend старт"",""""),IF(REGEXMATCH(LOWER(AL170&amp;"" | ""&amp;E170),""ml"&amp;" старт""),""ML старт"",""""),IF(REGEXMATCH(LOWER(AL170&amp;"" | ""&amp;E170),""ai[ -]?агент""),""AI-агенты про"",""""),IF(REGEXMATCH(LOWER(AL170&amp;"" | ""&amp;E170),""алгоритмы про""),""Алгоритмы про"",""""),IF(REGEXMATCH(LOWER(AL170&amp;"" | ""&amp;E170),""аналитика про""),"""&amp;"Аналитика про"",""""),IF(REGEXMATCH(LOWER(AL170&amp;"" | ""&amp;E170),""ml про""),""ML про"",""""),IF(REGEXMATCH(LOWER(AL170&amp;"" | ""&amp;E170),""backend про""),""Backend про"",""""),IF(REGEXMATCH(LOWER(AL170&amp;"" | ""&amp;E170),""(а/в|ав|а в|ab)[ -]?тест""),""А/В-тесты"","&amp;"""""),IF(REGEXMATCH(LOWER(AL170&amp;"" | ""&amp;E170),""data science""),""Data science"",""""),IF(REGEXMATCH(LOWER(AL170&amp;"" | ""&amp;E170),""data[- ]?инжен""),""Data-инженер"",""""),IF(REGEXMATCH(LOWER(AL170&amp;"" | ""&amp;E170),""frontend""),""Frontend"",""""))))"),"")</f>
        <v/>
      </c>
    </row>
    <row r="171">
      <c r="A171" s="6" t="str">
        <f>IFERROR(__xludf.DUMMYFUNCTION("""COMPUTED_VALUE"""),"EXT-71")</f>
        <v>EXT-71</v>
      </c>
      <c r="B171" s="6" t="str">
        <f>IFERROR(__xludf.DUMMYFUNCTION("""COMPUTED_VALUE"""),"2026-08-25 12:59:58")</f>
        <v>2026-08-25 12:59:58</v>
      </c>
      <c r="C171" s="6" t="str">
        <f>IFERROR(__xludf.DUMMYFUNCTION("""COMPUTED_VALUE"""),"@ProdAnalysis")</f>
        <v>@ProdAnalysis</v>
      </c>
      <c r="D171" s="4" t="str">
        <f>IFERROR(__xludf.DUMMYFUNCTION("""COMPUTED_VALUE"""),"Контент с упоминанием")</f>
        <v>Контент с упоминанием</v>
      </c>
      <c r="E171" s="6" t="str">
        <f>IFERROR(__xludf.DUMMYFUNCTION("""COMPUTED_VALUE"""),"")</f>
        <v/>
      </c>
      <c r="F171" s="6" t="str">
        <f>IFERROR(__xludf.DUMMYFUNCTION("""COMPUTED_VALUE"""),"")</f>
        <v/>
      </c>
      <c r="G171" s="10" t="str">
        <f>IFERROR(__xludf.DUMMYFUNCTION("""COMPUTED_VALUE"""),"https://t.me/ProdAnalysis/154")</f>
        <v>https://t.me/ProdAnalysis/154</v>
      </c>
      <c r="H171" s="6" t="str">
        <f>IFERROR(__xludf.DUMMYFUNCTION("""COMPUTED_VALUE"""),"Как понять, что у вас достаточно знаний, чтобы идти работать в бигтех?
У студентов технических направлений имеется такой стереотип, что вот ""подтяну алгоритмы, сделаю пет-проектик, заботаю SQL и тогда начну откликаться в компании"".
Проходит полгода, пр"&amp;"оходит год, но готовности всё ещё нет. Потому что внезапно оказывается, что надо знать еще очень много разных вещей.
И момент ""теперь я точно готов к работе"" постепенно смещается.
На самом деле, этого ощущения, что вы полностью готовы, может и не появит"&amp;"ься.
Особенно когда смотришь на вакансии бигтехов и сравниваешь себя с людьми, которые уже долгое время работают в этой индустрии.
Но от младших позиций не ожидают каких-то супер-пупер знаний.
Так когда уже можно пробовать?
Хороший знак, если вы уже:
1) "&amp;"уверенно пишете на каком-то языке, не задумываясь о синтаксисе
2) имеете понимание основных алгоритмов и структур данных (с ними мы как раз помогаем разобраться почти с нуля на нашем курсе по алгоритмам)
3) умеете решать относительно примитивные задачи бе"&amp;"з пошаговых подсказок
4) умеете хорошо гуглить (да-да, это очень важный навык, которым обладают далеко не все)
5) можете открыть свой проект и пояснить, почему вы выбрали ту или иную логику или подход
6) знаете основные вещи в своем направлении (для анали"&amp;"тики - это теорвер, матстат, алгоритмы и SQL)
Если большая часть этого про вас, то без зазрения совести можете подаваться на стажировки и джуновские вакансии.
Не после того, как пройдете очередной курс, не после того, как посмотрите еще несколько лекций,"&amp;" потому что думаете, что чего-то не хватает, а здесь и сейчас.
И здесь есть важный поинт:
готовность работать != готовность проходить собеседования.
Вы можете хорошо уметь писать код, но завалить алгоритмическую секцию.
Вы можете хорошо знать ML, но пова"&amp;"литься на примитивных вопросах по статистике.
Это не всегда значит, что рано идти на работу.
Скорее всего, вам нужно отдельно научиться проходить собеседования.
А как же тогда вообще готовиться к собеседованиям?
1) Вам необходимо определиться с направлен"&amp;"ием и посмотреть вакансии и требования к ним
2) Начните решать задачи именно в формате собеседований (писать код без компиляции, задачи на вероятность и статистику решать без всяких подсказок нейронок и уметь это рассказывать так, чтобы даже человек, кото"&amp;"рый вообще ничего не понимает в этом, понял ваше объяснение)
3) Подготовьте рассказ о себе и о своих пет-проектах. (Тут необходимо будет уметь отвечать на все вопросы по проектам из разряда: ""Зачем вообще этот проект?"", ""Какие технологии использовались"&amp;"?"", ""Почему выбирали какой-то конкретный подход?"", ""С какими проблемами сталкивались при работе над проектом?"")
4) Причешите резюме
Поэтому самое лучшее решение в этой ситуации - начать откликаться.
Пройдите первые несколько собеседований и посмотри"&amp;"те на результаты.
Если вас вообще не зовут даже на собеседования, то, скорее всего, дело в резюме и пет-проектах. С этим мы как раз помогаем на нашем курсе по аналитике.
Если вы по результатам собеседований получаете оффер, то вопрос ""Достаточно ли я го"&amp;"тов?"" окончательно закрыт :)
Проходите собеседования, ведь на старте они будут для вас одной из самых главных точек роста, которые помогут выявить ваши слабые места.
Подписаться: @ProdAnalysis")</f>
        <v>Как понять, что у вас достаточно знаний, чтобы идти работать в бигтех?
У студентов технических направлений имеется такой стереотип, что вот "подтяну алгоритмы, сделаю пет-проектик, заботаю SQL и тогда начну откликаться в компании".
Проходит полгода, проходит год, но готовности всё ещё нет. Потому что внезапно оказывается, что надо знать еще очень много разных вещей.
И момент "теперь я точно готов к работе" постепенно смещается.
На самом деле, этого ощущения, что вы полностью готовы, может и не появиться.
Особенно когда смотришь на вакансии бигтехов и сравниваешь себя с людьми, которые уже долгое время работают в этой индустрии.
Но от младших позиций не ожидают каких-то супер-пупер знаний.
Так когда уже можно пробовать?
Хороший знак, если вы уже:
1) уверенно пишете на каком-то языке, не задумываясь о синтаксисе
2) имеете понимание основных алгоритмов и структур данных (с ними мы как раз помогаем разобраться почти с нуля на нашем курсе по алгоритмам)
3) умеете решать относительно примитивные задачи без пошаговых подсказок
4) умеете хорошо гуглить (да-да, это очень важный навык, которым обладают далеко не все)
5) можете открыть свой проект и пояснить, почему вы выбрали ту или иную логику или подход
6) знаете основные вещи в своем направлении (для аналитики - это теорвер, матстат, алгоритмы и SQL)
Если большая часть этого про вас, то без зазрения совести можете подаваться на стажировки и джуновские вакансии.
Не после того, как пройдете очередной курс, не после того, как посмотрите еще несколько лекций, потому что думаете, что чего-то не хватает, а здесь и сейчас.
И здесь есть важный поинт:
готовность работать != готовность проходить собеседования.
Вы можете хорошо уметь писать код, но завалить алгоритмическую секцию.
Вы можете хорошо знать ML, но повалиться на примитивных вопросах по статистике.
Это не всегда значит, что рано идти на работу.
Скорее всего, вам нужно отдельно научиться проходить собеседования.
А как же тогда вообще готовиться к собеседованиям?
1) Вам необходимо определиться с направлением и посмотреть вакансии и требования к ним
2) Начните решать задачи именно в формате собеседований (писать код без компиляции, задачи на вероятность и статистику решать без всяких подсказок нейронок и уметь это рассказывать так, чтобы даже человек, который вообще ничего не понимает в этом, понял ваше объяснение)
3) Подготовьте рассказ о себе и о своих пет-проектах. (Тут необходимо будет уметь отвечать на все вопросы по проектам из разряда: "Зачем вообще этот проект?", "Какие технологии использовались?", "Почему выбирали какой-то конкретный подход?", "С какими проблемами сталкивались при работе над проектом?")
4) Причешите резюме
Поэтому самое лучшее решение в этой ситуации - начать откликаться.
Пройдите первые несколько собеседований и посмотрите на результаты.
Если вас вообще не зовут даже на собеседования, то, скорее всего, дело в резюме и пет-проектах. С этим мы как раз помогаем на нашем курсе по аналитике.
Если вы по результатам собеседований получаете оффер, то вопрос "Достаточно ли я готов?" окончательно закрыт :)
Проходите собеседования, ведь на старте они будут для вас одной из самых главных точек роста, которые помогут выявить ваши слабые места.
Подписаться: @ProdAnalysis</v>
      </c>
      <c r="I171" s="6" t="str">
        <f>IFERROR(__xludf.DUMMYFUNCTION("""COMPUTED_VALUE"""),"external")</f>
        <v>external</v>
      </c>
      <c r="J171" s="10" t="str">
        <f>IFERROR(__xludf.DUMMYFUNCTION("""COMPUTED_VALUE"""),"https://t.me/ProdAnalysis/154")</f>
        <v>https://t.me/ProdAnalysis/154</v>
      </c>
      <c r="K171" s="6">
        <f>IFERROR(__xludf.DUMMYFUNCTION("""COMPUTED_VALUE"""),1120.0)</f>
        <v>1120</v>
      </c>
      <c r="L171" s="6">
        <f>IFERROR(__xludf.DUMMYFUNCTION("""COMPUTED_VALUE"""),6.0)</f>
        <v>6</v>
      </c>
      <c r="M171" s="6"/>
      <c r="N171" s="6" t="str">
        <f>IFERROR(__xludf.DUMMYFUNCTION("""COMPUTED_VALUE"""),"Telegram")</f>
        <v>Telegram</v>
      </c>
      <c r="O171" s="6" t="str">
        <f>IFERROR(__xludf.DUMMYFUNCTION("""COMPUTED_VALUE"""),"raw")</f>
        <v>raw</v>
      </c>
      <c r="P171" s="6" t="str">
        <f>IFERROR(__xludf.DUMMYFUNCTION("""COMPUTED_VALUE"""),"Codex")</f>
        <v>Codex</v>
      </c>
      <c r="Q171" s="6" t="str">
        <f>IFERROR(__xludf.DUMMYFUNCTION("""COMPUTED_VALUE"""),"Общий контакт @vice22821; признак связи с проектом")</f>
        <v>Общий контакт @vice22821; признак связи с проектом</v>
      </c>
      <c r="R171" s="6" t="str">
        <f>IFERROR(__xludf.DUMMYFUNCTION("""COMPUTED_VALUE"""),"unknown")</f>
        <v>unknown</v>
      </c>
      <c r="S171" s="6" t="str">
        <f>IFERROR(__xludf.DUMMYFUNCTION("""COMPUTED_VALUE"""),"unknown")</f>
        <v>unknown</v>
      </c>
      <c r="T171" s="6" t="str">
        <f>IFERROR(__xludf.DUMMYFUNCTION("""COMPUTED_VALUE"""),"telegram_external")</f>
        <v>telegram_external</v>
      </c>
      <c r="U171" s="6" t="str">
        <f>IFERROR(__xludf.DUMMYFUNCTION("""COMPUTED_VALUE"""),"Контент с упоминанием")</f>
        <v>Контент с упоминанием</v>
      </c>
      <c r="V171" s="6" t="str">
        <f>IFERROR(__xludf.DUMMYFUNCTION("""COMPUTED_VALUE"""),"")</f>
        <v/>
      </c>
      <c r="W171" s="6" t="str">
        <f>IFERROR(__xludf.DUMMYFUNCTION("""COMPUTED_VALUE"""),"")</f>
        <v/>
      </c>
      <c r="X171" s="6"/>
      <c r="Y171" s="6" t="str">
        <f>IFERROR(__xludf.DUMMYFUNCTION("""COMPUTED_VALUE"""),"https://old.postypashki.ru/%D0%BA%D0%B0%D1%80%D1%8C%D0%B5%D1%80%D0%BD%D1%8B%D0%B5-%D0%BA%D1%83%D1%80%D1%81%D1%8B/%D0%B0%D0%BB%D0%B3%D0%BE%D1%80%D0%B8%D1%82%D0%BC%D1%8B-%D1%81%D1%82%D0%B0%D1%80%D1%82/
https://old.postypashki.ru/%D0%BA%D0%B0%D1%80%D1%8C%D0%"&amp;"B5%D1%80%D0%BD%D1%8B%D0%B5-%D0%BA%D1%83%D1%80%D1%81%D1%8B/%D0%B0%D0%BD%D0%B0%D0%BB%D0%B8%D1%82%D0%B8%D0%BA%D0%B0-%D1%81%D1%82%D0%B0%D1%80%D1%82/")</f>
        <v>https://old.postypashki.ru/%D0%BA%D0%B0%D1%80%D1%8C%D0%B5%D1%80%D0%BD%D1%8B%D0%B5-%D0%BA%D1%83%D1%80%D1%81%D1%8B/%D0%B0%D0%BB%D0%B3%D0%BE%D1%80%D0%B8%D1%82%D0%BC%D1%8B-%D1%81%D1%82%D0%B0%D1%80%D1%82/
https://old.postypashki.ru/%D0%BA%D0%B0%D1%80%D1%8C%D0%B5%D1%80%D0%BD%D1%8B%D0%B5-%D0%BA%D1%83%D1%80%D1%81%D1%8B/%D0%B0%D0%BD%D0%B0%D0%BB%D0%B8%D1%82%D0%B8%D0%BA%D0%B0-%D1%81%D1%82%D0%B0%D1%80%D1%82/</v>
      </c>
      <c r="Z171" s="6" t="b">
        <f>IFERROR(__xludf.DUMMYFUNCTION("""COMPUTED_VALUE"""),TRUE)</f>
        <v>1</v>
      </c>
      <c r="AA171" s="6" t="str">
        <f>IFERROR(__xludf.DUMMYFUNCTION("""COMPUTED_VALUE"""),"")</f>
        <v/>
      </c>
      <c r="AB171" s="6" t="str">
        <f>IFERROR(__xludf.DUMMYFUNCTION("""COMPUTED_VALUE"""),"")</f>
        <v/>
      </c>
      <c r="AC171" s="6" t="str">
        <f>IFERROR(__xludf.DUMMYFUNCTION("""COMPUTED_VALUE"""),"")</f>
        <v/>
      </c>
      <c r="AD171" s="6" t="str">
        <f>IFERROR(__xludf.DUMMYFUNCTION("""COMPUTED_VALUE"""),"")</f>
        <v/>
      </c>
      <c r="AE171" s="6" t="str">
        <f>IFERROR(__xludf.DUMMYFUNCTION("""COMPUTED_VALUE"""),"")</f>
        <v/>
      </c>
      <c r="AF171" s="6" t="str">
        <f>IFERROR(__xludf.DUMMYFUNCTION("""COMPUTED_VALUE"""),"Не подтверждено")</f>
        <v>Не подтверждено</v>
      </c>
      <c r="AG171" s="6" t="str">
        <f>IFERROR(__xludf.DUMMYFUNCTION("""COMPUTED_VALUE"""),"")</f>
        <v/>
      </c>
      <c r="AH171" s="6" t="str">
        <f>IFERROR(__xludf.DUMMYFUNCTION("""COMPUTED_VALUE"""),"2026-09-11T11:47:34.275826+00:00")</f>
        <v>2026-09-11T11:47:34.275826+00:00</v>
      </c>
      <c r="AI171" s="6" t="str">
        <f>IFERROR(__xludf.DUMMYFUNCTION("""COMPUTED_VALUE"""),"raw/ProdAnalysis/page_000.html")</f>
        <v>raw/ProdAnalysis/page_000.html</v>
      </c>
      <c r="AJ171" s="9" t="s">
        <v>223</v>
      </c>
      <c r="AL171" s="9" t="s">
        <v>256</v>
      </c>
      <c r="AM171" s="9" t="s">
        <v>219</v>
      </c>
      <c r="AN171" s="4" t="str">
        <f>IFERROR(__xludf.DUMMYFUNCTION("IF(OR(AJ171=""general_brand"",AJ171=""external"",AJ171=""unknown""),"""",IF(AJ171=""product_line"",IF(AK171=""START"",""Аналитика старт | Алгоритмы старт | Backend старт | ML старт"",IF(AK171=""PRO"",""AI-агенты про | Алгоритмы про | Аналитика про | ML пр"&amp;"о | Backend про"",IF(AK171=""START | PRO"",""Аналитика старт | Алгоритмы старт | Backend старт | ML старт | AI-агенты про | Алгоритмы про | Аналитика про | ML про | Backend про"",""""))),TEXTJOIN("" | "",TRUE,IF(REGEXMATCH(LOWER(AL171&amp;"" | ""&amp;E171),""анал"&amp;"итика старт""),""Аналитика старт"",""""),IF(REGEXMATCH(LOWER(AL171&amp;"" | ""&amp;E171),""алгоритмы старт""),""Алгоритмы старт"",""""),IF(REGEXMATCH(LOWER(AL171&amp;"" | ""&amp;E171),""backend старт""),""Backend старт"",""""),IF(REGEXMATCH(LOWER(AL171&amp;"" | ""&amp;E171),""ml"&amp;" старт""),""ML старт"",""""),IF(REGEXMATCH(LOWER(AL171&amp;"" | ""&amp;E171),""ai[ -]?агент""),""AI-агенты про"",""""),IF(REGEXMATCH(LOWER(AL171&amp;"" | ""&amp;E171),""алгоритмы про""),""Алгоритмы про"",""""),IF(REGEXMATCH(LOWER(AL171&amp;"" | ""&amp;E171),""аналитика про""),"""&amp;"Аналитика про"",""""),IF(REGEXMATCH(LOWER(AL171&amp;"" | ""&amp;E171),""ml про""),""ML про"",""""),IF(REGEXMATCH(LOWER(AL171&amp;"" | ""&amp;E171),""backend про""),""Backend про"",""""),IF(REGEXMATCH(LOWER(AL171&amp;"" | ""&amp;E171),""(а/в|ав|а в|ab)[ -]?тест""),""А/В-тесты"","&amp;"""""),IF(REGEXMATCH(LOWER(AL171&amp;"" | ""&amp;E171),""data science""),""Data science"",""""),IF(REGEXMATCH(LOWER(AL171&amp;"" | ""&amp;E171),""data[- ]?инжен""),""Data-инженер"",""""),IF(REGEXMATCH(LOWER(AL171&amp;"" | ""&amp;E171),""frontend""),""Frontend"",""""))))"),"")</f>
        <v/>
      </c>
    </row>
    <row r="172">
      <c r="A172" s="6" t="str">
        <f>IFERROR(__xludf.DUMMYFUNCTION("""COMPUTED_VALUE"""),"EXT-72")</f>
        <v>EXT-72</v>
      </c>
      <c r="B172" s="6" t="str">
        <f>IFERROR(__xludf.DUMMYFUNCTION("""COMPUTED_VALUE"""),"2026-08-25 19:10:56")</f>
        <v>2026-08-25 19:10:56</v>
      </c>
      <c r="C172" s="6" t="str">
        <f>IFERROR(__xludf.DUMMYFUNCTION("""COMPUTED_VALUE"""),"@algoses")</f>
        <v>@algoses</v>
      </c>
      <c r="D172" s="4" t="str">
        <f>IFERROR(__xludf.DUMMYFUNCTION("""COMPUTED_VALUE"""),"Запуск / набор")</f>
        <v>Запуск / набор</v>
      </c>
      <c r="E172" s="6" t="str">
        <f>IFERROR(__xludf.DUMMYFUNCTION("""COMPUTED_VALUE"""),"")</f>
        <v/>
      </c>
      <c r="F172" s="6" t="str">
        <f>IFERROR(__xludf.DUMMYFUNCTION("""COMPUTED_VALUE"""),"")</f>
        <v/>
      </c>
      <c r="G172" s="10" t="str">
        <f>IFERROR(__xludf.DUMMYFUNCTION("""COMPUTED_VALUE"""),"https://t.me/algoses/615")</f>
        <v>https://t.me/algoses/615</v>
      </c>
      <c r="H172" s="6" t="str">
        <f>IFERROR(__xludf.DUMMYFUNCTION("""COMPUTED_VALUE"""),"Выходим на новый уровень с линейкой 1️⃣1️⃣1️⃣
Товарищи, если база уже есть, то следующий шаг — углубиться в специализацию, закрыть пробелы, освоить новые инструменты и стать сильнее как специалист.
Для этого мы запускаем ПРО — углублённые карьерные курс"&amp;"ы для тех, кто хочет качать карьеру и заработок! Для записи и вопросов — пишите менеджеру
📎Курсы ПРО подойдут тем, кто:
— уже знает основы и хочет глубже разобраться в своей специализации
— хочет перейти с junior на middle и расти дальше
— готовится к "&amp;"собеседованиям на более сильные позиции
— хочет сменить роль и добрать недостающие навыки
— уже на старте имеет сильную базу и хочет целиться выше стажёрских и junior-позиций
➡️Действует гарантия: прошел курс, выполнил все рекомендации, но не получил офф"&amp;"ер — вернем деньги
➡️Курс длится 6 недель: теория, практика, домашние задания и пет-проект. Всё это время рядом преподаватель и куратор.
Открываем сразу 5 направлений:
➡️Аналитика ПРО
Продвинутый SQL, A/B-тесты, эконометрика, Causal Inference и ML.
➡️M"&amp;"L ПРО
Вывод модели в прод, MLOps, рекомендательные системы, ранжирование, uplift и динамическое преобразование.
➡️Backend ПРО
Многопоточка, System Desgin, Микросервисы, базы данных, кеширование, мониторинг и распределённые системы.
➡️Алгоритмы ПРО
Продв"&amp;"инутые алгоритмы и задачи для сложных технических интервью в hft фонды, faang+, для олимпиад и контестов.
➡️ИИ-агенты ПРО 
Будем разбираться не просто в LLM. Вы научитесь проектировать полноценные агентные системы и за курс соберём 5 собственных AI-агент"&amp;"ов и пройдём весь путь от архитектуры и инструментов до работы с RAG, multi-agent системами, MCP, evals и деплоем.
В программу всех курсов войдет:
🔵закрытый банк вопросов с интервью топовых бигтехов
🔵разбор ближайшей стажировки в Т-банк и Яндекс 
🔵moc"&amp;"k-собеседования с обратной связью
🔵рефералка в бигтех после защиты пет-проекта
🔵карьерная стратегия: резюме, поиск вакансий, подготовка к HR секциям
💰Бонус для всех записавшихся до 23.08 — курс про поиск валютной удалёнки и работы за рубежом в подарок")</f>
        <v>Выходим на новый уровень с линейкой 1️⃣1️⃣1️⃣
Товарищи, если база уже есть, то следующий шаг — углубиться в специализацию, закрыть пробелы, освоить новые инструменты и стать сильнее как специалист.
Для этого мы запускаем ПРО — углублённые карьерные курсы для тех, кто хочет качать карьеру и заработок! Для записи и вопросов — пишите менеджеру
📎Курсы ПРО подойдут тем, кто:
— уже знает основы и хочет глубже разобраться в своей специализации
— хочет перейти с junior на middle и расти дальше
— готовится к собеседованиям на более сильные позиции
— хочет сменить роль и добрать недостающие навыки
— уже на старте имеет сильную базу и хочет целиться выше стажёрских и junior-позиций
➡️Действует гарантия: прошел курс, выполнил все рекомендации, но не получил оффер — вернем деньги
➡️Курс длится 6 недель: теория, практика, домашние задания и пет-проект. Всё это время рядом преподаватель и куратор.
Открываем сразу 5 направлений:
➡️Аналитика ПРО
Продвинутый SQL, A/B-тесты, эконометрика, Causal Inference и ML.
➡️ML ПРО
Вывод модели в прод, MLOps, рекомендательные системы, ранжирование, uplift и динамическое преобразование.
➡️Backend ПРО
Многопоточка, System Desgin, Микросервисы, базы данных, кеширование, мониторинг и распределённые системы.
➡️Алгоритмы ПРО
Продвинутые алгоритмы и задачи для сложных технических интервью в hft фонды, faang+, для олимпиад и контестов.
➡️ИИ-агенты ПРО 
Будем разбираться не просто в LLM. Вы научитесь проектировать полноценные агентные системы и за курс соберём 5 собственных AI-агентов и пройдём весь путь от архитектуры и инструментов до работы с RAG, multi-agent системами, MCP, evals и деплоем.
В программу всех курсов войдет:
🔵закрытый банк вопросов с интервью топовых бигтехов
🔵разбор ближайшей стажировки в Т-банк и Яндекс 
🔵mock-собеседования с обратной связью
🔵рефералка в бигтех после защиты пет-проекта
🔵карьерная стратегия: резюме, поиск вакансий, подготовка к HR секциям
💰Бонус для всех записавшихся до 23.08 — курс про поиск валютной удалёнки и работы за рубежом в подарок</v>
      </c>
      <c r="I172" s="6" t="str">
        <f>IFERROR(__xludf.DUMMYFUNCTION("""COMPUTED_VALUE"""),"external")</f>
        <v>external</v>
      </c>
      <c r="J172" s="10" t="str">
        <f>IFERROR(__xludf.DUMMYFUNCTION("""COMPUTED_VALUE"""),"https://t.me/algoses/615")</f>
        <v>https://t.me/algoses/615</v>
      </c>
      <c r="K172" s="6">
        <f>IFERROR(__xludf.DUMMYFUNCTION("""COMPUTED_VALUE"""),1780.0)</f>
        <v>1780</v>
      </c>
      <c r="L172" s="6">
        <f>IFERROR(__xludf.DUMMYFUNCTION("""COMPUTED_VALUE"""),2.0)</f>
        <v>2</v>
      </c>
      <c r="M172" s="6"/>
      <c r="N172" s="6" t="str">
        <f>IFERROR(__xludf.DUMMYFUNCTION("""COMPUTED_VALUE"""),"Telegram")</f>
        <v>Telegram</v>
      </c>
      <c r="O172" s="6" t="str">
        <f>IFERROR(__xludf.DUMMYFUNCTION("""COMPUTED_VALUE"""),"raw")</f>
        <v>raw</v>
      </c>
      <c r="P172" s="6" t="str">
        <f>IFERROR(__xludf.DUMMYFUNCTION("""COMPUTED_VALUE"""),"Codex")</f>
        <v>Codex</v>
      </c>
      <c r="Q172" s="6" t="str">
        <f>IFERROR(__xludf.DUMMYFUNCTION("""COMPUTED_VALUE"""),"Общий контакт @vice22821; признак связи с проектом")</f>
        <v>Общий контакт @vice22821; признак связи с проектом</v>
      </c>
      <c r="R172" s="6" t="str">
        <f>IFERROR(__xludf.DUMMYFUNCTION("""COMPUTED_VALUE"""),"unknown")</f>
        <v>unknown</v>
      </c>
      <c r="S172" s="6" t="str">
        <f>IFERROR(__xludf.DUMMYFUNCTION("""COMPUTED_VALUE"""),"unknown")</f>
        <v>unknown</v>
      </c>
      <c r="T172" s="6" t="str">
        <f>IFERROR(__xludf.DUMMYFUNCTION("""COMPUTED_VALUE"""),"telegram_external")</f>
        <v>telegram_external</v>
      </c>
      <c r="U172" s="6" t="str">
        <f>IFERROR(__xludf.DUMMYFUNCTION("""COMPUTED_VALUE"""),"Запуск / набор")</f>
        <v>Запуск / набор</v>
      </c>
      <c r="V172" s="6" t="str">
        <f>IFERROR(__xludf.DUMMYFUNCTION("""COMPUTED_VALUE"""),"")</f>
        <v/>
      </c>
      <c r="W172" s="6" t="str">
        <f>IFERROR(__xludf.DUMMYFUNCTION("""COMPUTED_VALUE"""),"")</f>
        <v/>
      </c>
      <c r="X172" s="6" t="str">
        <f>IFERROR(__xludf.DUMMYFUNCTION("""COMPUTED_VALUE"""),"Forwarded from Поступашки - ШАД, Стажировки и Магистратура")</f>
        <v>Forwarded from Поступашки - ШАД, Стажировки и Магистратура</v>
      </c>
      <c r="Y172" s="6" t="str">
        <f>IFERROR(__xludf.DUMMYFUNCTION("""COMPUTED_VALUE"""),"https://t.me/postypashki_old/1859
https://t.me/m/p94YcePXNjcy
https://old.postypashki.ru/%D0%BA%D0%B0%D1%80%D1%8C%D0%B5%D1%80%D0%BD%D1%8B%D0%B5-%D0%BA%D1%83%D1%80%D1%81%D1%8B/%D0%B0%D0%BD%D0%B0%D0%BB%D0%B8%D1%82%D0%B8%D0%BA%D0%B0-%D1%85%D0%B0%D1%80%D0%B4/"&amp;"
https://old.postypashki.ru/%D0%BA%D0%B0%D1%80%D1%8C%D0%B5%D1%80%D0%BD%D1%8B%D0%B5-%D0%BA%D1%83%D1%80%D1%81%D1%8B/ml-%D1%85%D0%B0%D1%80%D0%B4/
https://old.postypashki.ru/%D0%BA%D0%B0%D1%80%D1%8C%D0%B5%D1%80%D0%BD%D1%8B%D0%B5-%D0%BA%D1%83%D1%80%D1%81%D1%8B"&amp;"/backend-%D1%85%D0%B0%D1%80%D0%B4/
https://old.postypashki.ru/%D0%BA%D0%B0%D1%80%D1%8C%D0%B5%D1%80%D0%BD%D1%8B%D0%B5-%D0%BA%D1%83%D1%80%D1%81%D1%8B/%D0%B0%D0%BB%D0%B3%D0%BE%D1%80%D0%B8%D1%82%D0%BC%D1%8B-%D1%85%D0%B0%D1%80%D0%B4/
https://old.postypashki.ru"&amp;"/%D0%BA%D0%B0%D1%80%D1%8C%D0%B5%D1%80%D0%BD%D1%8B%D0%B5-%D0%BA%D1%83%D1%80%D1%81%D1%8B/ai-%D0%B0%D0%B3%D0%B5%D0%BD%D1%82%D1%8B-%D0%BF%D1%80%D0%BE/")</f>
        <v>https://t.me/postypashki_old/1859
https://t.me/m/p94YcePXNjcy
https://old.postypashki.ru/%D0%BA%D0%B0%D1%80%D1%8C%D0%B5%D1%80%D0%BD%D1%8B%D0%B5-%D0%BA%D1%83%D1%80%D1%81%D1%8B/%D0%B0%D0%BD%D0%B0%D0%BB%D0%B8%D1%82%D0%B8%D0%BA%D0%B0-%D1%85%D0%B0%D1%80%D0%B4/
https://old.postypashki.ru/%D0%BA%D0%B0%D1%80%D1%8C%D0%B5%D1%80%D0%BD%D1%8B%D0%B5-%D0%BA%D1%83%D1%80%D1%81%D1%8B/ml-%D1%85%D0%B0%D1%80%D0%B4/
https://old.postypashki.ru/%D0%BA%D0%B0%D1%80%D1%8C%D0%B5%D1%80%D0%BD%D1%8B%D0%B5-%D0%BA%D1%83%D1%80%D1%81%D1%8B/backend-%D1%85%D0%B0%D1%80%D0%B4/
https://old.postypashki.ru/%D0%BA%D0%B0%D1%80%D1%8C%D0%B5%D1%80%D0%BD%D1%8B%D0%B5-%D0%BA%D1%83%D1%80%D1%81%D1%8B/%D0%B0%D0%BB%D0%B3%D0%BE%D1%80%D0%B8%D1%82%D0%BC%D1%8B-%D1%85%D0%B0%D1%80%D0%B4/
https://old.postypashki.ru/%D0%BA%D0%B0%D1%80%D1%8C%D0%B5%D1%80%D0%BD%D1%8B%D0%B5-%D0%BA%D1%83%D1%80%D1%81%D1%8B/ai-%D0%B0%D0%B3%D0%B5%D0%BD%D1%82%D1%8B-%D0%BF%D1%80%D0%BE/</v>
      </c>
      <c r="Z172" s="6" t="b">
        <f>IFERROR(__xludf.DUMMYFUNCTION("""COMPUTED_VALUE"""),TRUE)</f>
        <v>1</v>
      </c>
      <c r="AA172" s="6" t="str">
        <f>IFERROR(__xludf.DUMMYFUNCTION("""COMPUTED_VALUE"""),"")</f>
        <v/>
      </c>
      <c r="AB172" s="6" t="str">
        <f>IFERROR(__xludf.DUMMYFUNCTION("""COMPUTED_VALUE"""),"")</f>
        <v/>
      </c>
      <c r="AC172" s="6" t="str">
        <f>IFERROR(__xludf.DUMMYFUNCTION("""COMPUTED_VALUE"""),"")</f>
        <v/>
      </c>
      <c r="AD172" s="6" t="str">
        <f>IFERROR(__xludf.DUMMYFUNCTION("""COMPUTED_VALUE"""),"")</f>
        <v/>
      </c>
      <c r="AE172" s="6" t="str">
        <f>IFERROR(__xludf.DUMMYFUNCTION("""COMPUTED_VALUE"""),"")</f>
        <v/>
      </c>
      <c r="AF172" s="6" t="str">
        <f>IFERROR(__xludf.DUMMYFUNCTION("""COMPUTED_VALUE"""),"Не подтверждено")</f>
        <v>Не подтверждено</v>
      </c>
      <c r="AG172" s="6" t="str">
        <f>IFERROR(__xludf.DUMMYFUNCTION("""COMPUTED_VALUE"""),"")</f>
        <v/>
      </c>
      <c r="AH172" s="6" t="str">
        <f>IFERROR(__xludf.DUMMYFUNCTION("""COMPUTED_VALUE"""),"2026-09-11T11:47:43.784081+00:00")</f>
        <v>2026-09-11T11:47:43.784081+00:00</v>
      </c>
      <c r="AI172" s="6" t="str">
        <f>IFERROR(__xludf.DUMMYFUNCTION("""COMPUTED_VALUE"""),"raw/algoses/page_000.html")</f>
        <v>raw/algoses/page_000.html</v>
      </c>
      <c r="AJ172" s="9" t="s">
        <v>223</v>
      </c>
      <c r="AK172" s="9" t="s">
        <v>242</v>
      </c>
      <c r="AL172" s="9" t="s">
        <v>244</v>
      </c>
      <c r="AM172" s="9" t="s">
        <v>237</v>
      </c>
      <c r="AN172" s="4" t="str">
        <f>IFERROR(__xludf.DUMMYFUNCTION("IF(OR(AJ172=""general_brand"",AJ172=""external"",AJ172=""unknown""),"""",IF(AJ172=""product_line"",IF(AK172=""START"",""Аналитика старт | Алгоритмы старт | Backend старт | ML старт"",IF(AK172=""PRO"",""AI-агенты про | Алгоритмы про | Аналитика про | ML пр"&amp;"о | Backend про"",IF(AK172=""START | PRO"",""Аналитика старт | Алгоритмы старт | Backend старт | ML старт | AI-агенты про | Алгоритмы про | Аналитика про | ML про | Backend про"",""""))),TEXTJOIN("" | "",TRUE,IF(REGEXMATCH(LOWER(AL172&amp;"" | ""&amp;E172),""анал"&amp;"итика старт""),""Аналитика старт"",""""),IF(REGEXMATCH(LOWER(AL172&amp;"" | ""&amp;E172),""алгоритмы старт""),""Алгоритмы старт"",""""),IF(REGEXMATCH(LOWER(AL172&amp;"" | ""&amp;E172),""backend старт""),""Backend старт"",""""),IF(REGEXMATCH(LOWER(AL172&amp;"" | ""&amp;E172),""ml"&amp;" старт""),""ML старт"",""""),IF(REGEXMATCH(LOWER(AL172&amp;"" | ""&amp;E172),""ai[ -]?агент""),""AI-агенты про"",""""),IF(REGEXMATCH(LOWER(AL172&amp;"" | ""&amp;E172),""алгоритмы про""),""Алгоритмы про"",""""),IF(REGEXMATCH(LOWER(AL172&amp;"" | ""&amp;E172),""аналитика про""),"""&amp;"Аналитика про"",""""),IF(REGEXMATCH(LOWER(AL172&amp;"" | ""&amp;E172),""ml про""),""ML про"",""""),IF(REGEXMATCH(LOWER(AL172&amp;"" | ""&amp;E172),""backend про""),""Backend про"",""""),IF(REGEXMATCH(LOWER(AL172&amp;"" | ""&amp;E172),""(а/в|ав|а в|ab)[ -]?тест""),""А/В-тесты"","&amp;"""""),IF(REGEXMATCH(LOWER(AL172&amp;"" | ""&amp;E172),""data science""),""Data science"",""""),IF(REGEXMATCH(LOWER(AL172&amp;"" | ""&amp;E172),""data[- ]?инжен""),""Data-инженер"",""""),IF(REGEXMATCH(LOWER(AL172&amp;"" | ""&amp;E172),""frontend""),""Frontend"",""""))))"),"AI-агенты про | Алгоритмы про | Аналитика про | ML про | Backend про")</f>
        <v>AI-агенты про | Алгоритмы про | Аналитика про | ML про | Backend про</v>
      </c>
    </row>
    <row r="173">
      <c r="A173" s="6" t="str">
        <f>IFERROR(__xludf.DUMMYFUNCTION("""COMPUTED_VALUE"""),"EXT-73")</f>
        <v>EXT-73</v>
      </c>
      <c r="B173" s="6" t="str">
        <f>IFERROR(__xludf.DUMMYFUNCTION("""COMPUTED_VALUE"""),"2026-08-25 15:25:21")</f>
        <v>2026-08-25 15:25:21</v>
      </c>
      <c r="C173" s="6" t="str">
        <f>IFERROR(__xludf.DUMMYFUNCTION("""COMPUTED_VALUE"""),"@postypashki_mems")</f>
        <v>@postypashki_mems</v>
      </c>
      <c r="D173" s="4" t="str">
        <f>IFERROR(__xludf.DUMMYFUNCTION("""COMPUTED_VALUE"""),"Запуск / набор")</f>
        <v>Запуск / набор</v>
      </c>
      <c r="E173" s="6" t="str">
        <f>IFERROR(__xludf.DUMMYFUNCTION("""COMPUTED_VALUE"""),"")</f>
        <v/>
      </c>
      <c r="F173" s="6" t="str">
        <f>IFERROR(__xludf.DUMMYFUNCTION("""COMPUTED_VALUE"""),"")</f>
        <v/>
      </c>
      <c r="G173" s="10" t="str">
        <f>IFERROR(__xludf.DUMMYFUNCTION("""COMPUTED_VALUE"""),"https://t.me/postypashki_mems/1398")</f>
        <v>https://t.me/postypashki_mems/1398</v>
      </c>
      <c r="H173" s="6" t="str">
        <f>IFERROR(__xludf.DUMMYFUNCTION("""COMPUTED_VALUE"""),"Выходим на новый уровень с линейкой 1️⃣1️⃣1️⃣
Товарищи, если база уже есть, то следующий шаг — углубиться в специализацию, закрыть пробелы, освоить новые инструменты и стать сильнее как специалист.
Для этого мы запускаем ПРО — углублённые карьерные курс"&amp;"ы для тех, кто хочет качать карьеру и заработок! Для записи и вопросов — пишите менеджеру
📎Курсы ПРО подойдут тем, кто:
— уже знает основы и хочет глубже разобраться в своей специализации
— хочет перейти с junior на middle и расти дальше
— готовится к "&amp;"собеседованиям на более сильные позиции
— хочет сменить роль и добрать недостающие навыки
— уже на старте имеет сильную базу и хочет целиться выше стажёрских и junior-позиций
➡️Действует гарантия: прошел курс, выполнил все рекомендации, но не получил офф"&amp;"ер — вернем деньги
➡️Курс длится 6 недель: теория, практика, домашние задания и пет-проект. Всё это время рядом преподаватель и куратор.
Открываем сразу 5 направлений:
➡️Аналитика ПРО
Продвинутый SQL, A/B-тесты, эконометрика, Causal Inference и ML.
➡️M"&amp;"L ПРО
Вывод модели в прод, MLOps, рекомендательные системы, ранжирование, uplift и динамическое преобразование.
➡️Backend ПРО
Многопоточка, System Desgin, Микросервисы, базы данных, кеширование, мониторинг и распределённые системы.
➡️Алгоритмы ПРО
Продв"&amp;"инутые алгоритмы и задачи для сложных технических интервью в hft фонды, faang+, для олимпиад и контестов.
➡️ИИ-агенты ПРО 
Будем разбираться не просто в LLM. Вы научитесь проектировать полноценные агентные системы и за курс соберём 5 собственных AI-агент"&amp;"ов и пройдём весь путь от архитектуры и инструментов до работы с RAG, multi-agent системами, MCP, evals и деплоем.
В программу всех курсов войдет:
🔵закрытый банк вопросов с интервью топовых бигтехов
🔵разбор ближайшей стажировки в Т-банк и Яндекс 
🔵moc"&amp;"k-собеседования с обратной связью
🔵рефералка в бигтех после защиты пет-проекта
🔵карьерная стратегия: резюме, поиск вакансий, подготовка к HR секциям
💰Бонус для всех записавшихся до 23.08 — курс про поиск валютной удалёнки и работы за рубежом в подарок")</f>
        <v>Выходим на новый уровень с линейкой 1️⃣1️⃣1️⃣
Товарищи, если база уже есть, то следующий шаг — углубиться в специализацию, закрыть пробелы, освоить новые инструменты и стать сильнее как специалист.
Для этого мы запускаем ПРО — углублённые карьерные курсы для тех, кто хочет качать карьеру и заработок! Для записи и вопросов — пишите менеджеру
📎Курсы ПРО подойдут тем, кто:
— уже знает основы и хочет глубже разобраться в своей специализации
— хочет перейти с junior на middle и расти дальше
— готовится к собеседованиям на более сильные позиции
— хочет сменить роль и добрать недостающие навыки
— уже на старте имеет сильную базу и хочет целиться выше стажёрских и junior-позиций
➡️Действует гарантия: прошел курс, выполнил все рекомендации, но не получил оффер — вернем деньги
➡️Курс длится 6 недель: теория, практика, домашние задания и пет-проект. Всё это время рядом преподаватель и куратор.
Открываем сразу 5 направлений:
➡️Аналитика ПРО
Продвинутый SQL, A/B-тесты, эконометрика, Causal Inference и ML.
➡️ML ПРО
Вывод модели в прод, MLOps, рекомендательные системы, ранжирование, uplift и динамическое преобразование.
➡️Backend ПРО
Многопоточка, System Desgin, Микросервисы, базы данных, кеширование, мониторинг и распределённые системы.
➡️Алгоритмы ПРО
Продвинутые алгоритмы и задачи для сложных технических интервью в hft фонды, faang+, для олимпиад и контестов.
➡️ИИ-агенты ПРО 
Будем разбираться не просто в LLM. Вы научитесь проектировать полноценные агентные системы и за курс соберём 5 собственных AI-агентов и пройдём весь путь от архитектуры и инструментов до работы с RAG, multi-agent системами, MCP, evals и деплоем.
В программу всех курсов войдет:
🔵закрытый банк вопросов с интервью топовых бигтехов
🔵разбор ближайшей стажировки в Т-банк и Яндекс 
🔵mock-собеседования с обратной связью
🔵рефералка в бигтех после защиты пет-проекта
🔵карьерная стратегия: резюме, поиск вакансий, подготовка к HR секциям
💰Бонус для всех записавшихся до 23.08 — курс про поиск валютной удалёнки и работы за рубежом в подарок</v>
      </c>
      <c r="I173" s="6" t="str">
        <f>IFERROR(__xludf.DUMMYFUNCTION("""COMPUTED_VALUE"""),"external")</f>
        <v>external</v>
      </c>
      <c r="J173" s="10" t="str">
        <f>IFERROR(__xludf.DUMMYFUNCTION("""COMPUTED_VALUE"""),"https://t.me/postypashki_mems/1398")</f>
        <v>https://t.me/postypashki_mems/1398</v>
      </c>
      <c r="K173" s="6">
        <f>IFERROR(__xludf.DUMMYFUNCTION("""COMPUTED_VALUE"""),2140.0)</f>
        <v>2140</v>
      </c>
      <c r="L173" s="6">
        <f>IFERROR(__xludf.DUMMYFUNCTION("""COMPUTED_VALUE"""),7.0)</f>
        <v>7</v>
      </c>
      <c r="M173" s="6"/>
      <c r="N173" s="6" t="str">
        <f>IFERROR(__xludf.DUMMYFUNCTION("""COMPUTED_VALUE"""),"Telegram")</f>
        <v>Telegram</v>
      </c>
      <c r="O173" s="6" t="str">
        <f>IFERROR(__xludf.DUMMYFUNCTION("""COMPUTED_VALUE"""),"raw")</f>
        <v>raw</v>
      </c>
      <c r="P173" s="6" t="str">
        <f>IFERROR(__xludf.DUMMYFUNCTION("""COMPUTED_VALUE"""),"Codex")</f>
        <v>Codex</v>
      </c>
      <c r="Q173" s="6" t="str">
        <f>IFERROR(__xludf.DUMMYFUNCTION("""COMPUTED_VALUE"""),"Общий контакт @vice22821; признак связи с проектом")</f>
        <v>Общий контакт @vice22821; признак связи с проектом</v>
      </c>
      <c r="R173" s="6" t="str">
        <f>IFERROR(__xludf.DUMMYFUNCTION("""COMPUTED_VALUE"""),"unknown")</f>
        <v>unknown</v>
      </c>
      <c r="S173" s="6" t="str">
        <f>IFERROR(__xludf.DUMMYFUNCTION("""COMPUTED_VALUE"""),"unknown")</f>
        <v>unknown</v>
      </c>
      <c r="T173" s="6" t="str">
        <f>IFERROR(__xludf.DUMMYFUNCTION("""COMPUTED_VALUE"""),"telegram_external")</f>
        <v>telegram_external</v>
      </c>
      <c r="U173" s="6" t="str">
        <f>IFERROR(__xludf.DUMMYFUNCTION("""COMPUTED_VALUE"""),"Запуск / набор")</f>
        <v>Запуск / набор</v>
      </c>
      <c r="V173" s="6" t="str">
        <f>IFERROR(__xludf.DUMMYFUNCTION("""COMPUTED_VALUE"""),"")</f>
        <v/>
      </c>
      <c r="W173" s="6" t="str">
        <f>IFERROR(__xludf.DUMMYFUNCTION("""COMPUTED_VALUE"""),"")</f>
        <v/>
      </c>
      <c r="X173" s="6" t="str">
        <f>IFERROR(__xludf.DUMMYFUNCTION("""COMPUTED_VALUE"""),"Forwarded from Поступашки - ШАД, Стажировки и Магистратура")</f>
        <v>Forwarded from Поступашки - ШАД, Стажировки и Магистратура</v>
      </c>
      <c r="Y173" s="6" t="str">
        <f>IFERROR(__xludf.DUMMYFUNCTION("""COMPUTED_VALUE"""),"https://t.me/postypashki_old/1859
https://t.me/m/p94YcePXNjcy
https://old.postypashki.ru/%D0%BA%D0%B0%D1%80%D1%8C%D0%B5%D1%80%D0%BD%D1%8B%D0%B5-%D0%BA%D1%83%D1%80%D1%81%D1%8B/%D0%B0%D0%BD%D0%B0%D0%BB%D0%B8%D1%82%D0%B8%D0%BA%D0%B0-%D1%85%D0%B0%D1%80%D0%B4/"&amp;"
https://old.postypashki.ru/%D0%BA%D0%B0%D1%80%D1%8C%D0%B5%D1%80%D0%BD%D1%8B%D0%B5-%D0%BA%D1%83%D1%80%D1%81%D1%8B/ml-%D1%85%D0%B0%D1%80%D0%B4/
https://old.postypashki.ru/%D0%BA%D0%B0%D1%80%D1%8C%D0%B5%D1%80%D0%BD%D1%8B%D0%B5-%D0%BA%D1%83%D1%80%D1%81%D1%8B"&amp;"/backend-%D1%85%D0%B0%D1%80%D0%B4/
https://old.postypashki.ru/%D0%BA%D0%B0%D1%80%D1%8C%D0%B5%D1%80%D0%BD%D1%8B%D0%B5-%D0%BA%D1%83%D1%80%D1%81%D1%8B/%D0%B0%D0%BB%D0%B3%D0%BE%D1%80%D0%B8%D1%82%D0%BC%D1%8B-%D1%85%D0%B0%D1%80%D0%B4/
https://old.postypashki.ru"&amp;"/%D0%BA%D0%B0%D1%80%D1%8C%D0%B5%D1%80%D0%BD%D1%8B%D0%B5-%D0%BA%D1%83%D1%80%D1%81%D1%8B/ai-%D0%B0%D0%B3%D0%B5%D0%BD%D1%82%D1%8B-%D0%BF%D1%80%D0%BE/")</f>
        <v>https://t.me/postypashki_old/1859
https://t.me/m/p94YcePXNjcy
https://old.postypashki.ru/%D0%BA%D0%B0%D1%80%D1%8C%D0%B5%D1%80%D0%BD%D1%8B%D0%B5-%D0%BA%D1%83%D1%80%D1%81%D1%8B/%D0%B0%D0%BD%D0%B0%D0%BB%D0%B8%D1%82%D0%B8%D0%BA%D0%B0-%D1%85%D0%B0%D1%80%D0%B4/
https://old.postypashki.ru/%D0%BA%D0%B0%D1%80%D1%8C%D0%B5%D1%80%D0%BD%D1%8B%D0%B5-%D0%BA%D1%83%D1%80%D1%81%D1%8B/ml-%D1%85%D0%B0%D1%80%D0%B4/
https://old.postypashki.ru/%D0%BA%D0%B0%D1%80%D1%8C%D0%B5%D1%80%D0%BD%D1%8B%D0%B5-%D0%BA%D1%83%D1%80%D1%81%D1%8B/backend-%D1%85%D0%B0%D1%80%D0%B4/
https://old.postypashki.ru/%D0%BA%D0%B0%D1%80%D1%8C%D0%B5%D1%80%D0%BD%D1%8B%D0%B5-%D0%BA%D1%83%D1%80%D1%81%D1%8B/%D0%B0%D0%BB%D0%B3%D0%BE%D1%80%D0%B8%D1%82%D0%BC%D1%8B-%D1%85%D0%B0%D1%80%D0%B4/
https://old.postypashki.ru/%D0%BA%D0%B0%D1%80%D1%8C%D0%B5%D1%80%D0%BD%D1%8B%D0%B5-%D0%BA%D1%83%D1%80%D1%81%D1%8B/ai-%D0%B0%D0%B3%D0%B5%D0%BD%D1%82%D1%8B-%D0%BF%D1%80%D0%BE/</v>
      </c>
      <c r="Z173" s="6" t="b">
        <f>IFERROR(__xludf.DUMMYFUNCTION("""COMPUTED_VALUE"""),TRUE)</f>
        <v>1</v>
      </c>
      <c r="AA173" s="6" t="str">
        <f>IFERROR(__xludf.DUMMYFUNCTION("""COMPUTED_VALUE"""),"")</f>
        <v/>
      </c>
      <c r="AB173" s="6" t="str">
        <f>IFERROR(__xludf.DUMMYFUNCTION("""COMPUTED_VALUE"""),"")</f>
        <v/>
      </c>
      <c r="AC173" s="6" t="str">
        <f>IFERROR(__xludf.DUMMYFUNCTION("""COMPUTED_VALUE"""),"")</f>
        <v/>
      </c>
      <c r="AD173" s="6" t="str">
        <f>IFERROR(__xludf.DUMMYFUNCTION("""COMPUTED_VALUE"""),"")</f>
        <v/>
      </c>
      <c r="AE173" s="6" t="str">
        <f>IFERROR(__xludf.DUMMYFUNCTION("""COMPUTED_VALUE"""),"")</f>
        <v/>
      </c>
      <c r="AF173" s="6" t="str">
        <f>IFERROR(__xludf.DUMMYFUNCTION("""COMPUTED_VALUE"""),"Не подтверждено")</f>
        <v>Не подтверждено</v>
      </c>
      <c r="AG173" s="6" t="str">
        <f>IFERROR(__xludf.DUMMYFUNCTION("""COMPUTED_VALUE"""),"")</f>
        <v/>
      </c>
      <c r="AH173" s="6" t="str">
        <f>IFERROR(__xludf.DUMMYFUNCTION("""COMPUTED_VALUE"""),"2026-09-11T11:47:58.477628+00:00")</f>
        <v>2026-09-11T11:47:58.477628+00:00</v>
      </c>
      <c r="AI173" s="6" t="str">
        <f>IFERROR(__xludf.DUMMYFUNCTION("""COMPUTED_VALUE"""),"raw/postypashki_mems/page_001.html")</f>
        <v>raw/postypashki_mems/page_001.html</v>
      </c>
      <c r="AJ173" s="9" t="s">
        <v>223</v>
      </c>
      <c r="AK173" s="9" t="s">
        <v>242</v>
      </c>
      <c r="AL173" s="9" t="s">
        <v>244</v>
      </c>
      <c r="AM173" s="9" t="s">
        <v>237</v>
      </c>
      <c r="AN173" s="4" t="str">
        <f>IFERROR(__xludf.DUMMYFUNCTION("IF(OR(AJ173=""general_brand"",AJ173=""external"",AJ173=""unknown""),"""",IF(AJ173=""product_line"",IF(AK173=""START"",""Аналитика старт | Алгоритмы старт | Backend старт | ML старт"",IF(AK173=""PRO"",""AI-агенты про | Алгоритмы про | Аналитика про | ML пр"&amp;"о | Backend про"",IF(AK173=""START | PRO"",""Аналитика старт | Алгоритмы старт | Backend старт | ML старт | AI-агенты про | Алгоритмы про | Аналитика про | ML про | Backend про"",""""))),TEXTJOIN("" | "",TRUE,IF(REGEXMATCH(LOWER(AL173&amp;"" | ""&amp;E173),""анал"&amp;"итика старт""),""Аналитика старт"",""""),IF(REGEXMATCH(LOWER(AL173&amp;"" | ""&amp;E173),""алгоритмы старт""),""Алгоритмы старт"",""""),IF(REGEXMATCH(LOWER(AL173&amp;"" | ""&amp;E173),""backend старт""),""Backend старт"",""""),IF(REGEXMATCH(LOWER(AL173&amp;"" | ""&amp;E173),""ml"&amp;" старт""),""ML старт"",""""),IF(REGEXMATCH(LOWER(AL173&amp;"" | ""&amp;E173),""ai[ -]?агент""),""AI-агенты про"",""""),IF(REGEXMATCH(LOWER(AL173&amp;"" | ""&amp;E173),""алгоритмы про""),""Алгоритмы про"",""""),IF(REGEXMATCH(LOWER(AL173&amp;"" | ""&amp;E173),""аналитика про""),"""&amp;"Аналитика про"",""""),IF(REGEXMATCH(LOWER(AL173&amp;"" | ""&amp;E173),""ml про""),""ML про"",""""),IF(REGEXMATCH(LOWER(AL173&amp;"" | ""&amp;E173),""backend про""),""Backend про"",""""),IF(REGEXMATCH(LOWER(AL173&amp;"" | ""&amp;E173),""(а/в|ав|а в|ab)[ -]?тест""),""А/В-тесты"","&amp;"""""),IF(REGEXMATCH(LOWER(AL173&amp;"" | ""&amp;E173),""data science""),""Data science"",""""),IF(REGEXMATCH(LOWER(AL173&amp;"" | ""&amp;E173),""data[- ]?инжен""),""Data-инженер"",""""),IF(REGEXMATCH(LOWER(AL173&amp;"" | ""&amp;E173),""frontend""),""Frontend"",""""))))"),"AI-агенты про | Алгоритмы про | Аналитика про | ML про | Backend про")</f>
        <v>AI-агенты про | Алгоритмы про | Аналитика про | ML про | Backend про</v>
      </c>
    </row>
    <row r="174">
      <c r="A174" s="6" t="str">
        <f>IFERROR(__xludf.DUMMYFUNCTION("""COMPUTED_VALUE"""),"EXT-74")</f>
        <v>EXT-74</v>
      </c>
      <c r="B174" s="6" t="str">
        <f>IFERROR(__xludf.DUMMYFUNCTION("""COMPUTED_VALUE"""),"2026-08-26 19:16:56")</f>
        <v>2026-08-26 19:16:56</v>
      </c>
      <c r="C174" s="6" t="str">
        <f>IFERROR(__xludf.DUMMYFUNCTION("""COMPUTED_VALUE"""),"@chad_protocol")</f>
        <v>@chad_protocol</v>
      </c>
      <c r="D174" s="4" t="str">
        <f>IFERROR(__xludf.DUMMYFUNCTION("""COMPUTED_VALUE"""),"Запуск / набор")</f>
        <v>Запуск / набор</v>
      </c>
      <c r="E174" s="6" t="str">
        <f>IFERROR(__xludf.DUMMYFUNCTION("""COMPUTED_VALUE"""),"")</f>
        <v/>
      </c>
      <c r="F174" s="6" t="str">
        <f>IFERROR(__xludf.DUMMYFUNCTION("""COMPUTED_VALUE"""),"")</f>
        <v/>
      </c>
      <c r="G174" s="10" t="str">
        <f>IFERROR(__xludf.DUMMYFUNCTION("""COMPUTED_VALUE"""),"https://t.me/chad_protocol/528")</f>
        <v>https://t.me/chad_protocol/528</v>
      </c>
      <c r="H174" s="6" t="str">
        <f>IFERROR(__xludf.DUMMYFUNCTION("""COMPUTED_VALUE"""),"Выходим на новый уровень с линейкой 1️⃣1️⃣1️⃣
Товарищи, если база уже есть, то следующий шаг — углубиться в специализацию, закрыть пробелы, освоить новые инструменты и стать сильнее как специалист.
Для этого мы запускаем ПРО — углублённые карьерные курс"&amp;"ы для тех, кто хочет качать карьеру и заработок! Для записи и вопросов — пишите менеджеру
📎Курсы ПРО подойдут тем, кто:
— уже знает основы и хочет глубже разобраться в своей специализации
— хочет перейти с junior на middle и расти дальше
— готовится к "&amp;"собеседованиям на более сильные позиции
— хочет сменить роль и добрать недостающие навыки
— уже на старте имеет сильную базу и хочет целиться выше стажёрских и junior-позиций
➡️Действует гарантия: прошел курс, выполнил все рекомендации, но не получил офф"&amp;"ер — вернем деньги
➡️Курс длится 6 недель: теория, практика, домашние задания и пет-проект. Всё это время рядом преподаватель и куратор.
Открываем сразу 5 направлений:
➡️Аналитика ПРО
Продвинутый SQL, A/B-тесты, эконометрика, Causal Inference и ML.
➡️M"&amp;"L ПРО
Вывод модели в прод, MLOps, рекомендательные системы, ранжирование, uplift и динамическое преобразование.
➡️Backend ПРО
Многопоточка, System Desgin, Микросервисы, базы данных, кеширование, мониторинг и распределённые системы.
➡️Алгоритмы ПРО
Продв"&amp;"инутые алгоритмы и задачи для сложных технических интервью в hft фонды, faang+, для олимпиад и контестов.
➡️ИИ-агенты ПРО 
Будем разбираться не просто в LLM. Вы научитесь проектировать полноценные агентные системы и за курс соберём 5 собственных AI-агент"&amp;"ов и пройдём весь путь от архитектуры и инструментов до работы с RAG, multi-agent системами, MCP, evals и деплоем.
В программу всех курсов войдет:
🔵закрытый банк вопросов с интервью топовых бигтехов
🔵разбор ближайшей стажировки в Т-банк и Яндекс 
🔵moc"&amp;"k-собеседования с обратной связью
🔵рефералка в бигтех после защиты пет-проекта
🔵карьерная стратегия: резюме, поиск вакансий, подготовка к HR секциям
💰Бонус для всех записавшихся до 23.08 — курс про поиск валютной удалёнки и работы за рубежом в подарок")</f>
        <v>Выходим на новый уровень с линейкой 1️⃣1️⃣1️⃣
Товарищи, если база уже есть, то следующий шаг — углубиться в специализацию, закрыть пробелы, освоить новые инструменты и стать сильнее как специалист.
Для этого мы запускаем ПРО — углублённые карьерные курсы для тех, кто хочет качать карьеру и заработок! Для записи и вопросов — пишите менеджеру
📎Курсы ПРО подойдут тем, кто:
— уже знает основы и хочет глубже разобраться в своей специализации
— хочет перейти с junior на middle и расти дальше
— готовится к собеседованиям на более сильные позиции
— хочет сменить роль и добрать недостающие навыки
— уже на старте имеет сильную базу и хочет целиться выше стажёрских и junior-позиций
➡️Действует гарантия: прошел курс, выполнил все рекомендации, но не получил оффер — вернем деньги
➡️Курс длится 6 недель: теория, практика, домашние задания и пет-проект. Всё это время рядом преподаватель и куратор.
Открываем сразу 5 направлений:
➡️Аналитика ПРО
Продвинутый SQL, A/B-тесты, эконометрика, Causal Inference и ML.
➡️ML ПРО
Вывод модели в прод, MLOps, рекомендательные системы, ранжирование, uplift и динамическое преобразование.
➡️Backend ПРО
Многопоточка, System Desgin, Микросервисы, базы данных, кеширование, мониторинг и распределённые системы.
➡️Алгоритмы ПРО
Продвинутые алгоритмы и задачи для сложных технических интервью в hft фонды, faang+, для олимпиад и контестов.
➡️ИИ-агенты ПРО 
Будем разбираться не просто в LLM. Вы научитесь проектировать полноценные агентные системы и за курс соберём 5 собственных AI-агентов и пройдём весь путь от архитектуры и инструментов до работы с RAG, multi-agent системами, MCP, evals и деплоем.
В программу всех курсов войдет:
🔵закрытый банк вопросов с интервью топовых бигтехов
🔵разбор ближайшей стажировки в Т-банк и Яндекс 
🔵mock-собеседования с обратной связью
🔵рефералка в бигтех после защиты пет-проекта
🔵карьерная стратегия: резюме, поиск вакансий, подготовка к HR секциям
💰Бонус для всех записавшихся до 23.08 — курс про поиск валютной удалёнки и работы за рубежом в подарок</v>
      </c>
      <c r="I174" s="6" t="str">
        <f>IFERROR(__xludf.DUMMYFUNCTION("""COMPUTED_VALUE"""),"external")</f>
        <v>external</v>
      </c>
      <c r="J174" s="10" t="str">
        <f>IFERROR(__xludf.DUMMYFUNCTION("""COMPUTED_VALUE"""),"https://t.me/chad_protocol/528")</f>
        <v>https://t.me/chad_protocol/528</v>
      </c>
      <c r="K174" s="6">
        <f>IFERROR(__xludf.DUMMYFUNCTION("""COMPUTED_VALUE"""),3590.0)</f>
        <v>3590</v>
      </c>
      <c r="L174" s="6">
        <f>IFERROR(__xludf.DUMMYFUNCTION("""COMPUTED_VALUE"""),1.0)</f>
        <v>1</v>
      </c>
      <c r="M174" s="6"/>
      <c r="N174" s="6" t="str">
        <f>IFERROR(__xludf.DUMMYFUNCTION("""COMPUTED_VALUE"""),"Telegram")</f>
        <v>Telegram</v>
      </c>
      <c r="O174" s="6" t="str">
        <f>IFERROR(__xludf.DUMMYFUNCTION("""COMPUTED_VALUE"""),"raw")</f>
        <v>raw</v>
      </c>
      <c r="P174" s="6" t="str">
        <f>IFERROR(__xludf.DUMMYFUNCTION("""COMPUTED_VALUE"""),"Codex")</f>
        <v>Codex</v>
      </c>
      <c r="Q174" s="6" t="str">
        <f>IFERROR(__xludf.DUMMYFUNCTION("""COMPUTED_VALUE"""),"Общий контакт @vice22821; признак связи с проектом")</f>
        <v>Общий контакт @vice22821; признак связи с проектом</v>
      </c>
      <c r="R174" s="6" t="str">
        <f>IFERROR(__xludf.DUMMYFUNCTION("""COMPUTED_VALUE"""),"unknown")</f>
        <v>unknown</v>
      </c>
      <c r="S174" s="6" t="str">
        <f>IFERROR(__xludf.DUMMYFUNCTION("""COMPUTED_VALUE"""),"unknown")</f>
        <v>unknown</v>
      </c>
      <c r="T174" s="6" t="str">
        <f>IFERROR(__xludf.DUMMYFUNCTION("""COMPUTED_VALUE"""),"telegram_external")</f>
        <v>telegram_external</v>
      </c>
      <c r="U174" s="6" t="str">
        <f>IFERROR(__xludf.DUMMYFUNCTION("""COMPUTED_VALUE"""),"Запуск / набор")</f>
        <v>Запуск / набор</v>
      </c>
      <c r="V174" s="6" t="str">
        <f>IFERROR(__xludf.DUMMYFUNCTION("""COMPUTED_VALUE"""),"")</f>
        <v/>
      </c>
      <c r="W174" s="6" t="str">
        <f>IFERROR(__xludf.DUMMYFUNCTION("""COMPUTED_VALUE"""),"")</f>
        <v/>
      </c>
      <c r="X174" s="6" t="str">
        <f>IFERROR(__xludf.DUMMYFUNCTION("""COMPUTED_VALUE"""),"Forwarded from Поступашки - ШАД, Стажировки и Магистратура")</f>
        <v>Forwarded from Поступашки - ШАД, Стажировки и Магистратура</v>
      </c>
      <c r="Y174" s="6" t="str">
        <f>IFERROR(__xludf.DUMMYFUNCTION("""COMPUTED_VALUE"""),"https://t.me/postypashki_old/1859
https://t.me/m/p94YcePXNjcy
https://old.postypashki.ru/%D0%BA%D0%B0%D1%80%D1%8C%D0%B5%D1%80%D0%BD%D1%8B%D0%B5-%D0%BA%D1%83%D1%80%D1%81%D1%8B/%D0%B0%D0%BD%D0%B0%D0%BB%D0%B8%D1%82%D0%B8%D0%BA%D0%B0-%D1%85%D0%B0%D1%80%D0%B4/"&amp;"
https://old.postypashki.ru/%D0%BA%D0%B0%D1%80%D1%8C%D0%B5%D1%80%D0%BD%D1%8B%D0%B5-%D0%BA%D1%83%D1%80%D1%81%D1%8B/ml-%D1%85%D0%B0%D1%80%D0%B4/
https://old.postypashki.ru/%D0%BA%D0%B0%D1%80%D1%8C%D0%B5%D1%80%D0%BD%D1%8B%D0%B5-%D0%BA%D1%83%D1%80%D1%81%D1%8B"&amp;"/backend-%D1%85%D0%B0%D1%80%D0%B4/
https://old.postypashki.ru/%D0%BA%D0%B0%D1%80%D1%8C%D0%B5%D1%80%D0%BD%D1%8B%D0%B5-%D0%BA%D1%83%D1%80%D1%81%D1%8B/%D0%B0%D0%BB%D0%B3%D0%BE%D1%80%D0%B8%D1%82%D0%BC%D1%8B-%D1%85%D0%B0%D1%80%D0%B4/
https://old.postypashki.ru"&amp;"/%D0%BA%D0%B0%D1%80%D1%8C%D0%B5%D1%80%D0%BD%D1%8B%D0%B5-%D0%BA%D1%83%D1%80%D1%81%D1%8B/ai-%D0%B0%D0%B3%D0%B5%D0%BD%D1%82%D1%8B-%D0%BF%D1%80%D0%BE/")</f>
        <v>https://t.me/postypashki_old/1859
https://t.me/m/p94YcePXNjcy
https://old.postypashki.ru/%D0%BA%D0%B0%D1%80%D1%8C%D0%B5%D1%80%D0%BD%D1%8B%D0%B5-%D0%BA%D1%83%D1%80%D1%81%D1%8B/%D0%B0%D0%BD%D0%B0%D0%BB%D0%B8%D1%82%D0%B8%D0%BA%D0%B0-%D1%85%D0%B0%D1%80%D0%B4/
https://old.postypashki.ru/%D0%BA%D0%B0%D1%80%D1%8C%D0%B5%D1%80%D0%BD%D1%8B%D0%B5-%D0%BA%D1%83%D1%80%D1%81%D1%8B/ml-%D1%85%D0%B0%D1%80%D0%B4/
https://old.postypashki.ru/%D0%BA%D0%B0%D1%80%D1%8C%D0%B5%D1%80%D0%BD%D1%8B%D0%B5-%D0%BA%D1%83%D1%80%D1%81%D1%8B/backend-%D1%85%D0%B0%D1%80%D0%B4/
https://old.postypashki.ru/%D0%BA%D0%B0%D1%80%D1%8C%D0%B5%D1%80%D0%BD%D1%8B%D0%B5-%D0%BA%D1%83%D1%80%D1%81%D1%8B/%D0%B0%D0%BB%D0%B3%D0%BE%D1%80%D0%B8%D1%82%D0%BC%D1%8B-%D1%85%D0%B0%D1%80%D0%B4/
https://old.postypashki.ru/%D0%BA%D0%B0%D1%80%D1%8C%D0%B5%D1%80%D0%BD%D1%8B%D0%B5-%D0%BA%D1%83%D1%80%D1%81%D1%8B/ai-%D0%B0%D0%B3%D0%B5%D0%BD%D1%82%D1%8B-%D0%BF%D1%80%D0%BE/</v>
      </c>
      <c r="Z174" s="6" t="b">
        <f>IFERROR(__xludf.DUMMYFUNCTION("""COMPUTED_VALUE"""),TRUE)</f>
        <v>1</v>
      </c>
      <c r="AA174" s="6" t="str">
        <f>IFERROR(__xludf.DUMMYFUNCTION("""COMPUTED_VALUE"""),"")</f>
        <v/>
      </c>
      <c r="AB174" s="6" t="str">
        <f>IFERROR(__xludf.DUMMYFUNCTION("""COMPUTED_VALUE"""),"")</f>
        <v/>
      </c>
      <c r="AC174" s="6" t="str">
        <f>IFERROR(__xludf.DUMMYFUNCTION("""COMPUTED_VALUE"""),"")</f>
        <v/>
      </c>
      <c r="AD174" s="6" t="str">
        <f>IFERROR(__xludf.DUMMYFUNCTION("""COMPUTED_VALUE"""),"")</f>
        <v/>
      </c>
      <c r="AE174" s="6" t="str">
        <f>IFERROR(__xludf.DUMMYFUNCTION("""COMPUTED_VALUE"""),"")</f>
        <v/>
      </c>
      <c r="AF174" s="6" t="str">
        <f>IFERROR(__xludf.DUMMYFUNCTION("""COMPUTED_VALUE"""),"Не подтверждено")</f>
        <v>Не подтверждено</v>
      </c>
      <c r="AG174" s="6" t="str">
        <f>IFERROR(__xludf.DUMMYFUNCTION("""COMPUTED_VALUE"""),"")</f>
        <v/>
      </c>
      <c r="AH174" s="6" t="str">
        <f>IFERROR(__xludf.DUMMYFUNCTION("""COMPUTED_VALUE"""),"2026-09-11T11:47:50.761841+00:00")</f>
        <v>2026-09-11T11:47:50.761841+00:00</v>
      </c>
      <c r="AI174" s="6" t="str">
        <f>IFERROR(__xludf.DUMMYFUNCTION("""COMPUTED_VALUE"""),"raw/chad_protocol/page_000.html")</f>
        <v>raw/chad_protocol/page_000.html</v>
      </c>
      <c r="AJ174" s="9" t="s">
        <v>223</v>
      </c>
      <c r="AK174" s="9" t="s">
        <v>242</v>
      </c>
      <c r="AL174" s="9" t="s">
        <v>244</v>
      </c>
      <c r="AM174" s="9" t="s">
        <v>237</v>
      </c>
      <c r="AN174" s="4" t="str">
        <f>IFERROR(__xludf.DUMMYFUNCTION("IF(OR(AJ174=""general_brand"",AJ174=""external"",AJ174=""unknown""),"""",IF(AJ174=""product_line"",IF(AK174=""START"",""Аналитика старт | Алгоритмы старт | Backend старт | ML старт"",IF(AK174=""PRO"",""AI-агенты про | Алгоритмы про | Аналитика про | ML пр"&amp;"о | Backend про"",IF(AK174=""START | PRO"",""Аналитика старт | Алгоритмы старт | Backend старт | ML старт | AI-агенты про | Алгоритмы про | Аналитика про | ML про | Backend про"",""""))),TEXTJOIN("" | "",TRUE,IF(REGEXMATCH(LOWER(AL174&amp;"" | ""&amp;E174),""анал"&amp;"итика старт""),""Аналитика старт"",""""),IF(REGEXMATCH(LOWER(AL174&amp;"" | ""&amp;E174),""алгоритмы старт""),""Алгоритмы старт"",""""),IF(REGEXMATCH(LOWER(AL174&amp;"" | ""&amp;E174),""backend старт""),""Backend старт"",""""),IF(REGEXMATCH(LOWER(AL174&amp;"" | ""&amp;E174),""ml"&amp;" старт""),""ML старт"",""""),IF(REGEXMATCH(LOWER(AL174&amp;"" | ""&amp;E174),""ai[ -]?агент""),""AI-агенты про"",""""),IF(REGEXMATCH(LOWER(AL174&amp;"" | ""&amp;E174),""алгоритмы про""),""Алгоритмы про"",""""),IF(REGEXMATCH(LOWER(AL174&amp;"" | ""&amp;E174),""аналитика про""),"""&amp;"Аналитика про"",""""),IF(REGEXMATCH(LOWER(AL174&amp;"" | ""&amp;E174),""ml про""),""ML про"",""""),IF(REGEXMATCH(LOWER(AL174&amp;"" | ""&amp;E174),""backend про""),""Backend про"",""""),IF(REGEXMATCH(LOWER(AL174&amp;"" | ""&amp;E174),""(а/в|ав|а в|ab)[ -]?тест""),""А/В-тесты"","&amp;"""""),IF(REGEXMATCH(LOWER(AL174&amp;"" | ""&amp;E174),""data science""),""Data science"",""""),IF(REGEXMATCH(LOWER(AL174&amp;"" | ""&amp;E174),""data[- ]?инжен""),""Data-инженер"",""""),IF(REGEXMATCH(LOWER(AL174&amp;"" | ""&amp;E174),""frontend""),""Frontend"",""""))))"),"AI-агенты про | Алгоритмы про | Аналитика про | ML про | Backend про")</f>
        <v>AI-агенты про | Алгоритмы про | Аналитика про | ML про | Backend про</v>
      </c>
    </row>
    <row r="175">
      <c r="A175" s="6" t="str">
        <f>IFERROR(__xludf.DUMMYFUNCTION("""COMPUTED_VALUE"""),"EXT-75")</f>
        <v>EXT-75</v>
      </c>
      <c r="B175" s="6" t="str">
        <f>IFERROR(__xludf.DUMMYFUNCTION("""COMPUTED_VALUE"""),"2026-08-26 18:17:56")</f>
        <v>2026-08-26 18:17:56</v>
      </c>
      <c r="C175" s="6" t="str">
        <f>IFERROR(__xludf.DUMMYFUNCTION("""COMPUTED_VALUE"""),"@zadachi_ds")</f>
        <v>@zadachi_ds</v>
      </c>
      <c r="D175" s="4" t="str">
        <f>IFERROR(__xludf.DUMMYFUNCTION("""COMPUTED_VALUE"""),"Запуск / набор")</f>
        <v>Запуск / набор</v>
      </c>
      <c r="E175" s="6" t="str">
        <f>IFERROR(__xludf.DUMMYFUNCTION("""COMPUTED_VALUE"""),"")</f>
        <v/>
      </c>
      <c r="F175" s="6" t="str">
        <f>IFERROR(__xludf.DUMMYFUNCTION("""COMPUTED_VALUE"""),"")</f>
        <v/>
      </c>
      <c r="G175" s="10" t="str">
        <f>IFERROR(__xludf.DUMMYFUNCTION("""COMPUTED_VALUE"""),"https://t.me/zadachi_ds/411")</f>
        <v>https://t.me/zadachi_ds/411</v>
      </c>
      <c r="H175" s="6" t="str">
        <f>IFERROR(__xludf.DUMMYFUNCTION("""COMPUTED_VALUE"""),"Выходим на новый уровень с линейкой 1️⃣1️⃣1️⃣
Товарищи, если база уже есть, то следующий шаг — углубиться в специализацию, закрыть пробелы, освоить новые инструменты и стать сильнее как специалист.
Для этого мы запускаем ПРО — углублённые карьерные курс"&amp;"ы для тех, кто хочет качать карьеру и заработок! Для записи и вопросов — пишите менеджеру
📎Курсы ПРО подойдут тем, кто:
— уже знает основы и хочет глубже разобраться в своей специализации
— хочет перейти с junior на middle и расти дальше
— готовится к "&amp;"собеседованиям на более сильные позиции
— хочет сменить роль и добрать недостающие навыки
— уже на старте имеет сильную базу и хочет целиться выше стажёрских и junior-позиций
➡️Действует гарантия: прошел курс, выполнил все рекомендации, но не получил офф"&amp;"ер — вернем деньги
➡️Курс длится 6 недель: теория, практика, домашние задания и пет-проект. Всё это время рядом преподаватель и куратор.
Открываем сразу 5 направлений:
➡️Аналитика ПРО
Продвинутый SQL, A/B-тесты, эконометрика, Causal Inference и ML.
➡️M"&amp;"L ПРО
Вывод модели в прод, MLOps, рекомендательные системы, ранжирование, uplift и динамическое преобразование.
➡️Backend ПРО
Многопоточка, System Desgin, Микросервисы, базы данных, кеширование, мониторинг и распределённые системы.
➡️Алгоритмы ПРО
Продв"&amp;"инутые алгоритмы и задачи для сложных технических интервью в hft фонды, faang+, для олимпиад и контестов.
➡️ИИ-агенты ПРО 
Будем разбираться не просто в LLM. Вы научитесь проектировать полноценные агентные системы и за курс соберём 5 собственных AI-агент"&amp;"ов и пройдём весь путь от архитектуры и инструментов до работы с RAG, multi-agent системами, MCP, evals и деплоем.
В программу всех курсов войдет:
🔵закрытый банк вопросов с интервью топовых бигтехов
🔵разбор ближайшей стажировки в Т-банк и Яндекс 
🔵moc"&amp;"k-собеседования с обратной связью
🔵рефералка в бигтех после защиты пет-проекта
🔵карьерная стратегия: резюме, поиск вакансий, подготовка к HR секциям
💰Бонус для всех записавшихся до 23.08 — курс про поиск валютной удалёнки и работы за рубежом в подарок")</f>
        <v>Выходим на новый уровень с линейкой 1️⃣1️⃣1️⃣
Товарищи, если база уже есть, то следующий шаг — углубиться в специализацию, закрыть пробелы, освоить новые инструменты и стать сильнее как специалист.
Для этого мы запускаем ПРО — углублённые карьерные курсы для тех, кто хочет качать карьеру и заработок! Для записи и вопросов — пишите менеджеру
📎Курсы ПРО подойдут тем, кто:
— уже знает основы и хочет глубже разобраться в своей специализации
— хочет перейти с junior на middle и расти дальше
— готовится к собеседованиям на более сильные позиции
— хочет сменить роль и добрать недостающие навыки
— уже на старте имеет сильную базу и хочет целиться выше стажёрских и junior-позиций
➡️Действует гарантия: прошел курс, выполнил все рекомендации, но не получил оффер — вернем деньги
➡️Курс длится 6 недель: теория, практика, домашние задания и пет-проект. Всё это время рядом преподаватель и куратор.
Открываем сразу 5 направлений:
➡️Аналитика ПРО
Продвинутый SQL, A/B-тесты, эконометрика, Causal Inference и ML.
➡️ML ПРО
Вывод модели в прод, MLOps, рекомендательные системы, ранжирование, uplift и динамическое преобразование.
➡️Backend ПРО
Многопоточка, System Desgin, Микросервисы, базы данных, кеширование, мониторинг и распределённые системы.
➡️Алгоритмы ПРО
Продвинутые алгоритмы и задачи для сложных технических интервью в hft фонды, faang+, для олимпиад и контестов.
➡️ИИ-агенты ПРО 
Будем разбираться не просто в LLM. Вы научитесь проектировать полноценные агентные системы и за курс соберём 5 собственных AI-агентов и пройдём весь путь от архитектуры и инструментов до работы с RAG, multi-agent системами, MCP, evals и деплоем.
В программу всех курсов войдет:
🔵закрытый банк вопросов с интервью топовых бигтехов
🔵разбор ближайшей стажировки в Т-банк и Яндекс 
🔵mock-собеседования с обратной связью
🔵рефералка в бигтех после защиты пет-проекта
🔵карьерная стратегия: резюме, поиск вакансий, подготовка к HR секциям
💰Бонус для всех записавшихся до 23.08 — курс про поиск валютной удалёнки и работы за рубежом в подарок</v>
      </c>
      <c r="I175" s="6" t="str">
        <f>IFERROR(__xludf.DUMMYFUNCTION("""COMPUTED_VALUE"""),"external")</f>
        <v>external</v>
      </c>
      <c r="J175" s="10" t="str">
        <f>IFERROR(__xludf.DUMMYFUNCTION("""COMPUTED_VALUE"""),"https://t.me/zadachi_ds/411")</f>
        <v>https://t.me/zadachi_ds/411</v>
      </c>
      <c r="K175" s="6">
        <f>IFERROR(__xludf.DUMMYFUNCTION("""COMPUTED_VALUE"""),1810.0)</f>
        <v>1810</v>
      </c>
      <c r="L175" s="6"/>
      <c r="M175" s="6"/>
      <c r="N175" s="6" t="str">
        <f>IFERROR(__xludf.DUMMYFUNCTION("""COMPUTED_VALUE"""),"Telegram")</f>
        <v>Telegram</v>
      </c>
      <c r="O175" s="6" t="str">
        <f>IFERROR(__xludf.DUMMYFUNCTION("""COMPUTED_VALUE"""),"raw")</f>
        <v>raw</v>
      </c>
      <c r="P175" s="6" t="str">
        <f>IFERROR(__xludf.DUMMYFUNCTION("""COMPUTED_VALUE"""),"Codex")</f>
        <v>Codex</v>
      </c>
      <c r="Q175" s="6" t="str">
        <f>IFERROR(__xludf.DUMMYFUNCTION("""COMPUTED_VALUE"""),"Общий контакт @vice22821; признак связи с проектом")</f>
        <v>Общий контакт @vice22821; признак связи с проектом</v>
      </c>
      <c r="R175" s="6" t="str">
        <f>IFERROR(__xludf.DUMMYFUNCTION("""COMPUTED_VALUE"""),"unknown")</f>
        <v>unknown</v>
      </c>
      <c r="S175" s="6" t="str">
        <f>IFERROR(__xludf.DUMMYFUNCTION("""COMPUTED_VALUE"""),"unknown")</f>
        <v>unknown</v>
      </c>
      <c r="T175" s="6" t="str">
        <f>IFERROR(__xludf.DUMMYFUNCTION("""COMPUTED_VALUE"""),"telegram_external")</f>
        <v>telegram_external</v>
      </c>
      <c r="U175" s="6" t="str">
        <f>IFERROR(__xludf.DUMMYFUNCTION("""COMPUTED_VALUE"""),"Запуск / набор")</f>
        <v>Запуск / набор</v>
      </c>
      <c r="V175" s="6" t="str">
        <f>IFERROR(__xludf.DUMMYFUNCTION("""COMPUTED_VALUE"""),"")</f>
        <v/>
      </c>
      <c r="W175" s="6" t="str">
        <f>IFERROR(__xludf.DUMMYFUNCTION("""COMPUTED_VALUE"""),"")</f>
        <v/>
      </c>
      <c r="X175" s="6" t="str">
        <f>IFERROR(__xludf.DUMMYFUNCTION("""COMPUTED_VALUE"""),"Forwarded from Поступашки - ШАД, Стажировки и Магистратура")</f>
        <v>Forwarded from Поступашки - ШАД, Стажировки и Магистратура</v>
      </c>
      <c r="Y175" s="6" t="str">
        <f>IFERROR(__xludf.DUMMYFUNCTION("""COMPUTED_VALUE"""),"https://t.me/postypashki_old/1859
https://t.me/m/p94YcePXNjcy
https://old.postypashki.ru/%D0%BA%D0%B0%D1%80%D1%8C%D0%B5%D1%80%D0%BD%D1%8B%D0%B5-%D0%BA%D1%83%D1%80%D1%81%D1%8B/%D0%B0%D0%BD%D0%B0%D0%BB%D0%B8%D1%82%D0%B8%D0%BA%D0%B0-%D1%85%D0%B0%D1%80%D0%B4/"&amp;"
https://old.postypashki.ru/%D0%BA%D0%B0%D1%80%D1%8C%D0%B5%D1%80%D0%BD%D1%8B%D0%B5-%D0%BA%D1%83%D1%80%D1%81%D1%8B/ml-%D1%85%D0%B0%D1%80%D0%B4/
https://old.postypashki.ru/%D0%BA%D0%B0%D1%80%D1%8C%D0%B5%D1%80%D0%BD%D1%8B%D0%B5-%D0%BA%D1%83%D1%80%D1%81%D1%8B"&amp;"/backend-%D1%85%D0%B0%D1%80%D0%B4/
https://old.postypashki.ru/%D0%BA%D0%B0%D1%80%D1%8C%D0%B5%D1%80%D0%BD%D1%8B%D0%B5-%D0%BA%D1%83%D1%80%D1%81%D1%8B/%D0%B0%D0%BB%D0%B3%D0%BE%D1%80%D0%B8%D1%82%D0%BC%D1%8B-%D1%85%D0%B0%D1%80%D0%B4/
https://old.postypashki.ru"&amp;"/%D0%BA%D0%B0%D1%80%D1%8C%D0%B5%D1%80%D0%BD%D1%8B%D0%B5-%D0%BA%D1%83%D1%80%D1%81%D1%8B/ai-%D0%B0%D0%B3%D0%B5%D0%BD%D1%82%D1%8B-%D0%BF%D1%80%D0%BE/")</f>
        <v>https://t.me/postypashki_old/1859
https://t.me/m/p94YcePXNjcy
https://old.postypashki.ru/%D0%BA%D0%B0%D1%80%D1%8C%D0%B5%D1%80%D0%BD%D1%8B%D0%B5-%D0%BA%D1%83%D1%80%D1%81%D1%8B/%D0%B0%D0%BD%D0%B0%D0%BB%D0%B8%D1%82%D0%B8%D0%BA%D0%B0-%D1%85%D0%B0%D1%80%D0%B4/
https://old.postypashki.ru/%D0%BA%D0%B0%D1%80%D1%8C%D0%B5%D1%80%D0%BD%D1%8B%D0%B5-%D0%BA%D1%83%D1%80%D1%81%D1%8B/ml-%D1%85%D0%B0%D1%80%D0%B4/
https://old.postypashki.ru/%D0%BA%D0%B0%D1%80%D1%8C%D0%B5%D1%80%D0%BD%D1%8B%D0%B5-%D0%BA%D1%83%D1%80%D1%81%D1%8B/backend-%D1%85%D0%B0%D1%80%D0%B4/
https://old.postypashki.ru/%D0%BA%D0%B0%D1%80%D1%8C%D0%B5%D1%80%D0%BD%D1%8B%D0%B5-%D0%BA%D1%83%D1%80%D1%81%D1%8B/%D0%B0%D0%BB%D0%B3%D0%BE%D1%80%D0%B8%D1%82%D0%BC%D1%8B-%D1%85%D0%B0%D1%80%D0%B4/
https://old.postypashki.ru/%D0%BA%D0%B0%D1%80%D1%8C%D0%B5%D1%80%D0%BD%D1%8B%D0%B5-%D0%BA%D1%83%D1%80%D1%81%D1%8B/ai-%D0%B0%D0%B3%D0%B5%D0%BD%D1%82%D1%8B-%D0%BF%D1%80%D0%BE/</v>
      </c>
      <c r="Z175" s="6" t="b">
        <f>IFERROR(__xludf.DUMMYFUNCTION("""COMPUTED_VALUE"""),TRUE)</f>
        <v>1</v>
      </c>
      <c r="AA175" s="6" t="str">
        <f>IFERROR(__xludf.DUMMYFUNCTION("""COMPUTED_VALUE"""),"")</f>
        <v/>
      </c>
      <c r="AB175" s="6" t="str">
        <f>IFERROR(__xludf.DUMMYFUNCTION("""COMPUTED_VALUE"""),"")</f>
        <v/>
      </c>
      <c r="AC175" s="6" t="str">
        <f>IFERROR(__xludf.DUMMYFUNCTION("""COMPUTED_VALUE"""),"")</f>
        <v/>
      </c>
      <c r="AD175" s="6" t="str">
        <f>IFERROR(__xludf.DUMMYFUNCTION("""COMPUTED_VALUE"""),"")</f>
        <v/>
      </c>
      <c r="AE175" s="6" t="str">
        <f>IFERROR(__xludf.DUMMYFUNCTION("""COMPUTED_VALUE"""),"")</f>
        <v/>
      </c>
      <c r="AF175" s="6" t="str">
        <f>IFERROR(__xludf.DUMMYFUNCTION("""COMPUTED_VALUE"""),"Не подтверждено")</f>
        <v>Не подтверждено</v>
      </c>
      <c r="AG175" s="6" t="str">
        <f>IFERROR(__xludf.DUMMYFUNCTION("""COMPUTED_VALUE"""),"")</f>
        <v/>
      </c>
      <c r="AH175" s="6" t="str">
        <f>IFERROR(__xludf.DUMMYFUNCTION("""COMPUTED_VALUE"""),"2026-09-11T11:47:39.365425+00:00")</f>
        <v>2026-09-11T11:47:39.365425+00:00</v>
      </c>
      <c r="AI175" s="6" t="str">
        <f>IFERROR(__xludf.DUMMYFUNCTION("""COMPUTED_VALUE"""),"raw/zadachi_ds/page_000.html")</f>
        <v>raw/zadachi_ds/page_000.html</v>
      </c>
      <c r="AJ175" s="9" t="s">
        <v>223</v>
      </c>
      <c r="AK175" s="9" t="s">
        <v>242</v>
      </c>
      <c r="AL175" s="9" t="s">
        <v>244</v>
      </c>
      <c r="AM175" s="9" t="s">
        <v>237</v>
      </c>
      <c r="AN175" s="4" t="str">
        <f>IFERROR(__xludf.DUMMYFUNCTION("IF(OR(AJ175=""general_brand"",AJ175=""external"",AJ175=""unknown""),"""",IF(AJ175=""product_line"",IF(AK175=""START"",""Аналитика старт | Алгоритмы старт | Backend старт | ML старт"",IF(AK175=""PRO"",""AI-агенты про | Алгоритмы про | Аналитика про | ML пр"&amp;"о | Backend про"",IF(AK175=""START | PRO"",""Аналитика старт | Алгоритмы старт | Backend старт | ML старт | AI-агенты про | Алгоритмы про | Аналитика про | ML про | Backend про"",""""))),TEXTJOIN("" | "",TRUE,IF(REGEXMATCH(LOWER(AL175&amp;"" | ""&amp;E175),""анал"&amp;"итика старт""),""Аналитика старт"",""""),IF(REGEXMATCH(LOWER(AL175&amp;"" | ""&amp;E175),""алгоритмы старт""),""Алгоритмы старт"",""""),IF(REGEXMATCH(LOWER(AL175&amp;"" | ""&amp;E175),""backend старт""),""Backend старт"",""""),IF(REGEXMATCH(LOWER(AL175&amp;"" | ""&amp;E175),""ml"&amp;" старт""),""ML старт"",""""),IF(REGEXMATCH(LOWER(AL175&amp;"" | ""&amp;E175),""ai[ -]?агент""),""AI-агенты про"",""""),IF(REGEXMATCH(LOWER(AL175&amp;"" | ""&amp;E175),""алгоритмы про""),""Алгоритмы про"",""""),IF(REGEXMATCH(LOWER(AL175&amp;"" | ""&amp;E175),""аналитика про""),"""&amp;"Аналитика про"",""""),IF(REGEXMATCH(LOWER(AL175&amp;"" | ""&amp;E175),""ml про""),""ML про"",""""),IF(REGEXMATCH(LOWER(AL175&amp;"" | ""&amp;E175),""backend про""),""Backend про"",""""),IF(REGEXMATCH(LOWER(AL175&amp;"" | ""&amp;E175),""(а/в|ав|а в|ab)[ -]?тест""),""А/В-тесты"","&amp;"""""),IF(REGEXMATCH(LOWER(AL175&amp;"" | ""&amp;E175),""data science""),""Data science"",""""),IF(REGEXMATCH(LOWER(AL175&amp;"" | ""&amp;E175),""data[- ]?инжен""),""Data-инженер"",""""),IF(REGEXMATCH(LOWER(AL175&amp;"" | ""&amp;E175),""frontend""),""Frontend"",""""))))"),"AI-агенты про | Алгоритмы про | Аналитика про | ML про | Backend про")</f>
        <v>AI-агенты про | Алгоритмы про | Аналитика про | ML про | Backend про</v>
      </c>
    </row>
    <row r="176">
      <c r="A176" s="6" t="str">
        <f>IFERROR(__xludf.DUMMYFUNCTION("""COMPUTED_VALUE"""),"EXT-76")</f>
        <v>EXT-76</v>
      </c>
      <c r="B176" s="6" t="str">
        <f>IFERROR(__xludf.DUMMYFUNCTION("""COMPUTED_VALUE"""),"2026-08-27 19:35:56")</f>
        <v>2026-08-27 19:35:56</v>
      </c>
      <c r="C176" s="6" t="str">
        <f>IFERROR(__xludf.DUMMYFUNCTION("""COMPUTED_VALUE"""),"@ProdAnalysis")</f>
        <v>@ProdAnalysis</v>
      </c>
      <c r="D176" s="4" t="str">
        <f>IFERROR(__xludf.DUMMYFUNCTION("""COMPUTED_VALUE"""),"Запуск / набор")</f>
        <v>Запуск / набор</v>
      </c>
      <c r="E176" s="6" t="str">
        <f>IFERROR(__xludf.DUMMYFUNCTION("""COMPUTED_VALUE"""),"")</f>
        <v/>
      </c>
      <c r="F176" s="6" t="str">
        <f>IFERROR(__xludf.DUMMYFUNCTION("""COMPUTED_VALUE"""),"")</f>
        <v/>
      </c>
      <c r="G176" s="10" t="str">
        <f>IFERROR(__xludf.DUMMYFUNCTION("""COMPUTED_VALUE"""),"https://t.me/ProdAnalysis/155")</f>
        <v>https://t.me/ProdAnalysis/155</v>
      </c>
      <c r="H176" s="6" t="str">
        <f>IFERROR(__xludf.DUMMYFUNCTION("""COMPUTED_VALUE"""),"Выходим на новый уровень с линейкой 1️⃣1️⃣1️⃣
Товарищи, если база уже есть, то следующий шаг — углубиться в специализацию, закрыть пробелы, освоить новые инструменты и стать сильнее как специалист.
Для этого мы запускаем ПРО — углублённые карьерные курс"&amp;"ы для тех, кто хочет качать карьеру и заработок! Для записи и вопросов — пишите менеджеру
📎Курсы ПРО подойдут тем, кто:
— уже знает основы и хочет глубже разобраться в своей специализации
— хочет перейти с junior на middle и расти дальше
— готовится к "&amp;"собеседованиям на более сильные позиции
— хочет сменить роль и добрать недостающие навыки
— уже на старте имеет сильную базу и хочет целиться выше стажёрских и junior-позиций
➡️Действует гарантия: прошел курс, выполнил все рекомендации, но не получил офф"&amp;"ер — вернем деньги
➡️Курс длится 6 недель: теория, практика, домашние задания и пет-проект. Всё это время рядом преподаватель и куратор.
Открываем сразу 5 направлений:
➡️Аналитика ПРО
Продвинутый SQL, A/B-тесты, эконометрика, Causal Inference и ML.
➡️M"&amp;"L ПРО
Вывод модели в прод, MLOps, рекомендательные системы, ранжирование, uplift и динамическое преобразование.
➡️Backend ПРО
Многопоточка, System Desgin, Микросервисы, базы данных, кеширование, мониторинг и распределённые системы.
➡️Алгоритмы ПРО
Продв"&amp;"инутые алгоритмы и задачи для сложных технических интервью в hft фонды, faang+, для олимпиад и контестов.
➡️ИИ-агенты ПРО 
Будем разбираться не просто в LLM. Вы научитесь проектировать полноценные агентные системы и за курс соберём 5 собственных AI-агент"&amp;"ов и пройдём весь путь от архитектуры и инструментов до работы с RAG, multi-agent системами, MCP, evals и деплоем.
В программу всех курсов войдет:
🔵закрытый банк вопросов с интервью топовых бигтехов
🔵разбор ближайшей стажировки в Т-банк и Яндекс 
🔵moc"&amp;"k-собеседования с обратной связью
🔵рефералка в бигтех после защиты пет-проекта
🔵карьерная стратегия: резюме, поиск вакансий, подготовка к HR секциям
💰Бонус для всех записавшихся до 23.08 — курс про поиск валютной удалёнки и работы за рубежом в подарок")</f>
        <v>Выходим на новый уровень с линейкой 1️⃣1️⃣1️⃣
Товарищи, если база уже есть, то следующий шаг — углубиться в специализацию, закрыть пробелы, освоить новые инструменты и стать сильнее как специалист.
Для этого мы запускаем ПРО — углублённые карьерные курсы для тех, кто хочет качать карьеру и заработок! Для записи и вопросов — пишите менеджеру
📎Курсы ПРО подойдут тем, кто:
— уже знает основы и хочет глубже разобраться в своей специализации
— хочет перейти с junior на middle и расти дальше
— готовится к собеседованиям на более сильные позиции
— хочет сменить роль и добрать недостающие навыки
— уже на старте имеет сильную базу и хочет целиться выше стажёрских и junior-позиций
➡️Действует гарантия: прошел курс, выполнил все рекомендации, но не получил оффер — вернем деньги
➡️Курс длится 6 недель: теория, практика, домашние задания и пет-проект. Всё это время рядом преподаватель и куратор.
Открываем сразу 5 направлений:
➡️Аналитика ПРО
Продвинутый SQL, A/B-тесты, эконометрика, Causal Inference и ML.
➡️ML ПРО
Вывод модели в прод, MLOps, рекомендательные системы, ранжирование, uplift и динамическое преобразование.
➡️Backend ПРО
Многопоточка, System Desgin, Микросервисы, базы данных, кеширование, мониторинг и распределённые системы.
➡️Алгоритмы ПРО
Продвинутые алгоритмы и задачи для сложных технических интервью в hft фонды, faang+, для олимпиад и контестов.
➡️ИИ-агенты ПРО 
Будем разбираться не просто в LLM. Вы научитесь проектировать полноценные агентные системы и за курс соберём 5 собственных AI-агентов и пройдём весь путь от архитектуры и инструментов до работы с RAG, multi-agent системами, MCP, evals и деплоем.
В программу всех курсов войдет:
🔵закрытый банк вопросов с интервью топовых бигтехов
🔵разбор ближайшей стажировки в Т-банк и Яндекс 
🔵mock-собеседования с обратной связью
🔵рефералка в бигтех после защиты пет-проекта
🔵карьерная стратегия: резюме, поиск вакансий, подготовка к HR секциям
💰Бонус для всех записавшихся до 23.08 — курс про поиск валютной удалёнки и работы за рубежом в подарок</v>
      </c>
      <c r="I176" s="6" t="str">
        <f>IFERROR(__xludf.DUMMYFUNCTION("""COMPUTED_VALUE"""),"external")</f>
        <v>external</v>
      </c>
      <c r="J176" s="10" t="str">
        <f>IFERROR(__xludf.DUMMYFUNCTION("""COMPUTED_VALUE"""),"https://t.me/ProdAnalysis/155")</f>
        <v>https://t.me/ProdAnalysis/155</v>
      </c>
      <c r="K176" s="6">
        <f>IFERROR(__xludf.DUMMYFUNCTION("""COMPUTED_VALUE"""),741.0)</f>
        <v>741</v>
      </c>
      <c r="L176" s="6"/>
      <c r="M176" s="6"/>
      <c r="N176" s="6" t="str">
        <f>IFERROR(__xludf.DUMMYFUNCTION("""COMPUTED_VALUE"""),"Telegram")</f>
        <v>Telegram</v>
      </c>
      <c r="O176" s="6" t="str">
        <f>IFERROR(__xludf.DUMMYFUNCTION("""COMPUTED_VALUE"""),"raw")</f>
        <v>raw</v>
      </c>
      <c r="P176" s="6" t="str">
        <f>IFERROR(__xludf.DUMMYFUNCTION("""COMPUTED_VALUE"""),"Codex")</f>
        <v>Codex</v>
      </c>
      <c r="Q176" s="6" t="str">
        <f>IFERROR(__xludf.DUMMYFUNCTION("""COMPUTED_VALUE"""),"Общий контакт @vice22821; признак связи с проектом")</f>
        <v>Общий контакт @vice22821; признак связи с проектом</v>
      </c>
      <c r="R176" s="6" t="str">
        <f>IFERROR(__xludf.DUMMYFUNCTION("""COMPUTED_VALUE"""),"unknown")</f>
        <v>unknown</v>
      </c>
      <c r="S176" s="6" t="str">
        <f>IFERROR(__xludf.DUMMYFUNCTION("""COMPUTED_VALUE"""),"unknown")</f>
        <v>unknown</v>
      </c>
      <c r="T176" s="6" t="str">
        <f>IFERROR(__xludf.DUMMYFUNCTION("""COMPUTED_VALUE"""),"telegram_external")</f>
        <v>telegram_external</v>
      </c>
      <c r="U176" s="6" t="str">
        <f>IFERROR(__xludf.DUMMYFUNCTION("""COMPUTED_VALUE"""),"Запуск / набор")</f>
        <v>Запуск / набор</v>
      </c>
      <c r="V176" s="6" t="str">
        <f>IFERROR(__xludf.DUMMYFUNCTION("""COMPUTED_VALUE"""),"")</f>
        <v/>
      </c>
      <c r="W176" s="6" t="str">
        <f>IFERROR(__xludf.DUMMYFUNCTION("""COMPUTED_VALUE"""),"")</f>
        <v/>
      </c>
      <c r="X176" s="6" t="str">
        <f>IFERROR(__xludf.DUMMYFUNCTION("""COMPUTED_VALUE"""),"Forwarded from Поступашки - ШАД, Стажировки и Магистратура")</f>
        <v>Forwarded from Поступашки - ШАД, Стажировки и Магистратура</v>
      </c>
      <c r="Y176" s="6" t="str">
        <f>IFERROR(__xludf.DUMMYFUNCTION("""COMPUTED_VALUE"""),"https://t.me/postypashki_old/1859
https://t.me/m/p94YcePXNjcy
https://old.postypashki.ru/%D0%BA%D0%B0%D1%80%D1%8C%D0%B5%D1%80%D0%BD%D1%8B%D0%B5-%D0%BA%D1%83%D1%80%D1%81%D1%8B/%D0%B0%D0%BD%D0%B0%D0%BB%D0%B8%D1%82%D0%B8%D0%BA%D0%B0-%D1%85%D0%B0%D1%80%D0%B4/"&amp;"
https://old.postypashki.ru/%D0%BA%D0%B0%D1%80%D1%8C%D0%B5%D1%80%D0%BD%D1%8B%D0%B5-%D0%BA%D1%83%D1%80%D1%81%D1%8B/ml-%D1%85%D0%B0%D1%80%D0%B4/
https://old.postypashki.ru/%D0%BA%D0%B0%D1%80%D1%8C%D0%B5%D1%80%D0%BD%D1%8B%D0%B5-%D0%BA%D1%83%D1%80%D1%81%D1%8B"&amp;"/backend-%D1%85%D0%B0%D1%80%D0%B4/
https://old.postypashki.ru/%D0%BA%D0%B0%D1%80%D1%8C%D0%B5%D1%80%D0%BD%D1%8B%D0%B5-%D0%BA%D1%83%D1%80%D1%81%D1%8B/%D0%B0%D0%BB%D0%B3%D0%BE%D1%80%D0%B8%D1%82%D0%BC%D1%8B-%D1%85%D0%B0%D1%80%D0%B4/
https://old.postypashki.ru"&amp;"/%D0%BA%D0%B0%D1%80%D1%8C%D0%B5%D1%80%D0%BD%D1%8B%D0%B5-%D0%BA%D1%83%D1%80%D1%81%D1%8B/ai-%D0%B0%D0%B3%D0%B5%D0%BD%D1%82%D1%8B-%D0%BF%D1%80%D0%BE/")</f>
        <v>https://t.me/postypashki_old/1859
https://t.me/m/p94YcePXNjcy
https://old.postypashki.ru/%D0%BA%D0%B0%D1%80%D1%8C%D0%B5%D1%80%D0%BD%D1%8B%D0%B5-%D0%BA%D1%83%D1%80%D1%81%D1%8B/%D0%B0%D0%BD%D0%B0%D0%BB%D0%B8%D1%82%D0%B8%D0%BA%D0%B0-%D1%85%D0%B0%D1%80%D0%B4/
https://old.postypashki.ru/%D0%BA%D0%B0%D1%80%D1%8C%D0%B5%D1%80%D0%BD%D1%8B%D0%B5-%D0%BA%D1%83%D1%80%D1%81%D1%8B/ml-%D1%85%D0%B0%D1%80%D0%B4/
https://old.postypashki.ru/%D0%BA%D0%B0%D1%80%D1%8C%D0%B5%D1%80%D0%BD%D1%8B%D0%B5-%D0%BA%D1%83%D1%80%D1%81%D1%8B/backend-%D1%85%D0%B0%D1%80%D0%B4/
https://old.postypashki.ru/%D0%BA%D0%B0%D1%80%D1%8C%D0%B5%D1%80%D0%BD%D1%8B%D0%B5-%D0%BA%D1%83%D1%80%D1%81%D1%8B/%D0%B0%D0%BB%D0%B3%D0%BE%D1%80%D0%B8%D1%82%D0%BC%D1%8B-%D1%85%D0%B0%D1%80%D0%B4/
https://old.postypashki.ru/%D0%BA%D0%B0%D1%80%D1%8C%D0%B5%D1%80%D0%BD%D1%8B%D0%B5-%D0%BA%D1%83%D1%80%D1%81%D1%8B/ai-%D0%B0%D0%B3%D0%B5%D0%BD%D1%82%D1%8B-%D0%BF%D1%80%D0%BE/</v>
      </c>
      <c r="Z176" s="6" t="b">
        <f>IFERROR(__xludf.DUMMYFUNCTION("""COMPUTED_VALUE"""),TRUE)</f>
        <v>1</v>
      </c>
      <c r="AA176" s="6" t="str">
        <f>IFERROR(__xludf.DUMMYFUNCTION("""COMPUTED_VALUE"""),"")</f>
        <v/>
      </c>
      <c r="AB176" s="6" t="str">
        <f>IFERROR(__xludf.DUMMYFUNCTION("""COMPUTED_VALUE"""),"")</f>
        <v/>
      </c>
      <c r="AC176" s="6" t="str">
        <f>IFERROR(__xludf.DUMMYFUNCTION("""COMPUTED_VALUE"""),"")</f>
        <v/>
      </c>
      <c r="AD176" s="6" t="str">
        <f>IFERROR(__xludf.DUMMYFUNCTION("""COMPUTED_VALUE"""),"")</f>
        <v/>
      </c>
      <c r="AE176" s="6" t="str">
        <f>IFERROR(__xludf.DUMMYFUNCTION("""COMPUTED_VALUE"""),"")</f>
        <v/>
      </c>
      <c r="AF176" s="6" t="str">
        <f>IFERROR(__xludf.DUMMYFUNCTION("""COMPUTED_VALUE"""),"Не подтверждено")</f>
        <v>Не подтверждено</v>
      </c>
      <c r="AG176" s="6" t="str">
        <f>IFERROR(__xludf.DUMMYFUNCTION("""COMPUTED_VALUE"""),"")</f>
        <v/>
      </c>
      <c r="AH176" s="6" t="str">
        <f>IFERROR(__xludf.DUMMYFUNCTION("""COMPUTED_VALUE"""),"2026-09-11T11:47:34.275826+00:00")</f>
        <v>2026-09-11T11:47:34.275826+00:00</v>
      </c>
      <c r="AI176" s="6" t="str">
        <f>IFERROR(__xludf.DUMMYFUNCTION("""COMPUTED_VALUE"""),"raw/ProdAnalysis/page_000.html")</f>
        <v>raw/ProdAnalysis/page_000.html</v>
      </c>
      <c r="AJ176" s="9" t="s">
        <v>223</v>
      </c>
      <c r="AK176" s="9" t="s">
        <v>242</v>
      </c>
      <c r="AL176" s="9" t="s">
        <v>244</v>
      </c>
      <c r="AM176" s="9" t="s">
        <v>237</v>
      </c>
      <c r="AN176" s="4" t="str">
        <f>IFERROR(__xludf.DUMMYFUNCTION("IF(OR(AJ176=""general_brand"",AJ176=""external"",AJ176=""unknown""),"""",IF(AJ176=""product_line"",IF(AK176=""START"",""Аналитика старт | Алгоритмы старт | Backend старт | ML старт"",IF(AK176=""PRO"",""AI-агенты про | Алгоритмы про | Аналитика про | ML пр"&amp;"о | Backend про"",IF(AK176=""START | PRO"",""Аналитика старт | Алгоритмы старт | Backend старт | ML старт | AI-агенты про | Алгоритмы про | Аналитика про | ML про | Backend про"",""""))),TEXTJOIN("" | "",TRUE,IF(REGEXMATCH(LOWER(AL176&amp;"" | ""&amp;E176),""анал"&amp;"итика старт""),""Аналитика старт"",""""),IF(REGEXMATCH(LOWER(AL176&amp;"" | ""&amp;E176),""алгоритмы старт""),""Алгоритмы старт"",""""),IF(REGEXMATCH(LOWER(AL176&amp;"" | ""&amp;E176),""backend старт""),""Backend старт"",""""),IF(REGEXMATCH(LOWER(AL176&amp;"" | ""&amp;E176),""ml"&amp;" старт""),""ML старт"",""""),IF(REGEXMATCH(LOWER(AL176&amp;"" | ""&amp;E176),""ai[ -]?агент""),""AI-агенты про"",""""),IF(REGEXMATCH(LOWER(AL176&amp;"" | ""&amp;E176),""алгоритмы про""),""Алгоритмы про"",""""),IF(REGEXMATCH(LOWER(AL176&amp;"" | ""&amp;E176),""аналитика про""),"""&amp;"Аналитика про"",""""),IF(REGEXMATCH(LOWER(AL176&amp;"" | ""&amp;E176),""ml про""),""ML про"",""""),IF(REGEXMATCH(LOWER(AL176&amp;"" | ""&amp;E176),""backend про""),""Backend про"",""""),IF(REGEXMATCH(LOWER(AL176&amp;"" | ""&amp;E176),""(а/в|ав|а в|ab)[ -]?тест""),""А/В-тесты"","&amp;"""""),IF(REGEXMATCH(LOWER(AL176&amp;"" | ""&amp;E176),""data science""),""Data science"",""""),IF(REGEXMATCH(LOWER(AL176&amp;"" | ""&amp;E176),""data[- ]?инжен""),""Data-инженер"",""""),IF(REGEXMATCH(LOWER(AL176&amp;"" | ""&amp;E176),""frontend""),""Frontend"",""""))))"),"AI-агенты про | Алгоритмы про | Аналитика про | ML про | Backend про")</f>
        <v>AI-агенты про | Алгоритмы про | Аналитика про | ML про | Backend про</v>
      </c>
    </row>
    <row r="177">
      <c r="A177" s="6" t="str">
        <f>IFERROR(__xludf.DUMMYFUNCTION("""COMPUTED_VALUE"""),"EXT-77")</f>
        <v>EXT-77</v>
      </c>
      <c r="B177" s="6" t="str">
        <f>IFERROR(__xludf.DUMMYFUNCTION("""COMPUTED_VALUE"""),"2026-08-28 19:35:59")</f>
        <v>2026-08-28 19:35:59</v>
      </c>
      <c r="C177" s="6" t="str">
        <f>IFERROR(__xludf.DUMMYFUNCTION("""COMPUTED_VALUE"""),"@zadachi_ds")</f>
        <v>@zadachi_ds</v>
      </c>
      <c r="D177" s="4" t="str">
        <f>IFERROR(__xludf.DUMMYFUNCTION("""COMPUTED_VALUE"""),"Прочий контент")</f>
        <v>Прочий контент</v>
      </c>
      <c r="E177" s="6" t="str">
        <f>IFERROR(__xludf.DUMMYFUNCTION("""COMPUTED_VALUE"""),"")</f>
        <v/>
      </c>
      <c r="F177" s="6" t="str">
        <f>IFERROR(__xludf.DUMMYFUNCTION("""COMPUTED_VALUE"""),"")</f>
        <v/>
      </c>
      <c r="G177" s="10" t="str">
        <f>IFERROR(__xludf.DUMMYFUNCTION("""COMPUTED_VALUE"""),"https://t.me/zadachi_ds/414")</f>
        <v>https://t.me/zadachi_ds/414</v>
      </c>
      <c r="H177" s="6" t="str">
        <f>IFERROR(__xludf.DUMMYFUNCTION("""COMPUTED_VALUE"""),"Что спрашивают про трансформеры на собесах в 2026 году 
Собрал вопросы по горячим следам: с собесов наших студентов, чтобы вы знали к чему готовиться. 
1. Предобработка: BPE и тд
Эти вопросы чаще летят в ML Ops или в ML SWE, но и чистым моделистам тоже "&amp;"могут прилететь. Суть реализовать какой-нибудь пайплайн обработки данных. Самый частый гость токенизация через BPE.
BPE красивый и интуитивный алгоритм, но реализация требует возни со словарями, списками и краевыми случаями. 
2. Классика: написать self-a"&amp;"ttention на NumPy
Удивительно, но задача «напишите ванильный self-attention» до сих пор жива. Причём в том же виде, что и пару лет назад. И, что ещё удивительнее, многие кандидаты с ней не справляются.
Но суть не в том, чтобы просто написать код. Это толь"&amp;"ко повод для дискуссии. Дальше начинаются детали:
• зачем вообще нормировать QK на корень из размерности?
• как сделать softmax стабильным численно?
• как посчитать Q, K, V одной матричной операцией?
3. Сэмплинг
Greedy Decoding - это для дебага. В продак"&amp;"шне используют вероятностные методы, и интервьюеры это знают. Поэтому сейчас часто спрашивают про стратегии сэмплинга.
Самый популярный вариант: top-p. Хорошие примеры реализации можно найти на разных ресурсах (например, ComfyAI, там вообще кладезь). Кста"&amp;"ти, полезно уверенно владеть матричными фреймворками: Torch, NumPy, JAX. Чтобы если попросят реализовать что-то нестандартное (типа min-p), не растеряться.
 4. Inference Loop
Здесь проверяют, как вы взаимодействуете с архитектурой модели на уровне тензор"&amp;"ов. На вход: тензоры, на выход — тензоры. Но есть нюансы: надо хранить кэш, логиты, ещё что-то.
Это требует детального понимания того, как трансформер работает внутри. Полезно порешать похожие задачи на специализированных платформах (например, NeetCode). "&amp;"Там есть задачи и про GPT. 
5. ML Debugging
Самый свежий формат. Вам дают ноутбук с кодом нейросети или пайплайном и просят найти баги. Всё.
Я встречал такой формат в зарубежных бигтехах. Дали код GPT2, где было сломано буквально всё: модель выдавала NaN"&amp;" на второй итерации. Надо было поправить и добиться адекватного падения лосса. Другой кейс — модель выдавала разные ответы на одни и те же входы. Надо было найти все источники недетерминированности.
Еще больше вопрос в нашем открытом банке собесов и тест"&amp;"овых заданий: смотрите на сайте. 
Подписаться: @zadachi_ds")</f>
        <v>Что спрашивают про трансформеры на собесах в 2026 году 
Собрал вопросы по горячим следам: с собесов наших студентов, чтобы вы знали к чему готовиться. 
1. Предобработка: BPE и тд
Эти вопросы чаще летят в ML Ops или в ML SWE, но и чистым моделистам тоже могут прилететь. Суть реализовать какой-нибудь пайплайн обработки данных. Самый частый гость токенизация через BPE.
BPE красивый и интуитивный алгоритм, но реализация требует возни со словарями, списками и краевыми случаями. 
2. Классика: написать self-attention на NumPy
Удивительно, но задача «напишите ванильный self-attention» до сих пор жива. Причём в том же виде, что и пару лет назад. И, что ещё удивительнее, многие кандидаты с ней не справляются.
Но суть не в том, чтобы просто написать код. Это только повод для дискуссии. Дальше начинаются детали:
• зачем вообще нормировать QK на корень из размерности?
• как сделать softmax стабильным численно?
• как посчитать Q, K, V одной матричной операцией?
3. Сэмплинг
Greedy Decoding - это для дебага. В продакшне используют вероятностные методы, и интервьюеры это знают. Поэтому сейчас часто спрашивают про стратегии сэмплинга.
Самый популярный вариант: top-p. Хорошие примеры реализации можно найти на разных ресурсах (например, ComfyAI, там вообще кладезь). Кстати, полезно уверенно владеть матричными фреймворками: Torch, NumPy, JAX. Чтобы если попросят реализовать что-то нестандартное (типа min-p), не растеряться.
 4. Inference Loop
Здесь проверяют, как вы взаимодействуете с архитектурой модели на уровне тензоров. На вход: тензоры, на выход — тензоры. Но есть нюансы: надо хранить кэш, логиты, ещё что-то.
Это требует детального понимания того, как трансформер работает внутри. Полезно порешать похожие задачи на специализированных платформах (например, NeetCode). Там есть задачи и про GPT. 
5. ML Debugging
Самый свежий формат. Вам дают ноутбук с кодом нейросети или пайплайном и просят найти баги. Всё.
Я встречал такой формат в зарубежных бигтехах. Дали код GPT2, где было сломано буквально всё: модель выдавала NaN на второй итерации. Надо было поправить и добиться адекватного падения лосса. Другой кейс — модель выдавала разные ответы на одни и те же входы. Надо было найти все источники недетерминированности.
Еще больше вопрос в нашем открытом банке собесов и тестовых заданий: смотрите на сайте. 
Подписаться: @zadachi_ds</v>
      </c>
      <c r="I177" s="6" t="str">
        <f>IFERROR(__xludf.DUMMYFUNCTION("""COMPUTED_VALUE"""),"external")</f>
        <v>external</v>
      </c>
      <c r="J177" s="10" t="str">
        <f>IFERROR(__xludf.DUMMYFUNCTION("""COMPUTED_VALUE"""),"https://t.me/zadachi_ds/414")</f>
        <v>https://t.me/zadachi_ds/414</v>
      </c>
      <c r="K177" s="6">
        <f>IFERROR(__xludf.DUMMYFUNCTION("""COMPUTED_VALUE"""),4890.0)</f>
        <v>4890</v>
      </c>
      <c r="L177" s="6">
        <f>IFERROR(__xludf.DUMMYFUNCTION("""COMPUTED_VALUE"""),10.0)</f>
        <v>10</v>
      </c>
      <c r="M177" s="6"/>
      <c r="N177" s="6" t="str">
        <f>IFERROR(__xludf.DUMMYFUNCTION("""COMPUTED_VALUE"""),"Telegram")</f>
        <v>Telegram</v>
      </c>
      <c r="O177" s="6" t="str">
        <f>IFERROR(__xludf.DUMMYFUNCTION("""COMPUTED_VALUE"""),"raw")</f>
        <v>raw</v>
      </c>
      <c r="P177" s="6" t="str">
        <f>IFERROR(__xludf.DUMMYFUNCTION("""COMPUTED_VALUE"""),"Codex")</f>
        <v>Codex</v>
      </c>
      <c r="Q177" s="6" t="str">
        <f>IFERROR(__xludf.DUMMYFUNCTION("""COMPUTED_VALUE"""),"Общий контакт @vice22821; признак связи с проектом")</f>
        <v>Общий контакт @vice22821; признак связи с проектом</v>
      </c>
      <c r="R177" s="6" t="str">
        <f>IFERROR(__xludf.DUMMYFUNCTION("""COMPUTED_VALUE"""),"unknown")</f>
        <v>unknown</v>
      </c>
      <c r="S177" s="6" t="str">
        <f>IFERROR(__xludf.DUMMYFUNCTION("""COMPUTED_VALUE"""),"unknown")</f>
        <v>unknown</v>
      </c>
      <c r="T177" s="6" t="str">
        <f>IFERROR(__xludf.DUMMYFUNCTION("""COMPUTED_VALUE"""),"telegram_external")</f>
        <v>telegram_external</v>
      </c>
      <c r="U177" s="6" t="str">
        <f>IFERROR(__xludf.DUMMYFUNCTION("""COMPUTED_VALUE"""),"Прочий контент")</f>
        <v>Прочий контент</v>
      </c>
      <c r="V177" s="6" t="str">
        <f>IFERROR(__xludf.DUMMYFUNCTION("""COMPUTED_VALUE"""),"")</f>
        <v/>
      </c>
      <c r="W177" s="6" t="str">
        <f>IFERROR(__xludf.DUMMYFUNCTION("""COMPUTED_VALUE"""),"")</f>
        <v/>
      </c>
      <c r="X177" s="6"/>
      <c r="Y177" s="6" t="str">
        <f>IFERROR(__xludf.DUMMYFUNCTION("""COMPUTED_VALUE"""),"https://t.me/postypashki_old/1859
https://old.postypashki.ru/%D0%BC%D0%B0%D1%88%D0%B8%D0%BD%D0%BD%D0%BE%D0%B5-%D0%BE%D0%B1%D1%83%D1%87%D0%B5%D0%BD%D0%B8%D0%B5/")</f>
        <v>https://t.me/postypashki_old/1859
https://old.postypashki.ru/%D0%BC%D0%B0%D1%88%D0%B8%D0%BD%D0%BD%D0%BE%D0%B5-%D0%BE%D0%B1%D1%83%D1%87%D0%B5%D0%BD%D0%B8%D0%B5/</v>
      </c>
      <c r="Z177" s="6" t="b">
        <f>IFERROR(__xludf.DUMMYFUNCTION("""COMPUTED_VALUE"""),TRUE)</f>
        <v>1</v>
      </c>
      <c r="AA177" s="6" t="str">
        <f>IFERROR(__xludf.DUMMYFUNCTION("""COMPUTED_VALUE"""),"")</f>
        <v/>
      </c>
      <c r="AB177" s="6" t="str">
        <f>IFERROR(__xludf.DUMMYFUNCTION("""COMPUTED_VALUE"""),"")</f>
        <v/>
      </c>
      <c r="AC177" s="6" t="str">
        <f>IFERROR(__xludf.DUMMYFUNCTION("""COMPUTED_VALUE"""),"")</f>
        <v/>
      </c>
      <c r="AD177" s="6" t="str">
        <f>IFERROR(__xludf.DUMMYFUNCTION("""COMPUTED_VALUE"""),"")</f>
        <v/>
      </c>
      <c r="AE177" s="6" t="str">
        <f>IFERROR(__xludf.DUMMYFUNCTION("""COMPUTED_VALUE"""),"")</f>
        <v/>
      </c>
      <c r="AF177" s="6" t="str">
        <f>IFERROR(__xludf.DUMMYFUNCTION("""COMPUTED_VALUE"""),"Не подтверждено")</f>
        <v>Не подтверждено</v>
      </c>
      <c r="AG177" s="6" t="str">
        <f>IFERROR(__xludf.DUMMYFUNCTION("""COMPUTED_VALUE"""),"")</f>
        <v/>
      </c>
      <c r="AH177" s="6" t="str">
        <f>IFERROR(__xludf.DUMMYFUNCTION("""COMPUTED_VALUE"""),"2026-09-11T11:47:39.365425+00:00")</f>
        <v>2026-09-11T11:47:39.365425+00:00</v>
      </c>
      <c r="AI177" s="6" t="str">
        <f>IFERROR(__xludf.DUMMYFUNCTION("""COMPUTED_VALUE"""),"raw/zadachi_ds/page_000.html")</f>
        <v>raw/zadachi_ds/page_000.html</v>
      </c>
      <c r="AJ177" s="9" t="s">
        <v>208</v>
      </c>
      <c r="AM177" s="9" t="s">
        <v>226</v>
      </c>
      <c r="AN177" s="6" t="str">
        <f>IFERROR(__xludf.DUMMYFUNCTION("IF(OR(AJ177=""general_brand"",AJ177=""external"",AJ177=""unknown""),"""",IF(AJ177=""product_line"",IF(AK177=""START"",""Аналитика старт | Алгоритмы старт | Backend старт | ML старт"",IF(AK177=""PRO"",""AI-агенты про | Алгоритмы про | Аналитика про | ML пр"&amp;"о | Backend про"",IF(AK177=""START | PRO"",""Аналитика старт | Алгоритмы старт | Backend старт | ML старт | AI-агенты про | Алгоритмы про | Аналитика про | ML про | Backend про"",""""))),TEXTJOIN("" | "",TRUE,IF(REGEXMATCH(LOWER(AL177&amp;"" | ""&amp;E177),""анал"&amp;"итика старт""),""Аналитика старт"",""""),IF(REGEXMATCH(LOWER(AL177&amp;"" | ""&amp;E177),""алгоритмы старт""),""Алгоритмы старт"",""""),IF(REGEXMATCH(LOWER(AL177&amp;"" | ""&amp;E177),""backend старт""),""Backend старт"",""""),IF(REGEXMATCH(LOWER(AL177&amp;"" | ""&amp;E177),""ml"&amp;" старт""),""ML старт"",""""),IF(REGEXMATCH(LOWER(AL177&amp;"" | ""&amp;E177),""ai[ -]?агент""),""AI-агенты про"",""""),IF(REGEXMATCH(LOWER(AL177&amp;"" | ""&amp;E177),""алгоритмы про""),""Алгоритмы про"",""""),IF(REGEXMATCH(LOWER(AL177&amp;"" | ""&amp;E177),""аналитика про""),"""&amp;"Аналитика про"",""""),IF(REGEXMATCH(LOWER(AL177&amp;"" | ""&amp;E177),""ml про""),""ML про"",""""),IF(REGEXMATCH(LOWER(AL177&amp;"" | ""&amp;E177),""backend про""),""Backend про"",""""),IF(REGEXMATCH(LOWER(AL177&amp;"" | ""&amp;E177),""(а/в|ав|а в|ab)[ -]?тест""),""А/В-тесты"","&amp;"""""),IF(REGEXMATCH(LOWER(AL177&amp;"" | ""&amp;E177),""data science""),""Data science"",""""),IF(REGEXMATCH(LOWER(AL177&amp;"" | ""&amp;E177),""data[- ]?инжен""),""Data-инженер"",""""),IF(REGEXMATCH(LOWER(AL177&amp;"" | ""&amp;E177),""frontend""),""Frontend"",""""))))"),"")</f>
        <v/>
      </c>
    </row>
    <row r="178">
      <c r="A178" s="6" t="str">
        <f>IFERROR(__xludf.DUMMYFUNCTION("""COMPUTED_VALUE"""),"EXT-78")</f>
        <v>EXT-78</v>
      </c>
      <c r="B178" s="6" t="str">
        <f>IFERROR(__xludf.DUMMYFUNCTION("""COMPUTED_VALUE"""),"2026-08-29 12:17:00")</f>
        <v>2026-08-29 12:17:00</v>
      </c>
      <c r="C178" s="6" t="str">
        <f>IFERROR(__xludf.DUMMYFUNCTION("""COMPUTED_VALUE"""),"@chad_protocol")</f>
        <v>@chad_protocol</v>
      </c>
      <c r="D178" s="4" t="str">
        <f>IFERROR(__xludf.DUMMYFUNCTION("""COMPUTED_VALUE"""),"Контент с предложением курсов")</f>
        <v>Контент с предложением курсов</v>
      </c>
      <c r="E178" s="6" t="str">
        <f>IFERROR(__xludf.DUMMYFUNCTION("""COMPUTED_VALUE"""),"")</f>
        <v/>
      </c>
      <c r="F178" s="6" t="str">
        <f>IFERROR(__xludf.DUMMYFUNCTION("""COMPUTED_VALUE"""),"")</f>
        <v/>
      </c>
      <c r="G178" s="10" t="str">
        <f>IFERROR(__xludf.DUMMYFUNCTION("""COMPUTED_VALUE"""),"https://t.me/chad_protocol/529")</f>
        <v>https://t.me/chad_protocol/529</v>
      </c>
      <c r="H178" s="6" t="str">
        <f>IFERROR(__xludf.DUMMYFUNCTION("""COMPUTED_VALUE"""),"Как накрутить опыт для валютной удалёнки
Так ру рынок уже уронили, пора ронять запад. В посте обсудим как упаковать свой опыт в легенду для ВУ рыночка. 
Сколько лет ставить
Минимум - 5. Всё, что меньше, не рассматривают. На валютную удалёнку джунов не р"&amp;"ассматривают вообще, только если это не какой-нибудь хфт. Оптимально 5–7 лет. Карьерный путь должен быть непрерывным: никаких пробелов, никаких перерывов на ""поиск себя"". Идеально: 3 компании. Первая - 2 года, вторая - полтора, третья - добиваешь до пят"&amp;"и.
Какие компании указывать
Первое место: российский бигтех (Сбер, Яндекс, Авито, ВК).  У них нормальная культура разработки, и это легко продать как ""место, где я вырос"". Потом ты в 2023 году переехал в Европу по политическим причинам, но никого не ос"&amp;"уждаешь, просто уехал.
Второе и третье: европейский аутсорс. EPAM, Luxoft. В аутсорсах легко подогнать опыт под конкретную вакансию. Плюс ты показываешь навыки автономной работы, что ценят на удалёнке.
Как строить карьерный путь
Грейды должны расти плавн"&amp;"о. Начинаешь джуном в РФ: выполняешь рутинные задачи, набираешься опыта. Через полтора-два года становишься мидлом. Потом переходишь в аутсорс уже сеньором, менторишь, видишь картину целиком. Важно на собеседовании проговариваешь этот путь. Если сразу выд"&amp;"аёшь сеньорский опыт без истории роста, тебя спалят. Все хотят видеть последовательность.
Мотивация
Твоя история должна звучать примерно так: ""Я учился в вузе, увлёкся математикой, узнал про ML, тренировался, прошёл собеседования, работал, рос, перегора"&amp;"л, восстанавливался, вырос до сеньора"".
Только не показывай, что тебя мотивируют деньги. Компании хотят увлечённых людей, которым можно платить меньше. Это сейчас тренд - все экономят, и те, кто горит своим делом, ценятся больше. Сделай акцент на интерес"&amp;"е к профессии.
Проекты
У тебя должно быть три завершённых проекта по одному на место работы. Каждый проект раскладывай на части:
1. Бизнес-контекст. Какая была проблема? Например: ""Данные разбросаны по разным базам, сотрудники тратят часы на поиск инфо"&amp;"рмации, никакой структуры, полный хаос"".
2. Твоя роль. На первых местах джун/мидл, на последних ""играющий тренер"", который и код пишет, и менторит. Это идеальный кандидат для найма.
3. Завершённое действие. Что конкретно ты сделал? Не ""писал код"", а "&amp;"""разработал RAG-систему для обработки документов, которая сократила время поиска с 3 часов до 30 минут"". Конкретика, а не ""я там фичи добавлял"".
4. Метрики. Всегда две группы: технические (F1, recall, latency) и экономические (сколько денег твоё решен"&amp;"ие принесло). Технические метрики для себя, чтобы понимать, движешься ли ты в правильном направлении. Экономические для HR, чтобы показать, что компания потратила на тебя деньги не зря.
5. Экономический эффект. Считай по формуле: средняя зарплата специали"&amp;"ста (например, 7000) умножить на 20.Получается 140 000 в год. Твой проект должен приносить как минимум столько. Объясняешь это тем, что система автоматизирует работу нескольких человек, и компания экономит на зарплатах.
Как собрать актуальный стек
Парсиш"&amp;"ь 100 вакансий на hhru или LinkedIn, смотришь, какие технологии чаще всего требуются, берёшь топ-10 и вставляешь в резюме. Больше подробностей на нашем ""валютном блоке"" в курсах ПРО.
➡️ Записаться
Подписаться: @chad_protocol")</f>
        <v>Как накрутить опыт для валютной удалёнки
Так ру рынок уже уронили, пора ронять запад. В посте обсудим как упаковать свой опыт в легенду для ВУ рыночка. 
Сколько лет ставить
Минимум - 5. Всё, что меньше, не рассматривают. На валютную удалёнку джунов не рассматривают вообще, только если это не какой-нибудь хфт. Оптимально 5–7 лет. Карьерный путь должен быть непрерывным: никаких пробелов, никаких перерывов на "поиск себя". Идеально: 3 компании. Первая - 2 года, вторая - полтора, третья - добиваешь до пяти.
Какие компании указывать
Первое место: российский бигтех (Сбер, Яндекс, Авито, ВК).  У них нормальная культура разработки, и это легко продать как "место, где я вырос". Потом ты в 2023 году переехал в Европу по политическим причинам, но никого не осуждаешь, просто уехал.
Второе и третье: европейский аутсорс. EPAM, Luxoft. В аутсорсах легко подогнать опыт под конкретную вакансию. Плюс ты показываешь навыки автономной работы, что ценят на удалёнке.
Как строить карьерный путь
Грейды должны расти плавно. Начинаешь джуном в РФ: выполняешь рутинные задачи, набираешься опыта. Через полтора-два года становишься мидлом. Потом переходишь в аутсорс уже сеньором, менторишь, видишь картину целиком. Важно на собеседовании проговариваешь этот путь. Если сразу выдаёшь сеньорский опыт без истории роста, тебя спалят. Все хотят видеть последовательность.
Мотивация
Твоя история должна звучать примерно так: "Я учился в вузе, увлёкся математикой, узнал про ML, тренировался, прошёл собеседования, работал, рос, перегорал, восстанавливался, вырос до сеньора".
Только не показывай, что тебя мотивируют деньги. Компании хотят увлечённых людей, которым можно платить меньше. Это сейчас тренд - все экономят, и те, кто горит своим делом, ценятся больше. Сделай акцент на интересе к профессии.
Проекты
У тебя должно быть три завершённых проекта по одному на место работы. Каждый проект раскладывай на части:
1. Бизнес-контекст. Какая была проблема? Например: "Данные разбросаны по разным базам, сотрудники тратят часы на поиск информации, никакой структуры, полный хаос".
2. Твоя роль. На первых местах джун/мидл, на последних "играющий тренер", который и код пишет, и менторит. Это идеальный кандидат для найма.
3. Завершённое действие. Что конкретно ты сделал? Не "писал код", а "разработал RAG-систему для обработки документов, которая сократила время поиска с 3 часов до 30 минут". Конкретика, а не "я там фичи добавлял".
4. Метрики. Всегда две группы: технические (F1, recall, latency) и экономические (сколько денег твоё решение принесло). Технические метрики для себя, чтобы понимать, движешься ли ты в правильном направлении. Экономические для HR, чтобы показать, что компания потратила на тебя деньги не зря.
5. Экономический эффект. Считай по формуле: средняя зарплата специалиста (например, 7000) умножить на 20.Получается 140 000 в год. Твой проект должен приносить как минимум столько. Объясняешь это тем, что система автоматизирует работу нескольких человек, и компания экономит на зарплатах.
Как собрать актуальный стек
Парсишь 100 вакансий на hhru или LinkedIn, смотришь, какие технологии чаще всего требуются, берёшь топ-10 и вставляешь в резюме. Больше подробностей на нашем "валютном блоке" в курсах ПРО.
➡️ Записаться
Подписаться: @chad_protocol</v>
      </c>
      <c r="I178" s="6" t="str">
        <f>IFERROR(__xludf.DUMMYFUNCTION("""COMPUTED_VALUE"""),"external")</f>
        <v>external</v>
      </c>
      <c r="J178" s="10" t="str">
        <f>IFERROR(__xludf.DUMMYFUNCTION("""COMPUTED_VALUE"""),"https://t.me/chad_protocol/529")</f>
        <v>https://t.me/chad_protocol/529</v>
      </c>
      <c r="K178" s="6">
        <f>IFERROR(__xludf.DUMMYFUNCTION("""COMPUTED_VALUE"""),5960.0)</f>
        <v>5960</v>
      </c>
      <c r="L178" s="6">
        <f>IFERROR(__xludf.DUMMYFUNCTION("""COMPUTED_VALUE"""),25.0)</f>
        <v>25</v>
      </c>
      <c r="M178" s="6"/>
      <c r="N178" s="6" t="str">
        <f>IFERROR(__xludf.DUMMYFUNCTION("""COMPUTED_VALUE"""),"Telegram")</f>
        <v>Telegram</v>
      </c>
      <c r="O178" s="6" t="str">
        <f>IFERROR(__xludf.DUMMYFUNCTION("""COMPUTED_VALUE"""),"raw")</f>
        <v>raw</v>
      </c>
      <c r="P178" s="6" t="str">
        <f>IFERROR(__xludf.DUMMYFUNCTION("""COMPUTED_VALUE"""),"Codex")</f>
        <v>Codex</v>
      </c>
      <c r="Q178" s="6" t="str">
        <f>IFERROR(__xludf.DUMMYFUNCTION("""COMPUTED_VALUE"""),"Общий контакт @vice22821; признак связи с проектом")</f>
        <v>Общий контакт @vice22821; признак связи с проектом</v>
      </c>
      <c r="R178" s="6" t="str">
        <f>IFERROR(__xludf.DUMMYFUNCTION("""COMPUTED_VALUE"""),"unknown")</f>
        <v>unknown</v>
      </c>
      <c r="S178" s="6" t="str">
        <f>IFERROR(__xludf.DUMMYFUNCTION("""COMPUTED_VALUE"""),"unknown")</f>
        <v>unknown</v>
      </c>
      <c r="T178" s="6" t="str">
        <f>IFERROR(__xludf.DUMMYFUNCTION("""COMPUTED_VALUE"""),"telegram_external")</f>
        <v>telegram_external</v>
      </c>
      <c r="U178" s="6" t="str">
        <f>IFERROR(__xludf.DUMMYFUNCTION("""COMPUTED_VALUE"""),"Контент с предложением курсов")</f>
        <v>Контент с предложением курсов</v>
      </c>
      <c r="V178" s="6" t="str">
        <f>IFERROR(__xludf.DUMMYFUNCTION("""COMPUTED_VALUE"""),"")</f>
        <v/>
      </c>
      <c r="W178" s="6" t="str">
        <f>IFERROR(__xludf.DUMMYFUNCTION("""COMPUTED_VALUE"""),"")</f>
        <v/>
      </c>
      <c r="X178" s="6"/>
      <c r="Y178" s="6" t="str">
        <f>IFERROR(__xludf.DUMMYFUNCTION("""COMPUTED_VALUE"""),"https://t.me/postypashki_old/1859
https://t.me/m/p94YcePXNjcy")</f>
        <v>https://t.me/postypashki_old/1859
https://t.me/m/p94YcePXNjcy</v>
      </c>
      <c r="Z178" s="6" t="b">
        <f>IFERROR(__xludf.DUMMYFUNCTION("""COMPUTED_VALUE"""),TRUE)</f>
        <v>1</v>
      </c>
      <c r="AA178" s="6" t="str">
        <f>IFERROR(__xludf.DUMMYFUNCTION("""COMPUTED_VALUE"""),"")</f>
        <v/>
      </c>
      <c r="AB178" s="6" t="str">
        <f>IFERROR(__xludf.DUMMYFUNCTION("""COMPUTED_VALUE"""),"")</f>
        <v/>
      </c>
      <c r="AC178" s="6" t="str">
        <f>IFERROR(__xludf.DUMMYFUNCTION("""COMPUTED_VALUE"""),"")</f>
        <v/>
      </c>
      <c r="AD178" s="6" t="str">
        <f>IFERROR(__xludf.DUMMYFUNCTION("""COMPUTED_VALUE"""),"")</f>
        <v/>
      </c>
      <c r="AE178" s="6" t="str">
        <f>IFERROR(__xludf.DUMMYFUNCTION("""COMPUTED_VALUE"""),"")</f>
        <v/>
      </c>
      <c r="AF178" s="6" t="str">
        <f>IFERROR(__xludf.DUMMYFUNCTION("""COMPUTED_VALUE"""),"Не подтверждено")</f>
        <v>Не подтверждено</v>
      </c>
      <c r="AG178" s="6" t="str">
        <f>IFERROR(__xludf.DUMMYFUNCTION("""COMPUTED_VALUE"""),"")</f>
        <v/>
      </c>
      <c r="AH178" s="6" t="str">
        <f>IFERROR(__xludf.DUMMYFUNCTION("""COMPUTED_VALUE"""),"2026-09-11T11:47:50.761841+00:00")</f>
        <v>2026-09-11T11:47:50.761841+00:00</v>
      </c>
      <c r="AI178" s="6" t="str">
        <f>IFERROR(__xludf.DUMMYFUNCTION("""COMPUTED_VALUE"""),"raw/chad_protocol/page_000.html")</f>
        <v>raw/chad_protocol/page_000.html</v>
      </c>
      <c r="AJ178" s="9" t="s">
        <v>167</v>
      </c>
      <c r="AK178" s="9" t="s">
        <v>242</v>
      </c>
      <c r="AM178" s="9" t="s">
        <v>219</v>
      </c>
      <c r="AN178" s="4" t="str">
        <f>IFERROR(__xludf.DUMMYFUNCTION("IF(OR(AJ178=""general_brand"",AJ178=""external"",AJ178=""unknown""),"""",IF(AJ178=""product_line"",IF(AK178=""START"",""Аналитика старт | Алгоритмы старт | Backend старт | ML старт"",IF(AK178=""PRO"",""AI-агенты про | Алгоритмы про | Аналитика про | ML пр"&amp;"о | Backend про"",IF(AK178=""START | PRO"",""Аналитика старт | Алгоритмы старт | Backend старт | ML старт | AI-агенты про | Алгоритмы про | Аналитика про | ML про | Backend про"",""""))),TEXTJOIN("" | "",TRUE,IF(REGEXMATCH(LOWER(AL178&amp;"" | ""&amp;E178),""анал"&amp;"итика старт""),""Аналитика старт"",""""),IF(REGEXMATCH(LOWER(AL178&amp;"" | ""&amp;E178),""алгоритмы старт""),""Алгоритмы старт"",""""),IF(REGEXMATCH(LOWER(AL178&amp;"" | ""&amp;E178),""backend старт""),""Backend старт"",""""),IF(REGEXMATCH(LOWER(AL178&amp;"" | ""&amp;E178),""ml"&amp;" старт""),""ML старт"",""""),IF(REGEXMATCH(LOWER(AL178&amp;"" | ""&amp;E178),""ai[ -]?агент""),""AI-агенты про"",""""),IF(REGEXMATCH(LOWER(AL178&amp;"" | ""&amp;E178),""алгоритмы про""),""Алгоритмы про"",""""),IF(REGEXMATCH(LOWER(AL178&amp;"" | ""&amp;E178),""аналитика про""),"""&amp;"Аналитика про"",""""),IF(REGEXMATCH(LOWER(AL178&amp;"" | ""&amp;E178),""ml про""),""ML про"",""""),IF(REGEXMATCH(LOWER(AL178&amp;"" | ""&amp;E178),""backend про""),""Backend про"",""""),IF(REGEXMATCH(LOWER(AL178&amp;"" | ""&amp;E178),""(а/в|ав|а в|ab)[ -]?тест""),""А/В-тесты"","&amp;"""""),IF(REGEXMATCH(LOWER(AL178&amp;"" | ""&amp;E178),""data science""),""Data science"",""""),IF(REGEXMATCH(LOWER(AL178&amp;"" | ""&amp;E178),""data[- ]?инжен""),""Data-инженер"",""""),IF(REGEXMATCH(LOWER(AL178&amp;"" | ""&amp;E178),""frontend""),""Frontend"",""""))))"),"AI-агенты про | Алгоритмы про | Аналитика про | ML про | Backend про")</f>
        <v>AI-агенты про | Алгоритмы про | Аналитика про | ML про | Backend про</v>
      </c>
    </row>
    <row r="179">
      <c r="A179" s="6" t="str">
        <f>IFERROR(__xludf.DUMMYFUNCTION("""COMPUTED_VALUE"""),"EXT-79")</f>
        <v>EXT-79</v>
      </c>
      <c r="B179" s="6" t="str">
        <f>IFERROR(__xludf.DUMMYFUNCTION("""COMPUTED_VALUE"""),"2026-08-29 12:05:56")</f>
        <v>2026-08-29 12:05:56</v>
      </c>
      <c r="C179" s="6" t="str">
        <f>IFERROR(__xludf.DUMMYFUNCTION("""COMPUTED_VALUE"""),"@codeof_art")</f>
        <v>@codeof_art</v>
      </c>
      <c r="D179" s="4" t="str">
        <f>IFERROR(__xludf.DUMMYFUNCTION("""COMPUTED_VALUE"""),"Запуск / набор")</f>
        <v>Запуск / набор</v>
      </c>
      <c r="E179" s="6" t="str">
        <f>IFERROR(__xludf.DUMMYFUNCTION("""COMPUTED_VALUE"""),"")</f>
        <v/>
      </c>
      <c r="F179" s="6" t="str">
        <f>IFERROR(__xludf.DUMMYFUNCTION("""COMPUTED_VALUE"""),"")</f>
        <v/>
      </c>
      <c r="G179" s="10" t="str">
        <f>IFERROR(__xludf.DUMMYFUNCTION("""COMPUTED_VALUE"""),"https://t.me/codeof_art/317")</f>
        <v>https://t.me/codeof_art/317</v>
      </c>
      <c r="H179" s="6" t="str">
        <f>IFERROR(__xludf.DUMMYFUNCTION("""COMPUTED_VALUE"""),"Выходим на новый уровень с линейкой 1️⃣1️⃣1️⃣
Товарищи, если база уже есть, то следующий шаг — углубиться в специализацию, закрыть пробелы, освоить новые инструменты и стать сильнее как специалист.
Для этого мы запускаем ПРО — углублённые карьерные курс"&amp;"ы для тех, кто хочет качать карьеру и заработок! Для записи и вопросов — пишите менеджеру
📎Курсы ПРО подойдут тем, кто:
— уже знает основы и хочет глубже разобраться в своей специализации
— хочет перейти с junior на middle и расти дальше
— готовится к "&amp;"собеседованиям на более сильные позиции
— хочет сменить роль и добрать недостающие навыки
— уже на старте имеет сильную базу и хочет целиться выше стажёрских и junior-позиций
➡️Действует гарантия: прошел курс, выполнил все рекомендации, но не получил офф"&amp;"ер — вернем деньги
➡️Курс длится 6 недель: теория, практика, домашние задания и пет-проект. Всё это время рядом преподаватель и куратор.
Открываем сразу 5 направлений:
➡️Аналитика ПРО
Продвинутый SQL, A/B-тесты, эконометрика, Causal Inference и ML.
➡️M"&amp;"L ПРО
Вывод модели в прод, MLOps, рекомендательные системы, ранжирование, uplift и динамическое преобразование.
➡️Backend ПРО
Многопоточка, System Desgin, Микросервисы, базы данных, кеширование, мониторинг и распределённые системы.
➡️Алгоритмы ПРО
Продв"&amp;"инутые алгоритмы и задачи для сложных технических интервью в hft фонды, faang+, для олимпиад и контестов.
➡️ИИ-агенты ПРО 
Будем разбираться не просто в LLM. Вы научитесь проектировать полноценные агентные системы и за курс соберём 5 собственных AI-агент"&amp;"ов и пройдём весь путь от архитектуры и инструментов до работы с RAG, multi-agent системами, MCP, evals и деплоем.
В программу всех курсов войдет:
🔵закрытый банк вопросов с интервью топовых бигтехов
🔵разбор ближайшей стажировки в Т-банк и Яндекс 
🔵moc"&amp;"k-собеседования с обратной связью
🔵рефералка в бигтех после защиты пет-проекта
🔵карьерная стратегия: резюме, поиск вакансий, подготовка к HR секциям
💰Бонус для всех записавшихся до 23.08 — курс про поиск валютной удалёнки и работы за рубежом в подарок")</f>
        <v>Выходим на новый уровень с линейкой 1️⃣1️⃣1️⃣
Товарищи, если база уже есть, то следующий шаг — углубиться в специализацию, закрыть пробелы, освоить новые инструменты и стать сильнее как специалист.
Для этого мы запускаем ПРО — углублённые карьерные курсы для тех, кто хочет качать карьеру и заработок! Для записи и вопросов — пишите менеджеру
📎Курсы ПРО подойдут тем, кто:
— уже знает основы и хочет глубже разобраться в своей специализации
— хочет перейти с junior на middle и расти дальше
— готовится к собеседованиям на более сильные позиции
— хочет сменить роль и добрать недостающие навыки
— уже на старте имеет сильную базу и хочет целиться выше стажёрских и junior-позиций
➡️Действует гарантия: прошел курс, выполнил все рекомендации, но не получил оффер — вернем деньги
➡️Курс длится 6 недель: теория, практика, домашние задания и пет-проект. Всё это время рядом преподаватель и куратор.
Открываем сразу 5 направлений:
➡️Аналитика ПРО
Продвинутый SQL, A/B-тесты, эконометрика, Causal Inference и ML.
➡️ML ПРО
Вывод модели в прод, MLOps, рекомендательные системы, ранжирование, uplift и динамическое преобразование.
➡️Backend ПРО
Многопоточка, System Desgin, Микросервисы, базы данных, кеширование, мониторинг и распределённые системы.
➡️Алгоритмы ПРО
Продвинутые алгоритмы и задачи для сложных технических интервью в hft фонды, faang+, для олимпиад и контестов.
➡️ИИ-агенты ПРО 
Будем разбираться не просто в LLM. Вы научитесь проектировать полноценные агентные системы и за курс соберём 5 собственных AI-агентов и пройдём весь путь от архитектуры и инструментов до работы с RAG, multi-agent системами, MCP, evals и деплоем.
В программу всех курсов войдет:
🔵закрытый банк вопросов с интервью топовых бигтехов
🔵разбор ближайшей стажировки в Т-банк и Яндекс 
🔵mock-собеседования с обратной связью
🔵рефералка в бигтех после защиты пет-проекта
🔵карьерная стратегия: резюме, поиск вакансий, подготовка к HR секциям
💰Бонус для всех записавшихся до 23.08 — курс про поиск валютной удалёнки и работы за рубежом в подарок</v>
      </c>
      <c r="I179" s="6" t="str">
        <f>IFERROR(__xludf.DUMMYFUNCTION("""COMPUTED_VALUE"""),"external")</f>
        <v>external</v>
      </c>
      <c r="J179" s="10" t="str">
        <f>IFERROR(__xludf.DUMMYFUNCTION("""COMPUTED_VALUE"""),"https://t.me/codeof_art/317")</f>
        <v>https://t.me/codeof_art/317</v>
      </c>
      <c r="K179" s="6">
        <f>IFERROR(__xludf.DUMMYFUNCTION("""COMPUTED_VALUE"""),352.0)</f>
        <v>352</v>
      </c>
      <c r="L179" s="6"/>
      <c r="M179" s="6"/>
      <c r="N179" s="6" t="str">
        <f>IFERROR(__xludf.DUMMYFUNCTION("""COMPUTED_VALUE"""),"Telegram")</f>
        <v>Telegram</v>
      </c>
      <c r="O179" s="6" t="str">
        <f>IFERROR(__xludf.DUMMYFUNCTION("""COMPUTED_VALUE"""),"raw")</f>
        <v>raw</v>
      </c>
      <c r="P179" s="6" t="str">
        <f>IFERROR(__xludf.DUMMYFUNCTION("""COMPUTED_VALUE"""),"Codex")</f>
        <v>Codex</v>
      </c>
      <c r="Q179" s="6" t="str">
        <f>IFERROR(__xludf.DUMMYFUNCTION("""COMPUTED_VALUE"""),"Общий контакт @vice22821; признак связи с проектом")</f>
        <v>Общий контакт @vice22821; признак связи с проектом</v>
      </c>
      <c r="R179" s="6" t="str">
        <f>IFERROR(__xludf.DUMMYFUNCTION("""COMPUTED_VALUE"""),"unknown")</f>
        <v>unknown</v>
      </c>
      <c r="S179" s="6" t="str">
        <f>IFERROR(__xludf.DUMMYFUNCTION("""COMPUTED_VALUE"""),"unknown")</f>
        <v>unknown</v>
      </c>
      <c r="T179" s="6" t="str">
        <f>IFERROR(__xludf.DUMMYFUNCTION("""COMPUTED_VALUE"""),"telegram_external")</f>
        <v>telegram_external</v>
      </c>
      <c r="U179" s="6" t="str">
        <f>IFERROR(__xludf.DUMMYFUNCTION("""COMPUTED_VALUE"""),"Запуск / набор")</f>
        <v>Запуск / набор</v>
      </c>
      <c r="V179" s="6" t="str">
        <f>IFERROR(__xludf.DUMMYFUNCTION("""COMPUTED_VALUE"""),"")</f>
        <v/>
      </c>
      <c r="W179" s="6" t="str">
        <f>IFERROR(__xludf.DUMMYFUNCTION("""COMPUTED_VALUE"""),"")</f>
        <v/>
      </c>
      <c r="X179" s="6" t="str">
        <f>IFERROR(__xludf.DUMMYFUNCTION("""COMPUTED_VALUE"""),"Forwarded from Поступашки - ШАД, Стажировки и Магистратура")</f>
        <v>Forwarded from Поступашки - ШАД, Стажировки и Магистратура</v>
      </c>
      <c r="Y179" s="6" t="str">
        <f>IFERROR(__xludf.DUMMYFUNCTION("""COMPUTED_VALUE"""),"https://t.me/postypashki_old/1859
https://t.me/m/p94YcePXNjcy
https://old.postypashki.ru/%D0%BA%D0%B0%D1%80%D1%8C%D0%B5%D1%80%D0%BD%D1%8B%D0%B5-%D0%BA%D1%83%D1%80%D1%81%D1%8B/%D0%B0%D0%BD%D0%B0%D0%BB%D0%B8%D1%82%D0%B8%D0%BA%D0%B0-%D1%85%D0%B0%D1%80%D0%B4/"&amp;"
https://old.postypashki.ru/%D0%BA%D0%B0%D1%80%D1%8C%D0%B5%D1%80%D0%BD%D1%8B%D0%B5-%D0%BA%D1%83%D1%80%D1%81%D1%8B/ml-%D1%85%D0%B0%D1%80%D0%B4/
https://old.postypashki.ru/%D0%BA%D0%B0%D1%80%D1%8C%D0%B5%D1%80%D0%BD%D1%8B%D0%B5-%D0%BA%D1%83%D1%80%D1%81%D1%8B"&amp;"/backend-%D1%85%D0%B0%D1%80%D0%B4/
https://old.postypashki.ru/%D0%BA%D0%B0%D1%80%D1%8C%D0%B5%D1%80%D0%BD%D1%8B%D0%B5-%D0%BA%D1%83%D1%80%D1%81%D1%8B/%D0%B0%D0%BB%D0%B3%D0%BE%D1%80%D0%B8%D1%82%D0%BC%D1%8B-%D1%85%D0%B0%D1%80%D0%B4/
https://old.postypashki.ru"&amp;"/%D0%BA%D0%B0%D1%80%D1%8C%D0%B5%D1%80%D0%BD%D1%8B%D0%B5-%D0%BA%D1%83%D1%80%D1%81%D1%8B/ai-%D0%B0%D0%B3%D0%B5%D0%BD%D1%82%D1%8B-%D0%BF%D1%80%D0%BE/")</f>
        <v>https://t.me/postypashki_old/1859
https://t.me/m/p94YcePXNjcy
https://old.postypashki.ru/%D0%BA%D0%B0%D1%80%D1%8C%D0%B5%D1%80%D0%BD%D1%8B%D0%B5-%D0%BA%D1%83%D1%80%D1%81%D1%8B/%D0%B0%D0%BD%D0%B0%D0%BB%D0%B8%D1%82%D0%B8%D0%BA%D0%B0-%D1%85%D0%B0%D1%80%D0%B4/
https://old.postypashki.ru/%D0%BA%D0%B0%D1%80%D1%8C%D0%B5%D1%80%D0%BD%D1%8B%D0%B5-%D0%BA%D1%83%D1%80%D1%81%D1%8B/ml-%D1%85%D0%B0%D1%80%D0%B4/
https://old.postypashki.ru/%D0%BA%D0%B0%D1%80%D1%8C%D0%B5%D1%80%D0%BD%D1%8B%D0%B5-%D0%BA%D1%83%D1%80%D1%81%D1%8B/backend-%D1%85%D0%B0%D1%80%D0%B4/
https://old.postypashki.ru/%D0%BA%D0%B0%D1%80%D1%8C%D0%B5%D1%80%D0%BD%D1%8B%D0%B5-%D0%BA%D1%83%D1%80%D1%81%D1%8B/%D0%B0%D0%BB%D0%B3%D0%BE%D1%80%D0%B8%D1%82%D0%BC%D1%8B-%D1%85%D0%B0%D1%80%D0%B4/
https://old.postypashki.ru/%D0%BA%D0%B0%D1%80%D1%8C%D0%B5%D1%80%D0%BD%D1%8B%D0%B5-%D0%BA%D1%83%D1%80%D1%81%D1%8B/ai-%D0%B0%D0%B3%D0%B5%D0%BD%D1%82%D1%8B-%D0%BF%D1%80%D0%BE/</v>
      </c>
      <c r="Z179" s="6" t="b">
        <f>IFERROR(__xludf.DUMMYFUNCTION("""COMPUTED_VALUE"""),TRUE)</f>
        <v>1</v>
      </c>
      <c r="AA179" s="6" t="str">
        <f>IFERROR(__xludf.DUMMYFUNCTION("""COMPUTED_VALUE"""),"")</f>
        <v/>
      </c>
      <c r="AB179" s="6" t="str">
        <f>IFERROR(__xludf.DUMMYFUNCTION("""COMPUTED_VALUE"""),"")</f>
        <v/>
      </c>
      <c r="AC179" s="6" t="str">
        <f>IFERROR(__xludf.DUMMYFUNCTION("""COMPUTED_VALUE"""),"")</f>
        <v/>
      </c>
      <c r="AD179" s="6" t="str">
        <f>IFERROR(__xludf.DUMMYFUNCTION("""COMPUTED_VALUE"""),"")</f>
        <v/>
      </c>
      <c r="AE179" s="6" t="str">
        <f>IFERROR(__xludf.DUMMYFUNCTION("""COMPUTED_VALUE"""),"")</f>
        <v/>
      </c>
      <c r="AF179" s="6" t="str">
        <f>IFERROR(__xludf.DUMMYFUNCTION("""COMPUTED_VALUE"""),"Не подтверждено")</f>
        <v>Не подтверждено</v>
      </c>
      <c r="AG179" s="6" t="str">
        <f>IFERROR(__xludf.DUMMYFUNCTION("""COMPUTED_VALUE"""),"")</f>
        <v/>
      </c>
      <c r="AH179" s="6" t="str">
        <f>IFERROR(__xludf.DUMMYFUNCTION("""COMPUTED_VALUE"""),"2026-09-11T11:47:36.835348+00:00")</f>
        <v>2026-09-11T11:47:36.835348+00:00</v>
      </c>
      <c r="AI179" s="6" t="str">
        <f>IFERROR(__xludf.DUMMYFUNCTION("""COMPUTED_VALUE"""),"raw/codeof_art/page_000.html")</f>
        <v>raw/codeof_art/page_000.html</v>
      </c>
      <c r="AJ179" s="9" t="s">
        <v>223</v>
      </c>
      <c r="AK179" s="9" t="s">
        <v>242</v>
      </c>
      <c r="AL179" s="9" t="s">
        <v>244</v>
      </c>
      <c r="AM179" s="9" t="s">
        <v>237</v>
      </c>
      <c r="AN179" s="4" t="str">
        <f>IFERROR(__xludf.DUMMYFUNCTION("IF(OR(AJ179=""general_brand"",AJ179=""external"",AJ179=""unknown""),"""",IF(AJ179=""product_line"",IF(AK179=""START"",""Аналитика старт | Алгоритмы старт | Backend старт | ML старт"",IF(AK179=""PRO"",""AI-агенты про | Алгоритмы про | Аналитика про | ML пр"&amp;"о | Backend про"",IF(AK179=""START | PRO"",""Аналитика старт | Алгоритмы старт | Backend старт | ML старт | AI-агенты про | Алгоритмы про | Аналитика про | ML про | Backend про"",""""))),TEXTJOIN("" | "",TRUE,IF(REGEXMATCH(LOWER(AL179&amp;"" | ""&amp;E179),""анал"&amp;"итика старт""),""Аналитика старт"",""""),IF(REGEXMATCH(LOWER(AL179&amp;"" | ""&amp;E179),""алгоритмы старт""),""Алгоритмы старт"",""""),IF(REGEXMATCH(LOWER(AL179&amp;"" | ""&amp;E179),""backend старт""),""Backend старт"",""""),IF(REGEXMATCH(LOWER(AL179&amp;"" | ""&amp;E179),""ml"&amp;" старт""),""ML старт"",""""),IF(REGEXMATCH(LOWER(AL179&amp;"" | ""&amp;E179),""ai[ -]?агент""),""AI-агенты про"",""""),IF(REGEXMATCH(LOWER(AL179&amp;"" | ""&amp;E179),""алгоритмы про""),""Алгоритмы про"",""""),IF(REGEXMATCH(LOWER(AL179&amp;"" | ""&amp;E179),""аналитика про""),"""&amp;"Аналитика про"",""""),IF(REGEXMATCH(LOWER(AL179&amp;"" | ""&amp;E179),""ml про""),""ML про"",""""),IF(REGEXMATCH(LOWER(AL179&amp;"" | ""&amp;E179),""backend про""),""Backend про"",""""),IF(REGEXMATCH(LOWER(AL179&amp;"" | ""&amp;E179),""(а/в|ав|а в|ab)[ -]?тест""),""А/В-тесты"","&amp;"""""),IF(REGEXMATCH(LOWER(AL179&amp;"" | ""&amp;E179),""data science""),""Data science"",""""),IF(REGEXMATCH(LOWER(AL179&amp;"" | ""&amp;E179),""data[- ]?инжен""),""Data-инженер"",""""),IF(REGEXMATCH(LOWER(AL179&amp;"" | ""&amp;E179),""frontend""),""Frontend"",""""))))"),"AI-агенты про | Алгоритмы про | Аналитика про | ML про | Backend про")</f>
        <v>AI-агенты про | Алгоритмы про | Аналитика про | ML про | Backend про</v>
      </c>
    </row>
    <row r="180">
      <c r="A180" s="6" t="str">
        <f>IFERROR(__xludf.DUMMYFUNCTION("""COMPUTED_VALUE"""),"EXT-80")</f>
        <v>EXT-80</v>
      </c>
      <c r="B180" s="6" t="str">
        <f>IFERROR(__xludf.DUMMYFUNCTION("""COMPUTED_VALUE"""),"2026-08-30 19:49:35")</f>
        <v>2026-08-30 19:49:35</v>
      </c>
      <c r="C180" s="6" t="str">
        <f>IFERROR(__xludf.DUMMYFUNCTION("""COMPUTED_VALUE"""),"@ProdAnalysis")</f>
        <v>@ProdAnalysis</v>
      </c>
      <c r="D180" s="4" t="str">
        <f>IFERROR(__xludf.DUMMYFUNCTION("""COMPUTED_VALUE"""),"Контент с предложением курсов")</f>
        <v>Контент с предложением курсов</v>
      </c>
      <c r="E180" s="6" t="str">
        <f>IFERROR(__xludf.DUMMYFUNCTION("""COMPUTED_VALUE"""),"")</f>
        <v/>
      </c>
      <c r="F180" s="6" t="str">
        <f>IFERROR(__xludf.DUMMYFUNCTION("""COMPUTED_VALUE"""),"")</f>
        <v/>
      </c>
      <c r="G180" s="10" t="str">
        <f>IFERROR(__xludf.DUMMYFUNCTION("""COMPUTED_VALUE"""),"https://t.me/ProdAnalysis/156")</f>
        <v>https://t.me/ProdAnalysis/156</v>
      </c>
      <c r="H180" s="6" t="str">
        <f>IFERROR(__xludf.DUMMYFUNCTION("""COMPUTED_VALUE"""),"Разбор самой нормисной вакансии на продакта
Продуктовая аналитика одно из самых простых направлений для вката в айти, если вы умеете хоть капельку думать, то вы вполне можете претендовать на дабл грейдапы и прыжки сразу через грейд при устройстве (тут ва"&amp;"жно подчеркнуть, что без ЛЛМ, а то всё чаще на рынке с позиции мидлов приходят с высоким самомнением те самые промт-инженеры, которые из себя ничего не представляют на практике, а их скилы - это закрывать кучу эдхоков за короткий промежуток времени). Дава"&amp;"йте разберем на примере одной вакансии как можно выучить харды на аналитика за 12 недель. Это вакансия продуктового аналитика с вилкой 400к+ gross + премиии.  В отдел маркетинга. Давайте пройдёмся по требованиям:
1. Python
- уверенный Python;
Тут нужны"&amp;" базовые знания питона, на уровне написания классов/декараторов и библиотек для анализа данных (numpy, pandas, scipy и т п). Тут еще важно отметить, что достаточно часто маркетинговые агенства живут в прошлом веке и у них нет нормального сбора данных, ана"&amp;"литики, поэтому для того чтобы на стороне т банка анализирвоать эти результаты, придется писать достаточно много софта для сбора данных, передачи и т п (под такие задачи зачастую не выделяют dwh-шников и бэкендеров, поэтому придется самостоятельно писать "&amp;"такие скрипты, по типу парсеров и т п). В силу существования ЛЛМ, такой навык достаточно просто покрывается и можно закрыть базовыми знаниями и пониманием питона, такое у нас даётся на аналитике старт.
2. SQL
- уверенный SQL;
В тиньке достаточно хороша"&amp;"я БД, приведенная в нормальную форму, поэтому любой запрос по сути сводится к большому количеству джоинов. Поэтому на самих собесах достаточно углубленно не должны спрашивать SQL, то есть максимум могут дать достаточно объёмную задачку с кучей подзапросов"&amp;"/джоинов/с оконками, такое у нас как раз разбирают на стартовом курсе. А если же они потребуют более углубленные знания на оптимизацию запросов, что вполне вероятно учитывая жесткие лимиты по времени и памяти на каждый запрос, то такие вопросы мы отдельно"&amp;" разбираем на наших продвинутых курсах.
3. Матстат и AB-тестирование
- хорошее знание матстата и умение применять его в реальных задачах;
Тут опять же есть два этапа, потребуются, как достаточно базовые знания так и чуть продвинутых. Никто не будет тре"&amp;"бовать строгих определений и формул, но знание той же трогой базы поможет вам в понимании идей более продвинутых методов. На собеседовании нужно будет знать всё: от классических методов аб-тестирования (базовой терминологии, той что на курсе старт разбира"&amp;"ется: pvalue, mde, ошибки 1-го/2-го рода, z/t-критерии и т п ) до более продвинутых методов (методы понижения дисперсии cuped/стратификация - все эти методы разбираются же в продвинутом курсе и не только на уровне теории, а на уровне скиллов применения в "&amp;"кейсах на собеседованиях)
4. ML
- понимание ML хотя бы на уровне базовых принципов;
Все продвинутые методы в аналитике сводятся к применению классического МЛ, те же double ml/cupac, требует умение строить и тюнить классические модели. На самом собесе б"&amp;"удут вопросы про построение бустингов и их разновидностей. На курсе про будут разобраны базовые модели, которые потребуются для подведения резов АБ.
5. Эконометрика
causal inference;
Особенно в маркетинге, методы causal inference наиболее актуальны. То"&amp;"т же матчинг необходим как минимум для тестов которые позволят описывать более подробно поведение каждого пользователя. Или же регрессии 4 c инструментальными переменными. А также самая базовая идея, которая применяется практически во всех тестах - наприм"&amp;"ер did(постнормировка). Знания эконометрики необходимы для проектирования фреймворков оценки тестов. Поэтому применение этих методов в кейсе очень сильно оценят, тем более это описывается в вакансии как дополнительный пункт. Все нужные методы затронут на "&amp;"курсе про.
Подписаться: @ProdAnalysis")</f>
        <v>Разбор самой нормисной вакансии на продакта
Продуктовая аналитика одно из самых простых направлений для вката в айти, если вы умеете хоть капельку думать, то вы вполне можете претендовать на дабл грейдапы и прыжки сразу через грейд при устройстве (тут важно подчеркнуть, что без ЛЛМ, а то всё чаще на рынке с позиции мидлов приходят с высоким самомнением те самые промт-инженеры, которые из себя ничего не представляют на практике, а их скилы - это закрывать кучу эдхоков за короткий промежуток времени). Давайте разберем на примере одной вакансии как можно выучить харды на аналитика за 12 недель. Это вакансия продуктового аналитика с вилкой 400к+ gross + премиии.  В отдел маркетинга. Давайте пройдёмся по требованиям:
1. Python
- уверенный Python;
Тут нужны базовые знания питона, на уровне написания классов/декараторов и библиотек для анализа данных (numpy, pandas, scipy и т п). Тут еще важно отметить, что достаточно часто маркетинговые агенства живут в прошлом веке и у них нет нормального сбора данных, аналитики, поэтому для того чтобы на стороне т банка анализирвоать эти результаты, придется писать достаточно много софта для сбора данных, передачи и т п (под такие задачи зачастую не выделяют dwh-шников и бэкендеров, поэтому придется самостоятельно писать такие скрипты, по типу парсеров и т п). В силу существования ЛЛМ, такой навык достаточно просто покрывается и можно закрыть базовыми знаниями и пониманием питона, такое у нас даётся на аналитике старт.
2. SQL
- уверенный SQL;
В тиньке достаточно хорошая БД, приведенная в нормальную форму, поэтому любой запрос по сути сводится к большому количеству джоинов. Поэтому на самих собесах достаточно углубленно не должны спрашивать SQL, то есть максимум могут дать достаточно объёмную задачку с кучей подзапросов/джоинов/с оконками, такое у нас как раз разбирают на стартовом курсе. А если же они потребуют более углубленные знания на оптимизацию запросов, что вполне вероятно учитывая жесткие лимиты по времени и памяти на каждый запрос, то такие вопросы мы отдельно разбираем на наших продвинутых курсах.
3. Матстат и AB-тестирование
- хорошее знание матстата и умение применять его в реальных задачах;
Тут опять же есть два этапа, потребуются, как достаточно базовые знания так и чуть продвинутых. Никто не будет требовать строгих определений и формул, но знание той же трогой базы поможет вам в понимании идей более продвинутых методов. На собеседовании нужно будет знать всё: от классических методов аб-тестирования (базовой терминологии, той что на курсе старт разбирается: pvalue, mde, ошибки 1-го/2-го рода, z/t-критерии и т п ) до более продвинутых методов (методы понижения дисперсии cuped/стратификация - все эти методы разбираются же в продвинутом курсе и не только на уровне теории, а на уровне скиллов применения в кейсах на собеседованиях)
4. ML
- понимание ML хотя бы на уровне базовых принципов;
Все продвинутые методы в аналитике сводятся к применению классического МЛ, те же double ml/cupac, требует умение строить и тюнить классические модели. На самом собесе будут вопросы про построение бустингов и их разновидностей. На курсе про будут разобраны базовые модели, которые потребуются для подведения резов АБ.
5. Эконометрика
causal inference;
Особенно в маркетинге, методы causal inference наиболее актуальны. Тот же матчинг необходим как минимум для тестов которые позволят описывать более подробно поведение каждого пользователя. Или же регрессии 4 c инструментальными переменными. А также самая базовая идея, которая применяется практически во всех тестах - например did(постнормировка). Знания эконометрики необходимы для проектирования фреймворков оценки тестов. Поэтому применение этих методов в кейсе очень сильно оценят, тем более это описывается в вакансии как дополнительный пункт. Все нужные методы затронут на курсе про.
Подписаться: @ProdAnalysis</v>
      </c>
      <c r="I180" s="6" t="str">
        <f>IFERROR(__xludf.DUMMYFUNCTION("""COMPUTED_VALUE"""),"external")</f>
        <v>external</v>
      </c>
      <c r="J180" s="10" t="str">
        <f>IFERROR(__xludf.DUMMYFUNCTION("""COMPUTED_VALUE"""),"https://t.me/ProdAnalysis/156")</f>
        <v>https://t.me/ProdAnalysis/156</v>
      </c>
      <c r="K180" s="6">
        <f>IFERROR(__xludf.DUMMYFUNCTION("""COMPUTED_VALUE"""),2220.0)</f>
        <v>2220</v>
      </c>
      <c r="L180" s="6">
        <f>IFERROR(__xludf.DUMMYFUNCTION("""COMPUTED_VALUE"""),4.0)</f>
        <v>4</v>
      </c>
      <c r="M180" s="6"/>
      <c r="N180" s="6" t="str">
        <f>IFERROR(__xludf.DUMMYFUNCTION("""COMPUTED_VALUE"""),"Telegram")</f>
        <v>Telegram</v>
      </c>
      <c r="O180" s="6" t="str">
        <f>IFERROR(__xludf.DUMMYFUNCTION("""COMPUTED_VALUE"""),"raw")</f>
        <v>raw</v>
      </c>
      <c r="P180" s="6" t="str">
        <f>IFERROR(__xludf.DUMMYFUNCTION("""COMPUTED_VALUE"""),"Codex")</f>
        <v>Codex</v>
      </c>
      <c r="Q180" s="6" t="str">
        <f>IFERROR(__xludf.DUMMYFUNCTION("""COMPUTED_VALUE"""),"Общий контакт @vice22821; признак связи с проектом")</f>
        <v>Общий контакт @vice22821; признак связи с проектом</v>
      </c>
      <c r="R180" s="6" t="str">
        <f>IFERROR(__xludf.DUMMYFUNCTION("""COMPUTED_VALUE"""),"unknown")</f>
        <v>unknown</v>
      </c>
      <c r="S180" s="6" t="str">
        <f>IFERROR(__xludf.DUMMYFUNCTION("""COMPUTED_VALUE"""),"unknown")</f>
        <v>unknown</v>
      </c>
      <c r="T180" s="6" t="str">
        <f>IFERROR(__xludf.DUMMYFUNCTION("""COMPUTED_VALUE"""),"telegram_external")</f>
        <v>telegram_external</v>
      </c>
      <c r="U180" s="6" t="str">
        <f>IFERROR(__xludf.DUMMYFUNCTION("""COMPUTED_VALUE"""),"Контент с предложением курсов")</f>
        <v>Контент с предложением курсов</v>
      </c>
      <c r="V180" s="6" t="str">
        <f>IFERROR(__xludf.DUMMYFUNCTION("""COMPUTED_VALUE"""),"")</f>
        <v/>
      </c>
      <c r="W180" s="6" t="str">
        <f>IFERROR(__xludf.DUMMYFUNCTION("""COMPUTED_VALUE"""),"")</f>
        <v/>
      </c>
      <c r="X180" s="6"/>
      <c r="Y180" s="10" t="str">
        <f>IFERROR(__xludf.DUMMYFUNCTION("""COMPUTED_VALUE"""),"https://t.me/postypashki_old/1872")</f>
        <v>https://t.me/postypashki_old/1872</v>
      </c>
      <c r="Z180" s="6" t="b">
        <f>IFERROR(__xludf.DUMMYFUNCTION("""COMPUTED_VALUE"""),FALSE)</f>
        <v>0</v>
      </c>
      <c r="AA180" s="6" t="str">
        <f>IFERROR(__xludf.DUMMYFUNCTION("""COMPUTED_VALUE"""),"")</f>
        <v/>
      </c>
      <c r="AB180" s="6" t="str">
        <f>IFERROR(__xludf.DUMMYFUNCTION("""COMPUTED_VALUE"""),"")</f>
        <v/>
      </c>
      <c r="AC180" s="6" t="str">
        <f>IFERROR(__xludf.DUMMYFUNCTION("""COMPUTED_VALUE"""),"")</f>
        <v/>
      </c>
      <c r="AD180" s="6" t="str">
        <f>IFERROR(__xludf.DUMMYFUNCTION("""COMPUTED_VALUE"""),"")</f>
        <v/>
      </c>
      <c r="AE180" s="6" t="str">
        <f>IFERROR(__xludf.DUMMYFUNCTION("""COMPUTED_VALUE"""),"")</f>
        <v/>
      </c>
      <c r="AF180" s="6" t="str">
        <f>IFERROR(__xludf.DUMMYFUNCTION("""COMPUTED_VALUE"""),"Не подтверждено")</f>
        <v>Не подтверждено</v>
      </c>
      <c r="AG180" s="6" t="str">
        <f>IFERROR(__xludf.DUMMYFUNCTION("""COMPUTED_VALUE"""),"")</f>
        <v/>
      </c>
      <c r="AH180" s="6" t="str">
        <f>IFERROR(__xludf.DUMMYFUNCTION("""COMPUTED_VALUE"""),"2026-09-11T11:47:34.275826+00:00")</f>
        <v>2026-09-11T11:47:34.275826+00:00</v>
      </c>
      <c r="AI180" s="6" t="str">
        <f>IFERROR(__xludf.DUMMYFUNCTION("""COMPUTED_VALUE"""),"raw/ProdAnalysis/page_000.html")</f>
        <v>raw/ProdAnalysis/page_000.html</v>
      </c>
      <c r="AJ180" s="9" t="s">
        <v>223</v>
      </c>
      <c r="AK180" s="9" t="s">
        <v>240</v>
      </c>
      <c r="AL180" s="9" t="s">
        <v>257</v>
      </c>
      <c r="AM180" s="9" t="s">
        <v>228</v>
      </c>
      <c r="AN180" s="4" t="str">
        <f>IFERROR(__xludf.DUMMYFUNCTION("IF(OR(AJ180=""general_brand"",AJ180=""external"",AJ180=""unknown""),"""",IF(AJ180=""product_line"",IF(AK180=""START"",""Аналитика старт | Алгоритмы старт | Backend старт | ML старт"",IF(AK180=""PRO"",""AI-агенты про | Алгоритмы про | Аналитика про | ML пр"&amp;"о | Backend про"",IF(AK180=""START | PRO"",""Аналитика старт | Алгоритмы старт | Backend старт | ML старт | AI-агенты про | Алгоритмы про | Аналитика про | ML про | Backend про"",""""))),TEXTJOIN("" | "",TRUE,IF(REGEXMATCH(LOWER(AL180&amp;"" | ""&amp;E180),""анал"&amp;"итика старт""),""Аналитика старт"",""""),IF(REGEXMATCH(LOWER(AL180&amp;"" | ""&amp;E180),""алгоритмы старт""),""Алгоритмы старт"",""""),IF(REGEXMATCH(LOWER(AL180&amp;"" | ""&amp;E180),""backend старт""),""Backend старт"",""""),IF(REGEXMATCH(LOWER(AL180&amp;"" | ""&amp;E180),""ml"&amp;" старт""),""ML старт"",""""),IF(REGEXMATCH(LOWER(AL180&amp;"" | ""&amp;E180),""ai[ -]?агент""),""AI-агенты про"",""""),IF(REGEXMATCH(LOWER(AL180&amp;"" | ""&amp;E180),""алгоритмы про""),""Алгоритмы про"",""""),IF(REGEXMATCH(LOWER(AL180&amp;"" | ""&amp;E180),""аналитика про""),"""&amp;"Аналитика про"",""""),IF(REGEXMATCH(LOWER(AL180&amp;"" | ""&amp;E180),""ml про""),""ML про"",""""),IF(REGEXMATCH(LOWER(AL180&amp;"" | ""&amp;E180),""backend про""),""Backend про"",""""),IF(REGEXMATCH(LOWER(AL180&amp;"" | ""&amp;E180),""(а/в|ав|а в|ab)[ -]?тест""),""А/В-тесты"","&amp;"""""),IF(REGEXMATCH(LOWER(AL180&amp;"" | ""&amp;E180),""data science""),""Data science"",""""),IF(REGEXMATCH(LOWER(AL180&amp;"" | ""&amp;E180),""data[- ]?инжен""),""Data-инженер"",""""),IF(REGEXMATCH(LOWER(AL180&amp;"" | ""&amp;E180),""frontend""),""Frontend"",""""))))"),"Аналитика старт | Аналитика про")</f>
        <v>Аналитика старт | Аналитика про</v>
      </c>
    </row>
    <row r="181">
      <c r="A181" s="6" t="str">
        <f>IFERROR(__xludf.DUMMYFUNCTION("""COMPUTED_VALUE"""),"EXT-81")</f>
        <v>EXT-81</v>
      </c>
      <c r="B181" s="6" t="str">
        <f>IFERROR(__xludf.DUMMYFUNCTION("""COMPUTED_VALUE"""),"2026-08-30 18:47:10")</f>
        <v>2026-08-30 18:47:10</v>
      </c>
      <c r="C181" s="6" t="str">
        <f>IFERROR(__xludf.DUMMYFUNCTION("""COMPUTED_VALUE"""),"@chad_protocol")</f>
        <v>@chad_protocol</v>
      </c>
      <c r="D181" s="4" t="str">
        <f>IFERROR(__xludf.DUMMYFUNCTION("""COMPUTED_VALUE"""),"Контент с предложением курсов")</f>
        <v>Контент с предложением курсов</v>
      </c>
      <c r="E181" s="6" t="str">
        <f>IFERROR(__xludf.DUMMYFUNCTION("""COMPUTED_VALUE"""),"")</f>
        <v/>
      </c>
      <c r="F181" s="6" t="str">
        <f>IFERROR(__xludf.DUMMYFUNCTION("""COMPUTED_VALUE"""),"")</f>
        <v/>
      </c>
      <c r="G181" s="10" t="str">
        <f>IFERROR(__xludf.DUMMYFUNCTION("""COMPUTED_VALUE"""),"https://t.me/chad_protocol/531")</f>
        <v>https://t.me/chad_protocol/531</v>
      </c>
      <c r="H181" s="6" t="str">
        <f>IFERROR(__xludf.DUMMYFUNCTION("""COMPUTED_VALUE"""),"Бензин, бабки и IT: подпивасный анализ
Ты видел эти очереди на заправках? Я вчера ехал на дачу в Коломну: дикие очереди? пришлось ехать по обочине, пензенские дальнобойщики я вас ненавижу!! какие же вы трави (не давали дорогу)! по пути сгорела фура, зада"&amp;"вали пару мотоциклистов. Короче просто mad max - дорога ярости. Еще и эти новости про удары по НПЗ, а зима близко. В посте обсудим, что это значит для айти рыночка. 
Бензин - это кровь
Любая доставка, любой товар - 2–3% его цены это транспорт. Если бензи"&amp;"н дорожает, всё дорожает. Инфляция разгоняется.
Сейчас 2026 год. Мы уже в топливном кризисе. НПЗ горят, бензина нет, километровые очереди - это реальность.
Зарплаты не растут с 2023 года
Та самая вилка 350–400 тысяч, которая была на хх пару лет назад, та"&amp;"к и осталась. Ноль роста номинально. А инфляция за это время съела больше 20% твоей покупательной способности. И лучше пока не будет, ибо ключевую ставку не снижают, компаниям особо нечем платить. 
Требования выросли
Раньше на дефолтную позицию просили 3"&amp;" года опыта - сейчас 5. И хотят, чтобы ты делал всё: бэкенд, ML, аналитику, фронтенд, девопс. Да и количество собесов тоже растет, нужно как-то фильтровать кандидатов. 
Ну и классика: «мы дадим тебе крутой рост, высокий импакт, возможности для развития». "&amp;"А по факту  просто экономят на тебе и навешивают задачи десяти человек. Здесь еще и ИИ напирает.. 
Конкуренция - АД
Вкатунов с накрученным опытом тысячи. Они готовы работать за меньшие деньги, и компании с удовольствием их берут. Потому что могут.
Почему"&amp;" так происходит? Сейчас рынок- работодателея, а точнее все упирается в бабки. Точнее, в их отсутствие.
Дефицит бюджета
Запланировали 3 триллиона на год - за полгода уже 6. В прошлом году за год было 3 триллиона. И нефть пока не спасает, цена упадет обрат"&amp;"но до 70 долларов, а нашу продаём вообще со скидкой: реально получаем 50–55. Поэтому пока общий тренд на девальвацию, ибо денег больше взять неоткуда. ЦБ начал распродавать золотые резервы. 
Пока тренд, что российский рынок будет сжиматься дальше. Я бы с"&amp;"оветовал присмотреться к валютному рынку, чтобы хотя бы диверсифицироваться. Для этого советую присмотреть к нашим курсам ПРО, где отдельный большой блок по выходу на доход в валюту.
➡️ Записаться
Подписаться: @chad_protocol")</f>
        <v>Бензин, бабки и IT: подпивасный анализ
Ты видел эти очереди на заправках? Я вчера ехал на дачу в Коломну: дикие очереди? пришлось ехать по обочине, пензенские дальнобойщики я вас ненавижу!! какие же вы трави (не давали дорогу)! по пути сгорела фура, задавали пару мотоциклистов. Короче просто mad max - дорога ярости. Еще и эти новости про удары по НПЗ, а зима близко. В посте обсудим, что это значит для айти рыночка. 
Бензин - это кровь
Любая доставка, любой товар - 2–3% его цены это транспорт. Если бензин дорожает, всё дорожает. Инфляция разгоняется.
Сейчас 2026 год. Мы уже в топливном кризисе. НПЗ горят, бензина нет, километровые очереди - это реальность.
Зарплаты не растут с 2023 года
Та самая вилка 350–400 тысяч, которая была на хх пару лет назад, так и осталась. Ноль роста номинально. А инфляция за это время съела больше 20% твоей покупательной способности. И лучше пока не будет, ибо ключевую ставку не снижают, компаниям особо нечем платить. 
Требования выросли
Раньше на дефолтную позицию просили 3 года опыта - сейчас 5. И хотят, чтобы ты делал всё: бэкенд, ML, аналитику, фронтенд, девопс. Да и количество собесов тоже растет, нужно как-то фильтровать кандидатов. 
Ну и классика: «мы дадим тебе крутой рост, высокий импакт, возможности для развития». А по факту  просто экономят на тебе и навешивают задачи десяти человек. Здесь еще и ИИ напирает.. 
Конкуренция - АД
Вкатунов с накрученным опытом тысячи. Они готовы работать за меньшие деньги, и компании с удовольствием их берут. Потому что могут.
Почему так происходит? Сейчас рынок- работодателея, а точнее все упирается в бабки. Точнее, в их отсутствие.
Дефицит бюджета
Запланировали 3 триллиона на год - за полгода уже 6. В прошлом году за год было 3 триллиона. И нефть пока не спасает, цена упадет обратно до 70 долларов, а нашу продаём вообще со скидкой: реально получаем 50–55. Поэтому пока общий тренд на девальвацию, ибо денег больше взять неоткуда. ЦБ начал распродавать золотые резервы. 
Пока тренд, что российский рынок будет сжиматься дальше. Я бы советовал присмотреться к валютному рынку, чтобы хотя бы диверсифицироваться. Для этого советую присмотреть к нашим курсам ПРО, где отдельный большой блок по выходу на доход в валюту.
➡️ Записаться
Подписаться: @chad_protocol</v>
      </c>
      <c r="I181" s="6" t="str">
        <f>IFERROR(__xludf.DUMMYFUNCTION("""COMPUTED_VALUE"""),"external")</f>
        <v>external</v>
      </c>
      <c r="J181" s="10" t="str">
        <f>IFERROR(__xludf.DUMMYFUNCTION("""COMPUTED_VALUE"""),"https://t.me/chad_protocol/531")</f>
        <v>https://t.me/chad_protocol/531</v>
      </c>
      <c r="K181" s="6">
        <f>IFERROR(__xludf.DUMMYFUNCTION("""COMPUTED_VALUE"""),4690.0)</f>
        <v>4690</v>
      </c>
      <c r="L181" s="6">
        <f>IFERROR(__xludf.DUMMYFUNCTION("""COMPUTED_VALUE"""),25.0)</f>
        <v>25</v>
      </c>
      <c r="M181" s="6"/>
      <c r="N181" s="6" t="str">
        <f>IFERROR(__xludf.DUMMYFUNCTION("""COMPUTED_VALUE"""),"Telegram")</f>
        <v>Telegram</v>
      </c>
      <c r="O181" s="6" t="str">
        <f>IFERROR(__xludf.DUMMYFUNCTION("""COMPUTED_VALUE"""),"raw")</f>
        <v>raw</v>
      </c>
      <c r="P181" s="6" t="str">
        <f>IFERROR(__xludf.DUMMYFUNCTION("""COMPUTED_VALUE"""),"Codex")</f>
        <v>Codex</v>
      </c>
      <c r="Q181" s="6" t="str">
        <f>IFERROR(__xludf.DUMMYFUNCTION("""COMPUTED_VALUE"""),"Общий контакт @vice22821; признак связи с проектом")</f>
        <v>Общий контакт @vice22821; признак связи с проектом</v>
      </c>
      <c r="R181" s="6" t="str">
        <f>IFERROR(__xludf.DUMMYFUNCTION("""COMPUTED_VALUE"""),"unknown")</f>
        <v>unknown</v>
      </c>
      <c r="S181" s="6" t="str">
        <f>IFERROR(__xludf.DUMMYFUNCTION("""COMPUTED_VALUE"""),"unknown")</f>
        <v>unknown</v>
      </c>
      <c r="T181" s="6" t="str">
        <f>IFERROR(__xludf.DUMMYFUNCTION("""COMPUTED_VALUE"""),"telegram_external")</f>
        <v>telegram_external</v>
      </c>
      <c r="U181" s="6" t="str">
        <f>IFERROR(__xludf.DUMMYFUNCTION("""COMPUTED_VALUE"""),"Контент с предложением курсов")</f>
        <v>Контент с предложением курсов</v>
      </c>
      <c r="V181" s="6" t="str">
        <f>IFERROR(__xludf.DUMMYFUNCTION("""COMPUTED_VALUE"""),"")</f>
        <v/>
      </c>
      <c r="W181" s="6" t="str">
        <f>IFERROR(__xludf.DUMMYFUNCTION("""COMPUTED_VALUE"""),"")</f>
        <v/>
      </c>
      <c r="X181" s="6"/>
      <c r="Y181" s="6" t="str">
        <f>IFERROR(__xludf.DUMMYFUNCTION("""COMPUTED_VALUE"""),"https://t.me/postypashki_old/1859
https://t.me/m/p94YcePXNjcy")</f>
        <v>https://t.me/postypashki_old/1859
https://t.me/m/p94YcePXNjcy</v>
      </c>
      <c r="Z181" s="6" t="b">
        <f>IFERROR(__xludf.DUMMYFUNCTION("""COMPUTED_VALUE"""),TRUE)</f>
        <v>1</v>
      </c>
      <c r="AA181" s="6" t="str">
        <f>IFERROR(__xludf.DUMMYFUNCTION("""COMPUTED_VALUE"""),"")</f>
        <v/>
      </c>
      <c r="AB181" s="6" t="str">
        <f>IFERROR(__xludf.DUMMYFUNCTION("""COMPUTED_VALUE"""),"")</f>
        <v/>
      </c>
      <c r="AC181" s="6" t="str">
        <f>IFERROR(__xludf.DUMMYFUNCTION("""COMPUTED_VALUE"""),"")</f>
        <v/>
      </c>
      <c r="AD181" s="6" t="str">
        <f>IFERROR(__xludf.DUMMYFUNCTION("""COMPUTED_VALUE"""),"")</f>
        <v/>
      </c>
      <c r="AE181" s="6" t="str">
        <f>IFERROR(__xludf.DUMMYFUNCTION("""COMPUTED_VALUE"""),"")</f>
        <v/>
      </c>
      <c r="AF181" s="6" t="str">
        <f>IFERROR(__xludf.DUMMYFUNCTION("""COMPUTED_VALUE"""),"Не подтверждено")</f>
        <v>Не подтверждено</v>
      </c>
      <c r="AG181" s="6" t="str">
        <f>IFERROR(__xludf.DUMMYFUNCTION("""COMPUTED_VALUE"""),"")</f>
        <v/>
      </c>
      <c r="AH181" s="6" t="str">
        <f>IFERROR(__xludf.DUMMYFUNCTION("""COMPUTED_VALUE"""),"2026-09-11T11:47:50.761841+00:00")</f>
        <v>2026-09-11T11:47:50.761841+00:00</v>
      </c>
      <c r="AI181" s="6" t="str">
        <f>IFERROR(__xludf.DUMMYFUNCTION("""COMPUTED_VALUE"""),"raw/chad_protocol/page_000.html")</f>
        <v>raw/chad_protocol/page_000.html</v>
      </c>
      <c r="AJ181" s="9" t="s">
        <v>167</v>
      </c>
      <c r="AK181" s="9" t="s">
        <v>242</v>
      </c>
      <c r="AM181" s="9" t="s">
        <v>219</v>
      </c>
      <c r="AN181" s="4" t="str">
        <f>IFERROR(__xludf.DUMMYFUNCTION("IF(OR(AJ181=""general_brand"",AJ181=""external"",AJ181=""unknown""),"""",IF(AJ181=""product_line"",IF(AK181=""START"",""Аналитика старт | Алгоритмы старт | Backend старт | ML старт"",IF(AK181=""PRO"",""AI-агенты про | Алгоритмы про | Аналитика про | ML пр"&amp;"о | Backend про"",IF(AK181=""START | PRO"",""Аналитика старт | Алгоритмы старт | Backend старт | ML старт | AI-агенты про | Алгоритмы про | Аналитика про | ML про | Backend про"",""""))),TEXTJOIN("" | "",TRUE,IF(REGEXMATCH(LOWER(AL181&amp;"" | ""&amp;E181),""анал"&amp;"итика старт""),""Аналитика старт"",""""),IF(REGEXMATCH(LOWER(AL181&amp;"" | ""&amp;E181),""алгоритмы старт""),""Алгоритмы старт"",""""),IF(REGEXMATCH(LOWER(AL181&amp;"" | ""&amp;E181),""backend старт""),""Backend старт"",""""),IF(REGEXMATCH(LOWER(AL181&amp;"" | ""&amp;E181),""ml"&amp;" старт""),""ML старт"",""""),IF(REGEXMATCH(LOWER(AL181&amp;"" | ""&amp;E181),""ai[ -]?агент""),""AI-агенты про"",""""),IF(REGEXMATCH(LOWER(AL181&amp;"" | ""&amp;E181),""алгоритмы про""),""Алгоритмы про"",""""),IF(REGEXMATCH(LOWER(AL181&amp;"" | ""&amp;E181),""аналитика про""),"""&amp;"Аналитика про"",""""),IF(REGEXMATCH(LOWER(AL181&amp;"" | ""&amp;E181),""ml про""),""ML про"",""""),IF(REGEXMATCH(LOWER(AL181&amp;"" | ""&amp;E181),""backend про""),""Backend про"",""""),IF(REGEXMATCH(LOWER(AL181&amp;"" | ""&amp;E181),""(а/в|ав|а в|ab)[ -]?тест""),""А/В-тесты"","&amp;"""""),IF(REGEXMATCH(LOWER(AL181&amp;"" | ""&amp;E181),""data science""),""Data science"",""""),IF(REGEXMATCH(LOWER(AL181&amp;"" | ""&amp;E181),""data[- ]?инжен""),""Data-инженер"",""""),IF(REGEXMATCH(LOWER(AL181&amp;"" | ""&amp;E181),""frontend""),""Frontend"",""""))))"),"AI-агенты про | Алгоритмы про | Аналитика про | ML про | Backend про")</f>
        <v>AI-агенты про | Алгоритмы про | Аналитика про | ML про | Backend про</v>
      </c>
    </row>
    <row r="182">
      <c r="A182" s="6" t="str">
        <f>IFERROR(__xludf.DUMMYFUNCTION("""COMPUTED_VALUE"""),"EXT-82")</f>
        <v>EXT-82</v>
      </c>
      <c r="B182" s="6" t="str">
        <f>IFERROR(__xludf.DUMMYFUNCTION("""COMPUTED_VALUE"""),"2026-08-31 15:12:56")</f>
        <v>2026-08-31 15:12:56</v>
      </c>
      <c r="C182" s="6" t="str">
        <f>IFERROR(__xludf.DUMMYFUNCTION("""COMPUTED_VALUE"""),"@codeof_art")</f>
        <v>@codeof_art</v>
      </c>
      <c r="D182" s="4" t="str">
        <f>IFERROR(__xludf.DUMMYFUNCTION("""COMPUTED_VALUE"""),"Контент с предложением курсов")</f>
        <v>Контент с предложением курсов</v>
      </c>
      <c r="E182" s="6" t="str">
        <f>IFERROR(__xludf.DUMMYFUNCTION("""COMPUTED_VALUE"""),"")</f>
        <v/>
      </c>
      <c r="F182" s="6" t="str">
        <f>IFERROR(__xludf.DUMMYFUNCTION("""COMPUTED_VALUE"""),"")</f>
        <v/>
      </c>
      <c r="G182" s="10" t="str">
        <f>IFERROR(__xludf.DUMMYFUNCTION("""COMPUTED_VALUE"""),"https://t.me/codeof_art/321")</f>
        <v>https://t.me/codeof_art/321</v>
      </c>
      <c r="H182" s="6" t="str">
        <f>IFERROR(__xludf.DUMMYFUNCTION("""COMPUTED_VALUE"""),"Стажировка в Авито одна из лучших возможностей для старта в разработке: 
• специалисты высокого класса
• зарплаты в среднем выше рынка 
• современный стек и проекты 
• хорошо выстроены процессы 
• корпоративная культура
Для участия нужно подать анкету з"&amp;"аполнить анкету до 30.08 и выполнить тест. Разбор теста уже выложен на нашем курсе бэкенд про. 
➡️ Записаться. 
Как заполнять анкеты смотрим этот ролик. Вашу анкету оценивают рекрутеры, команды. Если вы им понравитесь, вам дадут видеоинтервью в асинхронн"&amp;"ом формате, индивидуальное тестовое задание и пригласят на финальные собеседования. 
• Видео интервью в асинхронном формате - это, когда вы говорите сами с собой, а ваши ответы записывают. Для подготовки смотрите этот пост. 
• Обычно тестовое задание: на"&amp;"писать какой-нибудь сервер. Примеры тут
• На собеседовании будут обсуждать тестовое задание. Финальных собеседований может быть несколько: с лидом, с менеджером, с ментором и так далее. Гайд на собесы тут. 
При идеальном мэтче, вы в Авито - поздравляю! Н"&amp;"а единичные стажировки можно подать здесь. 
Подписаться: @codeof_art")</f>
        <v>Стажировка в Авито одна из лучших возможностей для старта в разработке: 
• специалисты высокого класса
• зарплаты в среднем выше рынка 
• современный стек и проекты 
• хорошо выстроены процессы 
• корпоративная культура
Для участия нужно подать анкету заполнить анкету до 30.08 и выполнить тест. Разбор теста уже выложен на нашем курсе бэкенд про. 
➡️ Записаться. 
Как заполнять анкеты смотрим этот ролик. Вашу анкету оценивают рекрутеры, команды. Если вы им понравитесь, вам дадут видеоинтервью в асинхронном формате, индивидуальное тестовое задание и пригласят на финальные собеседования. 
• Видео интервью в асинхронном формате - это, когда вы говорите сами с собой, а ваши ответы записывают. Для подготовки смотрите этот пост. 
• Обычно тестовое задание: написать какой-нибудь сервер. Примеры тут
• На собеседовании будут обсуждать тестовое задание. Финальных собеседований может быть несколько: с лидом, с менеджером, с ментором и так далее. Гайд на собесы тут. 
При идеальном мэтче, вы в Авито - поздравляю! На единичные стажировки можно подать здесь. 
Подписаться: @codeof_art</v>
      </c>
      <c r="I182" s="6" t="str">
        <f>IFERROR(__xludf.DUMMYFUNCTION("""COMPUTED_VALUE"""),"external")</f>
        <v>external</v>
      </c>
      <c r="J182" s="10" t="str">
        <f>IFERROR(__xludf.DUMMYFUNCTION("""COMPUTED_VALUE"""),"https://t.me/codeof_art/321")</f>
        <v>https://t.me/codeof_art/321</v>
      </c>
      <c r="K182" s="6">
        <f>IFERROR(__xludf.DUMMYFUNCTION("""COMPUTED_VALUE"""),4000.0)</f>
        <v>4000</v>
      </c>
      <c r="L182" s="6">
        <f>IFERROR(__xludf.DUMMYFUNCTION("""COMPUTED_VALUE"""),3.0)</f>
        <v>3</v>
      </c>
      <c r="M182" s="6"/>
      <c r="N182" s="6" t="str">
        <f>IFERROR(__xludf.DUMMYFUNCTION("""COMPUTED_VALUE"""),"Telegram")</f>
        <v>Telegram</v>
      </c>
      <c r="O182" s="6" t="str">
        <f>IFERROR(__xludf.DUMMYFUNCTION("""COMPUTED_VALUE"""),"raw")</f>
        <v>raw</v>
      </c>
      <c r="P182" s="6" t="str">
        <f>IFERROR(__xludf.DUMMYFUNCTION("""COMPUTED_VALUE"""),"Codex")</f>
        <v>Codex</v>
      </c>
      <c r="Q182" s="6" t="str">
        <f>IFERROR(__xludf.DUMMYFUNCTION("""COMPUTED_VALUE"""),"Общий контакт @vice22821; признак связи с проектом")</f>
        <v>Общий контакт @vice22821; признак связи с проектом</v>
      </c>
      <c r="R182" s="6" t="str">
        <f>IFERROR(__xludf.DUMMYFUNCTION("""COMPUTED_VALUE"""),"unknown")</f>
        <v>unknown</v>
      </c>
      <c r="S182" s="6" t="str">
        <f>IFERROR(__xludf.DUMMYFUNCTION("""COMPUTED_VALUE"""),"unknown")</f>
        <v>unknown</v>
      </c>
      <c r="T182" s="6" t="str">
        <f>IFERROR(__xludf.DUMMYFUNCTION("""COMPUTED_VALUE"""),"telegram_external")</f>
        <v>telegram_external</v>
      </c>
      <c r="U182" s="6" t="str">
        <f>IFERROR(__xludf.DUMMYFUNCTION("""COMPUTED_VALUE"""),"Контент с предложением курсов")</f>
        <v>Контент с предложением курсов</v>
      </c>
      <c r="V182" s="6" t="str">
        <f>IFERROR(__xludf.DUMMYFUNCTION("""COMPUTED_VALUE"""),"")</f>
        <v/>
      </c>
      <c r="W182" s="6" t="str">
        <f>IFERROR(__xludf.DUMMYFUNCTION("""COMPUTED_VALUE"""),"")</f>
        <v/>
      </c>
      <c r="X182" s="6"/>
      <c r="Y182" s="6" t="str">
        <f>IFERROR(__xludf.DUMMYFUNCTION("""COMPUTED_VALUE"""),"https://t.me/postypashki_old/1859
https://t.me/m/p94YcePXNjcy
https://t.me/postypashki_old/1863")</f>
        <v>https://t.me/postypashki_old/1859
https://t.me/m/p94YcePXNjcy
https://t.me/postypashki_old/1863</v>
      </c>
      <c r="Z182" s="6" t="b">
        <f>IFERROR(__xludf.DUMMYFUNCTION("""COMPUTED_VALUE"""),TRUE)</f>
        <v>1</v>
      </c>
      <c r="AA182" s="6" t="str">
        <f>IFERROR(__xludf.DUMMYFUNCTION("""COMPUTED_VALUE"""),"")</f>
        <v/>
      </c>
      <c r="AB182" s="6" t="str">
        <f>IFERROR(__xludf.DUMMYFUNCTION("""COMPUTED_VALUE"""),"")</f>
        <v/>
      </c>
      <c r="AC182" s="6" t="str">
        <f>IFERROR(__xludf.DUMMYFUNCTION("""COMPUTED_VALUE"""),"")</f>
        <v/>
      </c>
      <c r="AD182" s="6" t="str">
        <f>IFERROR(__xludf.DUMMYFUNCTION("""COMPUTED_VALUE"""),"")</f>
        <v/>
      </c>
      <c r="AE182" s="6" t="str">
        <f>IFERROR(__xludf.DUMMYFUNCTION("""COMPUTED_VALUE"""),"")</f>
        <v/>
      </c>
      <c r="AF182" s="6" t="str">
        <f>IFERROR(__xludf.DUMMYFUNCTION("""COMPUTED_VALUE"""),"Не подтверждено")</f>
        <v>Не подтверждено</v>
      </c>
      <c r="AG182" s="6" t="str">
        <f>IFERROR(__xludf.DUMMYFUNCTION("""COMPUTED_VALUE"""),"")</f>
        <v/>
      </c>
      <c r="AH182" s="6" t="str">
        <f>IFERROR(__xludf.DUMMYFUNCTION("""COMPUTED_VALUE"""),"2026-09-11T11:47:36.835348+00:00")</f>
        <v>2026-09-11T11:47:36.835348+00:00</v>
      </c>
      <c r="AI182" s="6" t="str">
        <f>IFERROR(__xludf.DUMMYFUNCTION("""COMPUTED_VALUE"""),"raw/codeof_art/page_000.html")</f>
        <v>raw/codeof_art/page_000.html</v>
      </c>
      <c r="AJ182" s="9" t="s">
        <v>224</v>
      </c>
      <c r="AK182" s="9" t="s">
        <v>242</v>
      </c>
      <c r="AL182" s="9" t="s">
        <v>246</v>
      </c>
      <c r="AM182" s="9" t="s">
        <v>231</v>
      </c>
      <c r="AN182" s="4" t="str">
        <f>IFERROR(__xludf.DUMMYFUNCTION("IF(OR(AJ182=""general_brand"",AJ182=""external"",AJ182=""unknown""),"""",IF(AJ182=""product_line"",IF(AK182=""START"",""Аналитика старт | Алгоритмы старт | Backend старт | ML старт"",IF(AK182=""PRO"",""AI-агенты про | Алгоритмы про | Аналитика про | ML пр"&amp;"о | Backend про"",IF(AK182=""START | PRO"",""Аналитика старт | Алгоритмы старт | Backend старт | ML старт | AI-агенты про | Алгоритмы про | Аналитика про | ML про | Backend про"",""""))),TEXTJOIN("" | "",TRUE,IF(REGEXMATCH(LOWER(AL182&amp;"" | ""&amp;E182),""анал"&amp;"итика старт""),""Аналитика старт"",""""),IF(REGEXMATCH(LOWER(AL182&amp;"" | ""&amp;E182),""алгоритмы старт""),""Алгоритмы старт"",""""),IF(REGEXMATCH(LOWER(AL182&amp;"" | ""&amp;E182),""backend старт""),""Backend старт"",""""),IF(REGEXMATCH(LOWER(AL182&amp;"" | ""&amp;E182),""ml"&amp;" старт""),""ML старт"",""""),IF(REGEXMATCH(LOWER(AL182&amp;"" | ""&amp;E182),""ai[ -]?агент""),""AI-агенты про"",""""),IF(REGEXMATCH(LOWER(AL182&amp;"" | ""&amp;E182),""алгоритмы про""),""Алгоритмы про"",""""),IF(REGEXMATCH(LOWER(AL182&amp;"" | ""&amp;E182),""аналитика про""),"""&amp;"Аналитика про"",""""),IF(REGEXMATCH(LOWER(AL182&amp;"" | ""&amp;E182),""ml про""),""ML про"",""""),IF(REGEXMATCH(LOWER(AL182&amp;"" | ""&amp;E182),""backend про""),""Backend про"",""""),IF(REGEXMATCH(LOWER(AL182&amp;"" | ""&amp;E182),""(а/в|ав|а в|ab)[ -]?тест""),""А/В-тесты"","&amp;"""""),IF(REGEXMATCH(LOWER(AL182&amp;"" | ""&amp;E182),""data science""),""Data science"",""""),IF(REGEXMATCH(LOWER(AL182&amp;"" | ""&amp;E182),""data[- ]?инжен""),""Data-инженер"",""""),IF(REGEXMATCH(LOWER(AL182&amp;"" | ""&amp;E182),""frontend""),""Frontend"",""""))))"),"Backend про")</f>
        <v>Backend про</v>
      </c>
    </row>
    <row r="183">
      <c r="A183" s="6" t="str">
        <f>IFERROR(__xludf.DUMMYFUNCTION("""COMPUTED_VALUE"""),"EXT-83")</f>
        <v>EXT-83</v>
      </c>
      <c r="B183" s="6" t="str">
        <f>IFERROR(__xludf.DUMMYFUNCTION("""COMPUTED_VALUE"""),"2026-09-01 19:07:17")</f>
        <v>2026-09-01 19:07:17</v>
      </c>
      <c r="C183" s="6" t="str">
        <f>IFERROR(__xludf.DUMMYFUNCTION("""COMPUTED_VALUE"""),"@chad_protocol")</f>
        <v>@chad_protocol</v>
      </c>
      <c r="D183" s="4" t="str">
        <f>IFERROR(__xludf.DUMMYFUNCTION("""COMPUTED_VALUE"""),"Контент с предложением курсов")</f>
        <v>Контент с предложением курсов</v>
      </c>
      <c r="E183" s="6" t="str">
        <f>IFERROR(__xludf.DUMMYFUNCTION("""COMPUTED_VALUE"""),"")</f>
        <v/>
      </c>
      <c r="F183" s="6" t="str">
        <f>IFERROR(__xludf.DUMMYFUNCTION("""COMPUTED_VALUE"""),"")</f>
        <v/>
      </c>
      <c r="G183" s="10" t="str">
        <f>IFERROR(__xludf.DUMMYFUNCTION("""COMPUTED_VALUE"""),"https://t.me/chad_protocol/535")</f>
        <v>https://t.me/chad_protocol/535</v>
      </c>
      <c r="H183" s="6" t="str">
        <f>IFERROR(__xludf.DUMMYFUNCTION("""COMPUTED_VALUE"""),"Как меня два раза уволили за харасмент 
Одна история смешная, а вторая еще смешнее. Они учат двум вещам: 
1. ни в коем случае не переводи профессиональные корпоративные отношения в личные, а тем более в романтичные 
2. позитивная реакция человека (женщин"&amp;"ы) не означает, что все позитивно. Она потом сядет подумает, обсудит все с подругами/психологом и решит, что ты ее изнасиловал, напишет заяву. 
Первая история  
Был корпоратив. Мы все изрядна выпили, веселились и моя коллега стала со мной заигрывать во ф"&amp;"рейме ""блин я почему-то думаю, что ты ассекусал"". А у меня реально там был тогда вайб ""сосать, сосайти"", я не брился и ходил с патлами. Короче, она меня жестко провоцировала вербально и невербально. По итогу мы друг друга лапали, сосасались. Но вдруг "&amp;"ей написал муж и она поехала укладывать ребенка спать. 
На следующее утро она мне написала, что это был полный капец и нам нужно перестать общаться. Я попробовал сгладить углы типо ""Да слушай, мы все хорошо выпили, бывает, ничего страшного. Зачем нам пр"&amp;"екращать общение?"". На что она сказала, что такое поведение с моей стороны просто недопустимо и контактировать со мной она больше не в силах. Хотя она сама буквально терлась об меня, а рядом с нами на диванчике сидели другие коллеги. Как бы там не было с"&amp;"пустя пару дней меня пригласил на разговор руководитель и посоветовал уйти.
Вторая история
Уже в другом месте работы мою коллегу бросил парень и она пригласила меня на чай. Мы классно проводили время, она реально была прикольная и я начал за ней ухаживат"&amp;"ь с мыслью, что ""ну хоть будет кто-то на постоянку"". Я конечно понимал, что вряд ли ее утешаю один я, но я не гордый.. 
На одной встречи она попросила взять ее жестко: там отшлепать, покусать, засунуть трусы в рот, наступить на лицо и так далее. Я сам "&amp;"не фанат такой темы, но хотелось ей угодить. Там даже получилось оставить ей небольшой синячок на ляшке. Но я не обольшаюсь: у нее там в целом просто сосуды близко к коже находятся - она ходила постоянно в синяках. Сама она улыбалась и хихикала, ни слова "&amp;"мне не сказала. Мы провели весь день вместе, а на следующее утро я поехал к себе. Она сказала, что это был лучший секс в ее жизни. 
Вечером она мне написала, что теперь меня боится и не хочет больше встречаться. Сказала, что заяву за ""изнасилование"" он"&amp;"а не будет писать, но чтобы я так больше не поступал с женщинами. На мой вопрос, почему она ничего не сказала, а просто улыбалась и хихикала,— она сказала это ""была защитная реакция и она не понимала, что происходит"". По итогу спустя пару дней меня приг"&amp;"ласил на разговор руководитель и посоветовал уйти. А еще спустя неделю написал ее бывший парень и хотел со мной встретиться и поговорить по-мужски за то, что я позволил себе ""ударить"" его девушку. Я переслал ему пару кружочков, где она называет меня луч"&amp;"шим мужчиной в ее жизни, сравнивает с бывшими и тд.  
Вот такие истории, я был юным и глупым. Позже я узнал, что у девушек был ПРЛ. Обидно, а я думал, что нашел свою любовь. 
Если тебе понравилась история, присмотрись к курсам ПРО, там я делюсь своим ун"&amp;"икальным корпоративным опытом, чтобы ты не повторял моих ошибок.
➡️ Записаться
Подписаться: @chad_protocol")</f>
        <v>Как меня два раза уволили за харасмент 
Одна история смешная, а вторая еще смешнее. Они учат двум вещам: 
1. ни в коем случае не переводи профессиональные корпоративные отношения в личные, а тем более в романтичные 
2. позитивная реакция человека (женщины) не означает, что все позитивно. Она потом сядет подумает, обсудит все с подругами/психологом и решит, что ты ее изнасиловал, напишет заяву. 
Первая история  
Был корпоратив. Мы все изрядна выпили, веселились и моя коллега стала со мной заигрывать во фрейме "блин я почему-то думаю, что ты ассекусал". А у меня реально там был тогда вайб "сосать, сосайти", я не брился и ходил с патлами. Короче, она меня жестко провоцировала вербально и невербально. По итогу мы друг друга лапали, сосасались. Но вдруг ей написал муж и она поехала укладывать ребенка спать. 
На следующее утро она мне написала, что это был полный капец и нам нужно перестать общаться. Я попробовал сгладить углы типо "Да слушай, мы все хорошо выпили, бывает, ничего страшного. Зачем нам прекращать общение?". На что она сказала, что такое поведение с моей стороны просто недопустимо и контактировать со мной она больше не в силах. Хотя она сама буквально терлась об меня, а рядом с нами на диванчике сидели другие коллеги. Как бы там не было спустя пару дней меня пригласил на разговор руководитель и посоветовал уйти.
Вторая история
Уже в другом месте работы мою коллегу бросил парень и она пригласила меня на чай. Мы классно проводили время, она реально была прикольная и я начал за ней ухаживать с мыслью, что "ну хоть будет кто-то на постоянку". Я конечно понимал, что вряд ли ее утешаю один я, но я не гордый.. 
На одной встречи она попросила взять ее жестко: там отшлепать, покусать, засунуть трусы в рот, наступить на лицо и так далее. Я сам не фанат такой темы, но хотелось ей угодить. Там даже получилось оставить ей небольшой синячок на ляшке. Но я не обольшаюсь: у нее там в целом просто сосуды близко к коже находятся - она ходила постоянно в синяках. Сама она улыбалась и хихикала, ни слова мне не сказала. Мы провели весь день вместе, а на следующее утро я поехал к себе. Она сказала, что это был лучший секс в ее жизни. 
Вечером она мне написала, что теперь меня боится и не хочет больше встречаться. Сказала, что заяву за "изнасилование" она не будет писать, но чтобы я так больше не поступал с женщинами. На мой вопрос, почему она ничего не сказала, а просто улыбалась и хихикала,— она сказала это "была защитная реакция и она не понимала, что происходит". По итогу спустя пару дней меня пригласил на разговор руководитель и посоветовал уйти. А еще спустя неделю написал ее бывший парень и хотел со мной встретиться и поговорить по-мужски за то, что я позволил себе "ударить" его девушку. Я переслал ему пару кружочков, где она называет меня лучшим мужчиной в ее жизни, сравнивает с бывшими и тд.  
Вот такие истории, я был юным и глупым. Позже я узнал, что у девушек был ПРЛ. Обидно, а я думал, что нашел свою любовь. 
Если тебе понравилась история, присмотрись к курсам ПРО, там я делюсь своим уникальным корпоративным опытом, чтобы ты не повторял моих ошибок.
➡️ Записаться
Подписаться: @chad_protocol</v>
      </c>
      <c r="I183" s="6" t="str">
        <f>IFERROR(__xludf.DUMMYFUNCTION("""COMPUTED_VALUE"""),"external")</f>
        <v>external</v>
      </c>
      <c r="J183" s="10" t="str">
        <f>IFERROR(__xludf.DUMMYFUNCTION("""COMPUTED_VALUE"""),"https://t.me/chad_protocol/535")</f>
        <v>https://t.me/chad_protocol/535</v>
      </c>
      <c r="K183" s="6">
        <f>IFERROR(__xludf.DUMMYFUNCTION("""COMPUTED_VALUE"""),7040.0)</f>
        <v>7040</v>
      </c>
      <c r="L183" s="6">
        <f>IFERROR(__xludf.DUMMYFUNCTION("""COMPUTED_VALUE"""),68.0)</f>
        <v>68</v>
      </c>
      <c r="M183" s="6"/>
      <c r="N183" s="6" t="str">
        <f>IFERROR(__xludf.DUMMYFUNCTION("""COMPUTED_VALUE"""),"Telegram")</f>
        <v>Telegram</v>
      </c>
      <c r="O183" s="6" t="str">
        <f>IFERROR(__xludf.DUMMYFUNCTION("""COMPUTED_VALUE"""),"raw")</f>
        <v>raw</v>
      </c>
      <c r="P183" s="6" t="str">
        <f>IFERROR(__xludf.DUMMYFUNCTION("""COMPUTED_VALUE"""),"Codex")</f>
        <v>Codex</v>
      </c>
      <c r="Q183" s="6" t="str">
        <f>IFERROR(__xludf.DUMMYFUNCTION("""COMPUTED_VALUE"""),"Общий контакт @vice22821; признак связи с проектом")</f>
        <v>Общий контакт @vice22821; признак связи с проектом</v>
      </c>
      <c r="R183" s="6" t="str">
        <f>IFERROR(__xludf.DUMMYFUNCTION("""COMPUTED_VALUE"""),"unknown")</f>
        <v>unknown</v>
      </c>
      <c r="S183" s="6" t="str">
        <f>IFERROR(__xludf.DUMMYFUNCTION("""COMPUTED_VALUE"""),"unknown")</f>
        <v>unknown</v>
      </c>
      <c r="T183" s="6" t="str">
        <f>IFERROR(__xludf.DUMMYFUNCTION("""COMPUTED_VALUE"""),"telegram_external")</f>
        <v>telegram_external</v>
      </c>
      <c r="U183" s="6" t="str">
        <f>IFERROR(__xludf.DUMMYFUNCTION("""COMPUTED_VALUE"""),"Контент с предложением курсов")</f>
        <v>Контент с предложением курсов</v>
      </c>
      <c r="V183" s="6" t="str">
        <f>IFERROR(__xludf.DUMMYFUNCTION("""COMPUTED_VALUE"""),"")</f>
        <v/>
      </c>
      <c r="W183" s="6" t="str">
        <f>IFERROR(__xludf.DUMMYFUNCTION("""COMPUTED_VALUE"""),"")</f>
        <v/>
      </c>
      <c r="X183" s="6"/>
      <c r="Y183" s="6" t="str">
        <f>IFERROR(__xludf.DUMMYFUNCTION("""COMPUTED_VALUE"""),"https://t.me/postypashki_old/1859
https://t.me/m/p94YcePXNjcy")</f>
        <v>https://t.me/postypashki_old/1859
https://t.me/m/p94YcePXNjcy</v>
      </c>
      <c r="Z183" s="6" t="b">
        <f>IFERROR(__xludf.DUMMYFUNCTION("""COMPUTED_VALUE"""),TRUE)</f>
        <v>1</v>
      </c>
      <c r="AA183" s="6" t="str">
        <f>IFERROR(__xludf.DUMMYFUNCTION("""COMPUTED_VALUE"""),"")</f>
        <v/>
      </c>
      <c r="AB183" s="6" t="str">
        <f>IFERROR(__xludf.DUMMYFUNCTION("""COMPUTED_VALUE"""),"")</f>
        <v/>
      </c>
      <c r="AC183" s="6" t="str">
        <f>IFERROR(__xludf.DUMMYFUNCTION("""COMPUTED_VALUE"""),"")</f>
        <v/>
      </c>
      <c r="AD183" s="6" t="str">
        <f>IFERROR(__xludf.DUMMYFUNCTION("""COMPUTED_VALUE"""),"")</f>
        <v/>
      </c>
      <c r="AE183" s="6" t="str">
        <f>IFERROR(__xludf.DUMMYFUNCTION("""COMPUTED_VALUE"""),"")</f>
        <v/>
      </c>
      <c r="AF183" s="6" t="str">
        <f>IFERROR(__xludf.DUMMYFUNCTION("""COMPUTED_VALUE"""),"Не подтверждено")</f>
        <v>Не подтверждено</v>
      </c>
      <c r="AG183" s="6" t="str">
        <f>IFERROR(__xludf.DUMMYFUNCTION("""COMPUTED_VALUE"""),"")</f>
        <v/>
      </c>
      <c r="AH183" s="6" t="str">
        <f>IFERROR(__xludf.DUMMYFUNCTION("""COMPUTED_VALUE"""),"2026-09-11T11:47:50.761841+00:00")</f>
        <v>2026-09-11T11:47:50.761841+00:00</v>
      </c>
      <c r="AI183" s="6" t="str">
        <f>IFERROR(__xludf.DUMMYFUNCTION("""COMPUTED_VALUE"""),"raw/chad_protocol/page_000.html")</f>
        <v>raw/chad_protocol/page_000.html</v>
      </c>
      <c r="AJ183" s="9" t="s">
        <v>167</v>
      </c>
      <c r="AK183" s="9" t="s">
        <v>242</v>
      </c>
      <c r="AM183" s="9" t="s">
        <v>219</v>
      </c>
      <c r="AN183" s="4" t="str">
        <f>IFERROR(__xludf.DUMMYFUNCTION("IF(OR(AJ183=""general_brand"",AJ183=""external"",AJ183=""unknown""),"""",IF(AJ183=""product_line"",IF(AK183=""START"",""Аналитика старт | Алгоритмы старт | Backend старт | ML старт"",IF(AK183=""PRO"",""AI-агенты про | Алгоритмы про | Аналитика про | ML пр"&amp;"о | Backend про"",IF(AK183=""START | PRO"",""Аналитика старт | Алгоритмы старт | Backend старт | ML старт | AI-агенты про | Алгоритмы про | Аналитика про | ML про | Backend про"",""""))),TEXTJOIN("" | "",TRUE,IF(REGEXMATCH(LOWER(AL183&amp;"" | ""&amp;E183),""анал"&amp;"итика старт""),""Аналитика старт"",""""),IF(REGEXMATCH(LOWER(AL183&amp;"" | ""&amp;E183),""алгоритмы старт""),""Алгоритмы старт"",""""),IF(REGEXMATCH(LOWER(AL183&amp;"" | ""&amp;E183),""backend старт""),""Backend старт"",""""),IF(REGEXMATCH(LOWER(AL183&amp;"" | ""&amp;E183),""ml"&amp;" старт""),""ML старт"",""""),IF(REGEXMATCH(LOWER(AL183&amp;"" | ""&amp;E183),""ai[ -]?агент""),""AI-агенты про"",""""),IF(REGEXMATCH(LOWER(AL183&amp;"" | ""&amp;E183),""алгоритмы про""),""Алгоритмы про"",""""),IF(REGEXMATCH(LOWER(AL183&amp;"" | ""&amp;E183),""аналитика про""),"""&amp;"Аналитика про"",""""),IF(REGEXMATCH(LOWER(AL183&amp;"" | ""&amp;E183),""ml про""),""ML про"",""""),IF(REGEXMATCH(LOWER(AL183&amp;"" | ""&amp;E183),""backend про""),""Backend про"",""""),IF(REGEXMATCH(LOWER(AL183&amp;"" | ""&amp;E183),""(а/в|ав|а в|ab)[ -]?тест""),""А/В-тесты"","&amp;"""""),IF(REGEXMATCH(LOWER(AL183&amp;"" | ""&amp;E183),""data science""),""Data science"",""""),IF(REGEXMATCH(LOWER(AL183&amp;"" | ""&amp;E183),""data[- ]?инжен""),""Data-инженер"",""""),IF(REGEXMATCH(LOWER(AL183&amp;"" | ""&amp;E183),""frontend""),""Frontend"",""""))))"),"AI-агенты про | Алгоритмы про | Аналитика про | ML про | Backend про")</f>
        <v>AI-агенты про | Алгоритмы про | Аналитика про | ML про | Backend про</v>
      </c>
    </row>
    <row r="184">
      <c r="A184" s="6" t="str">
        <f>IFERROR(__xludf.DUMMYFUNCTION("""COMPUTED_VALUE"""),"EXT-84")</f>
        <v>EXT-84</v>
      </c>
      <c r="B184" s="6" t="str">
        <f>IFERROR(__xludf.DUMMYFUNCTION("""COMPUTED_VALUE"""),"2026-09-01 20:31:03")</f>
        <v>2026-09-01 20:31:03</v>
      </c>
      <c r="C184" s="6" t="str">
        <f>IFERROR(__xludf.DUMMYFUNCTION("""COMPUTED_VALUE"""),"@codeof_art")</f>
        <v>@codeof_art</v>
      </c>
      <c r="D184" s="4" t="str">
        <f>IFERROR(__xludf.DUMMYFUNCTION("""COMPUTED_VALUE"""),"Контент с предложением курсов")</f>
        <v>Контент с предложением курсов</v>
      </c>
      <c r="E184" s="6" t="str">
        <f>IFERROR(__xludf.DUMMYFUNCTION("""COMPUTED_VALUE"""),"")</f>
        <v/>
      </c>
      <c r="F184" s="6" t="str">
        <f>IFERROR(__xludf.DUMMYFUNCTION("""COMPUTED_VALUE"""),"")</f>
        <v/>
      </c>
      <c r="G184" s="10" t="str">
        <f>IFERROR(__xludf.DUMMYFUNCTION("""COMPUTED_VALUE"""),"https://t.me/codeof_art/322")</f>
        <v>https://t.me/codeof_art/322</v>
      </c>
      <c r="H184" s="6" t="str">
        <f>IFERROR(__xludf.DUMMYFUNCTION("""COMPUTED_VALUE"""),"Стажировка в Т-банк одна из лучших возможностей для старта в разработке: 
• специалисты высокого класса
• зарплаты в среднем выше рынка 
• современный стек и проекты 
• хорошо выстроены процессы 
• корпоративная культура
Для участия нужно подать анкету "&amp;"заполнить анкету до 6 сентября и выполнить экзамен. Разбор программирования уже выложен на нашем курсе бэкенд про. 
➡️ Записаться. 
Как заполнять анкеты смотрим этот ролик. Вашу анкету оценивают рекрутеры, команды. Если вы им понравитесь, вас пригласят н"&amp;"а финальное собеседование. 
На собесе может быть все, что угодно на усмотрение интервьюера: могут быть даже математические задачи на логику в духе тюремных загадок. Обязателен лайвкодинг с задачами, которые часто подбирают под ваше направление (фронтенде"&amp;"рам замыкания и event loop, Goшникам работа с рутинами и т.п.). Технические вопросы сильно зависят от команды: например, в команде T‑Мобайла гоняют по сетям, а в продуктовых в основном спрашивают синтаксис и основы. Иногда собеседование может пройти в фор"&amp;"мате ""вайбчека"" без технических вопросов, но это скорее исключение. Короче все, что есть в нашей программе курсов бэкенд старт и бэкенд про. Пример нашего выпускника здесь. 
Обычно финальный собес один на полтора часа. Если прям очень хорошо о себя зав"&amp;"или в анкете и хорошо показали на собесе - команда может дать хороший отзыв и тогда вам могут предложить еще одно собеседование, но такое бывает редко. Дополнительный финальный собес можно получить, если податься на донабор, который проходит обычно спустя"&amp;" месяц основного набора.
При идеальном мэтче, вы в Т-банке - поздравляю! 
Подписаться: @codeof_art")</f>
        <v>Стажировка в Т-банк одна из лучших возможностей для старта в разработке: 
• специалисты высокого класса
• зарплаты в среднем выше рынка 
• современный стек и проекты 
• хорошо выстроены процессы 
• корпоративная культура
Для участия нужно подать анкету заполнить анкету до 6 сентября и выполнить экзамен. Разбор программирования уже выложен на нашем курсе бэкенд про. 
➡️ Записаться. 
Как заполнять анкеты смотрим этот ролик. Вашу анкету оценивают рекрутеры, команды. Если вы им понравитесь, вас пригласят на финальное собеседование. 
На собесе может быть все, что угодно на усмотрение интервьюера: могут быть даже математические задачи на логику в духе тюремных загадок. Обязателен лайвкодинг с задачами, которые часто подбирают под ваше направление (фронтендерам замыкания и event loop, Goшникам работа с рутинами и т.п.). Технические вопросы сильно зависят от команды: например, в команде T‑Мобайла гоняют по сетям, а в продуктовых в основном спрашивают синтаксис и основы. Иногда собеседование может пройти в формате "вайбчека" без технических вопросов, но это скорее исключение. Короче все, что есть в нашей программе курсов бэкенд старт и бэкенд про. Пример нашего выпускника здесь. 
Обычно финальный собес один на полтора часа. Если прям очень хорошо о себя завили в анкете и хорошо показали на собесе - команда может дать хороший отзыв и тогда вам могут предложить еще одно собеседование, но такое бывает редко. Дополнительный финальный собес можно получить, если податься на донабор, который проходит обычно спустя месяц основного набора.
При идеальном мэтче, вы в Т-банке - поздравляю! 
Подписаться: @codeof_art</v>
      </c>
      <c r="I184" s="6" t="str">
        <f>IFERROR(__xludf.DUMMYFUNCTION("""COMPUTED_VALUE"""),"external")</f>
        <v>external</v>
      </c>
      <c r="J184" s="10" t="str">
        <f>IFERROR(__xludf.DUMMYFUNCTION("""COMPUTED_VALUE"""),"https://t.me/codeof_art/322")</f>
        <v>https://t.me/codeof_art/322</v>
      </c>
      <c r="K184" s="6">
        <f>IFERROR(__xludf.DUMMYFUNCTION("""COMPUTED_VALUE"""),1640.0)</f>
        <v>1640</v>
      </c>
      <c r="L184" s="6">
        <f>IFERROR(__xludf.DUMMYFUNCTION("""COMPUTED_VALUE"""),3.0)</f>
        <v>3</v>
      </c>
      <c r="M184" s="6"/>
      <c r="N184" s="6" t="str">
        <f>IFERROR(__xludf.DUMMYFUNCTION("""COMPUTED_VALUE"""),"Telegram")</f>
        <v>Telegram</v>
      </c>
      <c r="O184" s="6" t="str">
        <f>IFERROR(__xludf.DUMMYFUNCTION("""COMPUTED_VALUE"""),"raw")</f>
        <v>raw</v>
      </c>
      <c r="P184" s="6" t="str">
        <f>IFERROR(__xludf.DUMMYFUNCTION("""COMPUTED_VALUE"""),"Codex")</f>
        <v>Codex</v>
      </c>
      <c r="Q184" s="6" t="str">
        <f>IFERROR(__xludf.DUMMYFUNCTION("""COMPUTED_VALUE"""),"Общий контакт @vice22821; признак связи с проектом")</f>
        <v>Общий контакт @vice22821; признак связи с проектом</v>
      </c>
      <c r="R184" s="6" t="str">
        <f>IFERROR(__xludf.DUMMYFUNCTION("""COMPUTED_VALUE"""),"unknown")</f>
        <v>unknown</v>
      </c>
      <c r="S184" s="6" t="str">
        <f>IFERROR(__xludf.DUMMYFUNCTION("""COMPUTED_VALUE"""),"unknown")</f>
        <v>unknown</v>
      </c>
      <c r="T184" s="6" t="str">
        <f>IFERROR(__xludf.DUMMYFUNCTION("""COMPUTED_VALUE"""),"telegram_external")</f>
        <v>telegram_external</v>
      </c>
      <c r="U184" s="6" t="str">
        <f>IFERROR(__xludf.DUMMYFUNCTION("""COMPUTED_VALUE"""),"Контент с предложением курсов")</f>
        <v>Контент с предложением курсов</v>
      </c>
      <c r="V184" s="6" t="str">
        <f>IFERROR(__xludf.DUMMYFUNCTION("""COMPUTED_VALUE"""),"")</f>
        <v/>
      </c>
      <c r="W184" s="6" t="str">
        <f>IFERROR(__xludf.DUMMYFUNCTION("""COMPUTED_VALUE"""),"")</f>
        <v/>
      </c>
      <c r="X184" s="6"/>
      <c r="Y184" s="6" t="str">
        <f>IFERROR(__xludf.DUMMYFUNCTION("""COMPUTED_VALUE"""),"https://t.me/postypashki_old/1859
https://t.me/m/p94YcePXNjcy
https://t.me/postypashki_old/1787
https://t.me/postypashki_old/1523")</f>
        <v>https://t.me/postypashki_old/1859
https://t.me/m/p94YcePXNjcy
https://t.me/postypashki_old/1787
https://t.me/postypashki_old/1523</v>
      </c>
      <c r="Z184" s="6" t="b">
        <f>IFERROR(__xludf.DUMMYFUNCTION("""COMPUTED_VALUE"""),TRUE)</f>
        <v>1</v>
      </c>
      <c r="AA184" s="6" t="str">
        <f>IFERROR(__xludf.DUMMYFUNCTION("""COMPUTED_VALUE"""),"")</f>
        <v/>
      </c>
      <c r="AB184" s="6" t="str">
        <f>IFERROR(__xludf.DUMMYFUNCTION("""COMPUTED_VALUE"""),"")</f>
        <v/>
      </c>
      <c r="AC184" s="6" t="str">
        <f>IFERROR(__xludf.DUMMYFUNCTION("""COMPUTED_VALUE"""),"")</f>
        <v/>
      </c>
      <c r="AD184" s="6" t="str">
        <f>IFERROR(__xludf.DUMMYFUNCTION("""COMPUTED_VALUE"""),"")</f>
        <v/>
      </c>
      <c r="AE184" s="6" t="str">
        <f>IFERROR(__xludf.DUMMYFUNCTION("""COMPUTED_VALUE"""),"")</f>
        <v/>
      </c>
      <c r="AF184" s="6" t="str">
        <f>IFERROR(__xludf.DUMMYFUNCTION("""COMPUTED_VALUE"""),"Не подтверждено")</f>
        <v>Не подтверждено</v>
      </c>
      <c r="AG184" s="6" t="str">
        <f>IFERROR(__xludf.DUMMYFUNCTION("""COMPUTED_VALUE"""),"")</f>
        <v/>
      </c>
      <c r="AH184" s="6" t="str">
        <f>IFERROR(__xludf.DUMMYFUNCTION("""COMPUTED_VALUE"""),"2026-09-11T11:47:36.835348+00:00")</f>
        <v>2026-09-11T11:47:36.835348+00:00</v>
      </c>
      <c r="AI184" s="6" t="str">
        <f>IFERROR(__xludf.DUMMYFUNCTION("""COMPUTED_VALUE"""),"raw/codeof_art/page_000.html")</f>
        <v>raw/codeof_art/page_000.html</v>
      </c>
      <c r="AJ184" s="9" t="s">
        <v>223</v>
      </c>
      <c r="AK184" s="9" t="s">
        <v>240</v>
      </c>
      <c r="AL184" s="9" t="s">
        <v>258</v>
      </c>
      <c r="AM184" s="9" t="s">
        <v>231</v>
      </c>
      <c r="AN184" s="4" t="str">
        <f>IFERROR(__xludf.DUMMYFUNCTION("IF(OR(AJ184=""general_brand"",AJ184=""external"",AJ184=""unknown""),"""",IF(AJ184=""product_line"",IF(AK184=""START"",""Аналитика старт | Алгоритмы старт | Backend старт | ML старт"",IF(AK184=""PRO"",""AI-агенты про | Алгоритмы про | Аналитика про | ML пр"&amp;"о | Backend про"",IF(AK184=""START | PRO"",""Аналитика старт | Алгоритмы старт | Backend старт | ML старт | AI-агенты про | Алгоритмы про | Аналитика про | ML про | Backend про"",""""))),TEXTJOIN("" | "",TRUE,IF(REGEXMATCH(LOWER(AL184&amp;"" | ""&amp;E184),""анал"&amp;"итика старт""),""Аналитика старт"",""""),IF(REGEXMATCH(LOWER(AL184&amp;"" | ""&amp;E184),""алгоритмы старт""),""Алгоритмы старт"",""""),IF(REGEXMATCH(LOWER(AL184&amp;"" | ""&amp;E184),""backend старт""),""Backend старт"",""""),IF(REGEXMATCH(LOWER(AL184&amp;"" | ""&amp;E184),""ml"&amp;" старт""),""ML старт"",""""),IF(REGEXMATCH(LOWER(AL184&amp;"" | ""&amp;E184),""ai[ -]?агент""),""AI-агенты про"",""""),IF(REGEXMATCH(LOWER(AL184&amp;"" | ""&amp;E184),""алгоритмы про""),""Алгоритмы про"",""""),IF(REGEXMATCH(LOWER(AL184&amp;"" | ""&amp;E184),""аналитика про""),"""&amp;"Аналитика про"",""""),IF(REGEXMATCH(LOWER(AL184&amp;"" | ""&amp;E184),""ml про""),""ML про"",""""),IF(REGEXMATCH(LOWER(AL184&amp;"" | ""&amp;E184),""backend про""),""Backend про"",""""),IF(REGEXMATCH(LOWER(AL184&amp;"" | ""&amp;E184),""(а/в|ав|а в|ab)[ -]?тест""),""А/В-тесты"","&amp;"""""),IF(REGEXMATCH(LOWER(AL184&amp;"" | ""&amp;E184),""data science""),""Data science"",""""),IF(REGEXMATCH(LOWER(AL184&amp;"" | ""&amp;E184),""data[- ]?инжен""),""Data-инженер"",""""),IF(REGEXMATCH(LOWER(AL184&amp;"" | ""&amp;E184),""frontend""),""Frontend"",""""))))"),"Backend старт | Backend про")</f>
        <v>Backend старт | Backend про</v>
      </c>
    </row>
    <row r="185">
      <c r="A185" s="6" t="str">
        <f>IFERROR(__xludf.DUMMYFUNCTION("""COMPUTED_VALUE"""),"EXT-85")</f>
        <v>EXT-85</v>
      </c>
      <c r="B185" s="6" t="str">
        <f>IFERROR(__xludf.DUMMYFUNCTION("""COMPUTED_VALUE"""),"2026-09-02 19:25:09")</f>
        <v>2026-09-02 19:25:09</v>
      </c>
      <c r="C185" s="6" t="str">
        <f>IFERROR(__xludf.DUMMYFUNCTION("""COMPUTED_VALUE"""),"@ProdAnalysis")</f>
        <v>@ProdAnalysis</v>
      </c>
      <c r="D185" s="4" t="str">
        <f>IFERROR(__xludf.DUMMYFUNCTION("""COMPUTED_VALUE"""),"Контент с предложением курсов")</f>
        <v>Контент с предложением курсов</v>
      </c>
      <c r="E185" s="6" t="str">
        <f>IFERROR(__xludf.DUMMYFUNCTION("""COMPUTED_VALUE"""),"")</f>
        <v/>
      </c>
      <c r="F185" s="6" t="str">
        <f>IFERROR(__xludf.DUMMYFUNCTION("""COMPUTED_VALUE"""),"")</f>
        <v/>
      </c>
      <c r="G185" s="10" t="str">
        <f>IFERROR(__xludf.DUMMYFUNCTION("""COMPUTED_VALUE"""),"https://t.me/ProdAnalysis/157")</f>
        <v>https://t.me/ProdAnalysis/157</v>
      </c>
      <c r="H185" s="6" t="str">
        <f>IFERROR(__xludf.DUMMYFUNCTION("""COMPUTED_VALUE"""),"Реальное собеседование на стажировку продуктового аналитика в Т-банк 
Наш студент сделал расшифровку записи собеса, делимся с вами! Кстати, решение экзамена уже выложено на нашем курсе аналитика про, ии агенты про и алгоритмы про. 
➡️ Записаться. 
1. «Р"&amp;"асскажи, как работает этот бизнес, на чём зарабатывает?»
Речь идет про Яндекс Еду (обычно предлагают разобрать какой-то продукт, кроме Т-банка). 
Для меня Яндекс Еда – классический трёхсторонний маркетплейс:
• Клиент – голодный пользователь,
• Ресторан –"&amp;" готовит еду,
• Курьер – доставляет.
Деньги берём из трёх источников:
• Сервисный сбор с клиента за использование приложения,
• Комиссия с ресторана (~20% от чека) за то, что мы привели ему клиентов,
• Платная доставка – она идёт на оплату курьера.
Всё э"&amp;"то укладывается в юнит-экономику каждого заказа – выручка = комиссии + сборы + логистика.
2. «На какой стадии жизненного цикла сейчас Яндекс Еда?»
Любой продукт проходит: внедрение → рост → зрелость → спад.
Я считаю, что Яндекс Еда – в зрелости. Рынок уж"&amp;"е поделен, новые игроки не лезут, стоимость привлечения клиента (CAC) зашкаливает.
Значит, стратегия «просто набрать новых пользователей» больше не работает. Теперь фокус на удержании (retention) и пожизненной ценности (LTV). Надо заставить старых клиент"&amp;"ов заказывать чаще и больше, а не тратить деньги на привлечение новых.
3. «Назови ключевые метрики для нас. Какая у тебя North Star?»
Моя полярная звезда (North Star) – чистая прибыль.
Можно смотреть на число заказов или установок, но если каждый заказ у"&amp;"быточен – компания умрёт.
Я строю дерево метрик, где всё стягивается к LTV. Например:
Retention → повторные заказы → рост LTV → снижение доли маркетинговых расходов → увеличение маржинальности.
Важно показать связь между поведением пользователя и экономи"&amp;"кой.
4. «Как ты строишь дашборды?»
• Валидация данных – сверяю результаты скрипта с ручными расчётами (график показывает миллион, а в кассе ноль – провал).
• Фильтры – по возрасту, полу, региону, чтобы видеть аномалии (например, в Москве упало, а в Пите"&amp;"ре выросло).
• Алерты - если метрика падает ниже нормы, прилетает уведомление – не сидеть же 24/7 у монитора.
5. «Как бы ты повысил прибыль?»
Ищем узкие места в воронке.
• Если видим, что много лояльных клиентов, предложим кнопку «Повторить заказ» – сокр"&amp;"атим путь до покупки.
• Если цель поднять средний чек, то внедрим рекомендации («С этим блюдом часто берут колу») или умные пуши с новинками из любимых ресторанов.
6. «Как приоритизировать фичи, когда разработчиков не хватает?»
Использую RICE (Reach, Imp"&amp;"act, Confidence, Effort):
• Reach – сколько пользователей затронет фича,
• Impact – насколько сильно это поможет,
• Confidence – насколько мы уверены в оценках,
•  Effort – сколько месяцев работы разработчиков.
Считаем: (Reach × Impact × Confidence) / Ef"&amp;"fort. У кого балл выше – того и запускаем. 
7. «Какой статистический тест выберешь для А/Б теста?»
Всё зависит от типа метрики:
•  Конверсия (купил/не купил) – пропорция → Z-тест или хи-квадрат.
•  Средний чек (рубли) – непрерывная величина → t-тест (ес"&amp;"ли нормальное распределение) или Манн-Уитни (если не нормальное или много выбросов).
8. «Что такое ошибка первого и второго рода? Объясни на пальцах»
Лучшая аналогия – тест на беременность:
•  Ошибка первого рода (α, ложноположительный) – тест говорит «"&amp;"беременна», а на самом деле нет. В А/Б – мы увидели эффект, хотя его нет. Это стоит компании денег на разработку бесполезной фичи.
• Ошибка второго рода (β, ложноотрицательный) – тест говорит «не беременна», а живот уже растёт. Мы решаем, что фича не рабо"&amp;"тает, а она могла бы принести миллионы.
9. «Что делать, если p-value колеблется около 0.05?»
Главный грех аналитика – подглядывание (peeking). Нельзя каждый день смотреть на p-value и ждать, пока оно станет зелёным, чтобы остановить тест.
Заранее рассчит"&amp;"ываем размер выборки и длительность теста. И до окончания срока никаких решений. Если в конце p-value &gt; α – гипотеза не подтвердилась, фичу не выкатываем, как бы она нам ни нравилась.
10. «Как проверить, что распределение нормальное?»
• Для маленьких вы"&amp;"борок – критерий Шапиро-Уилка.
• Для больших – Колмогорова-Смирнова.
• И обязательно Q-Q plot – если точки ложатся на прямую, распределение нормальное.
11. «А знаешь, что такое ratio-метрики?»
Ratio-метрики – это отношения, например CTR = клики / показы."&amp;"
Проблема: числитель и знаменатель – случайные величины, у них сложная дисперсия, и обычный t-тест начинает врать.
Чтобы починить, я использую дельта-метод или линеаризацию – превращаю сложное отношение в простую линейную переменную для каждого пользовате"&amp;"ля. Это позволяет корректно оценить дисперсию, сохранить чувствительность и точность p-value на больших данных.
Еще больше вопрос в нашем открытом банке собесов и тестовых заданий: смотрите на сайте. 
Подписаться: @ProdAnalysis")</f>
        <v>Реальное собеседование на стажировку продуктового аналитика в Т-банк 
Наш студент сделал расшифровку записи собеса, делимся с вами! Кстати, решение экзамена уже выложено на нашем курсе аналитика про, ии агенты про и алгоритмы про. 
➡️ Записаться. 
1. «Расскажи, как работает этот бизнес, на чём зарабатывает?»
Речь идет про Яндекс Еду (обычно предлагают разобрать какой-то продукт, кроме Т-банка). 
Для меня Яндекс Еда – классический трёхсторонний маркетплейс:
• Клиент – голодный пользователь,
• Ресторан – готовит еду,
• Курьер – доставляет.
Деньги берём из трёх источников:
• Сервисный сбор с клиента за использование приложения,
• Комиссия с ресторана (~20% от чека) за то, что мы привели ему клиентов,
• Платная доставка – она идёт на оплату курьера.
Всё это укладывается в юнит-экономику каждого заказа – выручка = комиссии + сборы + логистика.
2. «На какой стадии жизненного цикла сейчас Яндекс Еда?»
Любой продукт проходит: внедрение → рост → зрелость → спад.
Я считаю, что Яндекс Еда – в зрелости. Рынок уже поделен, новые игроки не лезут, стоимость привлечения клиента (CAC) зашкаливает.
Значит, стратегия «просто набрать новых пользователей» больше не работает. Теперь фокус на удержании (retention) и пожизненной ценности (LTV). Надо заставить старых клиентов заказывать чаще и больше, а не тратить деньги на привлечение новых.
3. «Назови ключевые метрики для нас. Какая у тебя North Star?»
Моя полярная звезда (North Star) – чистая прибыль.
Можно смотреть на число заказов или установок, но если каждый заказ убыточен – компания умрёт.
Я строю дерево метрик, где всё стягивается к LTV. Например:
Retention → повторные заказы → рост LTV → снижение доли маркетинговых расходов → увеличение маржинальности.
Важно показать связь между поведением пользователя и экономикой.
4. «Как ты строишь дашборды?»
• Валидация данных – сверяю результаты скрипта с ручными расчётами (график показывает миллион, а в кассе ноль – провал).
• Фильтры – по возрасту, полу, региону, чтобы видеть аномалии (например, в Москве упало, а в Питере выросло).
• Алерты - если метрика падает ниже нормы, прилетает уведомление – не сидеть же 24/7 у монитора.
5. «Как бы ты повысил прибыль?»
Ищем узкие места в воронке.
• Если видим, что много лояльных клиентов, предложим кнопку «Повторить заказ» – сократим путь до покупки.
• Если цель поднять средний чек, то внедрим рекомендации («С этим блюдом часто берут колу») или умные пуши с новинками из любимых ресторанов.
6. «Как приоритизировать фичи, когда разработчиков не хватает?»
Использую RICE (Reach, Impact, Confidence, Effort):
• Reach – сколько пользователей затронет фича,
• Impact – насколько сильно это поможет,
• Confidence – насколько мы уверены в оценках,
•  Effort – сколько месяцев работы разработчиков.
Считаем: (Reach × Impact × Confidence) / Effort. У кого балл выше – того и запускаем. 
7. «Какой статистический тест выберешь для А/Б теста?»
Всё зависит от типа метрики:
•  Конверсия (купил/не купил) – пропорция → Z-тест или хи-квадрат.
•  Средний чек (рубли) – непрерывная величина → t-тест (если нормальное распределение) или Манн-Уитни (если не нормальное или много выбросов).
8. «Что такое ошибка первого и второго рода? Объясни на пальцах»
Лучшая аналогия – тест на беременность:
•  Ошибка первого рода (α, ложноположительный) – тест говорит «беременна», а на самом деле нет. В А/Б – мы увидели эффект, хотя его нет. Это стоит компании денег на разработку бесполезной фичи.
• Ошибка второго рода (β, ложноотрицательный) – тест говорит «не беременна», а живот уже растёт. Мы решаем, что фича не работает, а она могла бы принести миллионы.
9. «Что делать, если p-value колеблется около 0.05?»
Главный грех аналитика – подглядывание (peeking). Нельзя каждый день смотреть на p-value и ждать, пока оно станет зелёным, чтобы остановить тест.
Заранее рассчитываем размер выборки и длительность теста. И до окончания срока никаких решений. Если в конце p-value &gt; α – гипотеза не подтвердилась, фичу не выкатываем, как бы она нам ни нравилась.
10. «Как проверить, что распределение нормальное?»
• Для маленьких выборок – критерий Шапиро-Уилка.
• Для больших – Колмогорова-Смирнова.
• И обязательно Q-Q plot – если точки ложатся на прямую, распределение нормальное.
11. «А знаешь, что такое ratio-метрики?»
Ratio-метрики – это отношения, например CTR = клики / показы.
Проблема: числитель и знаменатель – случайные величины, у них сложная дисперсия, и обычный t-тест начинает врать.
Чтобы починить, я использую дельта-метод или линеаризацию – превращаю сложное отношение в простую линейную переменную для каждого пользователя. Это позволяет корректно оценить дисперсию, сохранить чувствительность и точность p-value на больших данных.
Еще больше вопрос в нашем открытом банке собесов и тестовых заданий: смотрите на сайте. 
Подписаться: @ProdAnalysis</v>
      </c>
      <c r="I185" s="6" t="str">
        <f>IFERROR(__xludf.DUMMYFUNCTION("""COMPUTED_VALUE"""),"external")</f>
        <v>external</v>
      </c>
      <c r="J185" s="10" t="str">
        <f>IFERROR(__xludf.DUMMYFUNCTION("""COMPUTED_VALUE"""),"https://t.me/ProdAnalysis/157")</f>
        <v>https://t.me/ProdAnalysis/157</v>
      </c>
      <c r="K185" s="6">
        <f>IFERROR(__xludf.DUMMYFUNCTION("""COMPUTED_VALUE"""),1920.0)</f>
        <v>1920</v>
      </c>
      <c r="L185" s="6">
        <f>IFERROR(__xludf.DUMMYFUNCTION("""COMPUTED_VALUE"""),7.0)</f>
        <v>7</v>
      </c>
      <c r="M185" s="6"/>
      <c r="N185" s="6" t="str">
        <f>IFERROR(__xludf.DUMMYFUNCTION("""COMPUTED_VALUE"""),"Telegram")</f>
        <v>Telegram</v>
      </c>
      <c r="O185" s="6" t="str">
        <f>IFERROR(__xludf.DUMMYFUNCTION("""COMPUTED_VALUE"""),"raw")</f>
        <v>raw</v>
      </c>
      <c r="P185" s="6" t="str">
        <f>IFERROR(__xludf.DUMMYFUNCTION("""COMPUTED_VALUE"""),"Codex")</f>
        <v>Codex</v>
      </c>
      <c r="Q185" s="6" t="str">
        <f>IFERROR(__xludf.DUMMYFUNCTION("""COMPUTED_VALUE"""),"Общий контакт @vice22821; признак связи с проектом")</f>
        <v>Общий контакт @vice22821; признак связи с проектом</v>
      </c>
      <c r="R185" s="6" t="str">
        <f>IFERROR(__xludf.DUMMYFUNCTION("""COMPUTED_VALUE"""),"unknown")</f>
        <v>unknown</v>
      </c>
      <c r="S185" s="6" t="str">
        <f>IFERROR(__xludf.DUMMYFUNCTION("""COMPUTED_VALUE"""),"unknown")</f>
        <v>unknown</v>
      </c>
      <c r="T185" s="6" t="str">
        <f>IFERROR(__xludf.DUMMYFUNCTION("""COMPUTED_VALUE"""),"telegram_external")</f>
        <v>telegram_external</v>
      </c>
      <c r="U185" s="6" t="str">
        <f>IFERROR(__xludf.DUMMYFUNCTION("""COMPUTED_VALUE"""),"Контент с предложением курсов")</f>
        <v>Контент с предложением курсов</v>
      </c>
      <c r="V185" s="6" t="str">
        <f>IFERROR(__xludf.DUMMYFUNCTION("""COMPUTED_VALUE"""),"")</f>
        <v/>
      </c>
      <c r="W185" s="6" t="str">
        <f>IFERROR(__xludf.DUMMYFUNCTION("""COMPUTED_VALUE"""),"")</f>
        <v/>
      </c>
      <c r="X185" s="6"/>
      <c r="Y185" s="6" t="str">
        <f>IFERROR(__xludf.DUMMYFUNCTION("""COMPUTED_VALUE"""),"https://t.me/postypashki_old/1859
https://t.me/m/p94YcePXNjcy
https://old.postypashki.ru/%D0%BC%D0%B0%D1%88%D0%B8%D0%BD%D0%BD%D0%BE%D0%B5-%D0%BE%D0%B1%D1%83%D1%87%D0%B5%D0%BD%D0%B8%D0%B5/")</f>
        <v>https://t.me/postypashki_old/1859
https://t.me/m/p94YcePXNjcy
https://old.postypashki.ru/%D0%BC%D0%B0%D1%88%D0%B8%D0%BD%D0%BD%D0%BE%D0%B5-%D0%BE%D0%B1%D1%83%D1%87%D0%B5%D0%BD%D0%B8%D0%B5/</v>
      </c>
      <c r="Z185" s="6" t="b">
        <f>IFERROR(__xludf.DUMMYFUNCTION("""COMPUTED_VALUE"""),TRUE)</f>
        <v>1</v>
      </c>
      <c r="AA185" s="6" t="str">
        <f>IFERROR(__xludf.DUMMYFUNCTION("""COMPUTED_VALUE"""),"")</f>
        <v/>
      </c>
      <c r="AB185" s="6" t="str">
        <f>IFERROR(__xludf.DUMMYFUNCTION("""COMPUTED_VALUE"""),"")</f>
        <v/>
      </c>
      <c r="AC185" s="6" t="str">
        <f>IFERROR(__xludf.DUMMYFUNCTION("""COMPUTED_VALUE"""),"")</f>
        <v/>
      </c>
      <c r="AD185" s="6" t="str">
        <f>IFERROR(__xludf.DUMMYFUNCTION("""COMPUTED_VALUE"""),"")</f>
        <v/>
      </c>
      <c r="AE185" s="6" t="str">
        <f>IFERROR(__xludf.DUMMYFUNCTION("""COMPUTED_VALUE"""),"")</f>
        <v/>
      </c>
      <c r="AF185" s="6" t="str">
        <f>IFERROR(__xludf.DUMMYFUNCTION("""COMPUTED_VALUE"""),"Не подтверждено")</f>
        <v>Не подтверждено</v>
      </c>
      <c r="AG185" s="6" t="str">
        <f>IFERROR(__xludf.DUMMYFUNCTION("""COMPUTED_VALUE"""),"")</f>
        <v/>
      </c>
      <c r="AH185" s="6" t="str">
        <f>IFERROR(__xludf.DUMMYFUNCTION("""COMPUTED_VALUE"""),"2026-09-11T11:47:34.275826+00:00")</f>
        <v>2026-09-11T11:47:34.275826+00:00</v>
      </c>
      <c r="AI185" s="6" t="str">
        <f>IFERROR(__xludf.DUMMYFUNCTION("""COMPUTED_VALUE"""),"raw/ProdAnalysis/page_000.html")</f>
        <v>raw/ProdAnalysis/page_000.html</v>
      </c>
      <c r="AJ185" s="9" t="s">
        <v>223</v>
      </c>
      <c r="AK185" s="9" t="s">
        <v>242</v>
      </c>
      <c r="AL185" s="9" t="s">
        <v>259</v>
      </c>
      <c r="AM185" s="9" t="s">
        <v>228</v>
      </c>
      <c r="AN185" s="4" t="str">
        <f>IFERROR(__xludf.DUMMYFUNCTION("IF(OR(AJ185=""general_brand"",AJ185=""external"",AJ185=""unknown""),"""",IF(AJ185=""product_line"",IF(AK185=""START"",""Аналитика старт | Алгоритмы старт | Backend старт | ML старт"",IF(AK185=""PRO"",""AI-агенты про | Алгоритмы про | Аналитика про | ML пр"&amp;"о | Backend про"",IF(AK185=""START | PRO"",""Аналитика старт | Алгоритмы старт | Backend старт | ML старт | AI-агенты про | Алгоритмы про | Аналитика про | ML про | Backend про"",""""))),TEXTJOIN("" | "",TRUE,IF(REGEXMATCH(LOWER(AL185&amp;"" | ""&amp;E185),""анал"&amp;"итика старт""),""Аналитика старт"",""""),IF(REGEXMATCH(LOWER(AL185&amp;"" | ""&amp;E185),""алгоритмы старт""),""Алгоритмы старт"",""""),IF(REGEXMATCH(LOWER(AL185&amp;"" | ""&amp;E185),""backend старт""),""Backend старт"",""""),IF(REGEXMATCH(LOWER(AL185&amp;"" | ""&amp;E185),""ml"&amp;" старт""),""ML старт"",""""),IF(REGEXMATCH(LOWER(AL185&amp;"" | ""&amp;E185),""ai[ -]?агент""),""AI-агенты про"",""""),IF(REGEXMATCH(LOWER(AL185&amp;"" | ""&amp;E185),""алгоритмы про""),""Алгоритмы про"",""""),IF(REGEXMATCH(LOWER(AL185&amp;"" | ""&amp;E185),""аналитика про""),"""&amp;"Аналитика про"",""""),IF(REGEXMATCH(LOWER(AL185&amp;"" | ""&amp;E185),""ml про""),""ML про"",""""),IF(REGEXMATCH(LOWER(AL185&amp;"" | ""&amp;E185),""backend про""),""Backend про"",""""),IF(REGEXMATCH(LOWER(AL185&amp;"" | ""&amp;E185),""(а/в|ав|а в|ab)[ -]?тест""),""А/В-тесты"","&amp;"""""),IF(REGEXMATCH(LOWER(AL185&amp;"" | ""&amp;E185),""data science""),""Data science"",""""),IF(REGEXMATCH(LOWER(AL185&amp;"" | ""&amp;E185),""data[- ]?инжен""),""Data-инженер"",""""),IF(REGEXMATCH(LOWER(AL185&amp;"" | ""&amp;E185),""frontend""),""Frontend"",""""))))"),"AI-агенты про | Алгоритмы про | Аналитика про")</f>
        <v>AI-агенты про | Алгоритмы про | Аналитика про</v>
      </c>
    </row>
    <row r="186">
      <c r="A186" s="6" t="str">
        <f>IFERROR(__xludf.DUMMYFUNCTION("""COMPUTED_VALUE"""),"EXT-86")</f>
        <v>EXT-86</v>
      </c>
      <c r="B186" s="6" t="str">
        <f>IFERROR(__xludf.DUMMYFUNCTION("""COMPUTED_VALUE"""),"2026-09-02 18:21:30")</f>
        <v>2026-09-02 18:21:30</v>
      </c>
      <c r="C186" s="6" t="str">
        <f>IFERROR(__xludf.DUMMYFUNCTION("""COMPUTED_VALUE"""),"@algoses")</f>
        <v>@algoses</v>
      </c>
      <c r="D186" s="4" t="str">
        <f>IFERROR(__xludf.DUMMYFUNCTION("""COMPUTED_VALUE"""),"Контент с предложением курсов")</f>
        <v>Контент с предложением курсов</v>
      </c>
      <c r="E186" s="6" t="str">
        <f>IFERROR(__xludf.DUMMYFUNCTION("""COMPUTED_VALUE"""),"")</f>
        <v/>
      </c>
      <c r="F186" s="6" t="str">
        <f>IFERROR(__xludf.DUMMYFUNCTION("""COMPUTED_VALUE"""),"")</f>
        <v/>
      </c>
      <c r="G186" s="10" t="str">
        <f>IFERROR(__xludf.DUMMYFUNCTION("""COMPUTED_VALUE"""),"https://t.me/algoses/620")</f>
        <v>https://t.me/algoses/620</v>
      </c>
      <c r="H186" s="6" t="str">
        <f>IFERROR(__xludf.DUMMYFUNCTION("""COMPUTED_VALUE"""),"Открылся отбор на стажировку в Т-Банк 
Задачи уже выложены в нашем чате (тут). 
Специально для участников курсов про уже мы уже выложили разбор соответствующих экзаменов. В разборе мы покажем подход к решению задач и как оформить ответ, чтобы получить в"&amp;"ысокий балл.  
Также на курсах будет доступно:
🔽 Курс по выходу на доход в валюте
🔽 Разбор текущей стажировки Яндекса
🔽 Гарантия оффера
🔽 Огромный банк технических вопросов
🔽 Рефералка в бигтех после защиты пет-проекта
🔽 mock-собеседования с обратн"&amp;"ой связью
📌 Вопросы и запись — менеджеру")</f>
        <v>Открылся отбор на стажировку в Т-Банк 
Задачи уже выложены в нашем чате (тут). 
Специально для участников курсов про уже мы уже выложили разбор соответствующих экзаменов. В разборе мы покажем подход к решению задач и как оформить ответ, чтобы получить высокий балл.  
Также на курсах будет доступно:
🔽 Курс по выходу на доход в валюте
🔽 Разбор текущей стажировки Яндекса
🔽 Гарантия оффера
🔽 Огромный банк технических вопросов
🔽 Рефералка в бигтех после защиты пет-проекта
🔽 mock-собеседования с обратной связью
📌 Вопросы и запись — менеджеру</v>
      </c>
      <c r="I186" s="6" t="str">
        <f>IFERROR(__xludf.DUMMYFUNCTION("""COMPUTED_VALUE"""),"external")</f>
        <v>external</v>
      </c>
      <c r="J186" s="10" t="str">
        <f>IFERROR(__xludf.DUMMYFUNCTION("""COMPUTED_VALUE"""),"https://t.me/algoses/620")</f>
        <v>https://t.me/algoses/620</v>
      </c>
      <c r="K186" s="6">
        <f>IFERROR(__xludf.DUMMYFUNCTION("""COMPUTED_VALUE"""),2170.0)</f>
        <v>2170</v>
      </c>
      <c r="L186" s="6">
        <f>IFERROR(__xludf.DUMMYFUNCTION("""COMPUTED_VALUE"""),2.0)</f>
        <v>2</v>
      </c>
      <c r="M186" s="6"/>
      <c r="N186" s="6" t="str">
        <f>IFERROR(__xludf.DUMMYFUNCTION("""COMPUTED_VALUE"""),"Telegram")</f>
        <v>Telegram</v>
      </c>
      <c r="O186" s="6" t="str">
        <f>IFERROR(__xludf.DUMMYFUNCTION("""COMPUTED_VALUE"""),"raw")</f>
        <v>raw</v>
      </c>
      <c r="P186" s="6" t="str">
        <f>IFERROR(__xludf.DUMMYFUNCTION("""COMPUTED_VALUE"""),"Codex")</f>
        <v>Codex</v>
      </c>
      <c r="Q186" s="6" t="str">
        <f>IFERROR(__xludf.DUMMYFUNCTION("""COMPUTED_VALUE"""),"Общий контакт @vice22821; признак связи с проектом")</f>
        <v>Общий контакт @vice22821; признак связи с проектом</v>
      </c>
      <c r="R186" s="6" t="str">
        <f>IFERROR(__xludf.DUMMYFUNCTION("""COMPUTED_VALUE"""),"unknown")</f>
        <v>unknown</v>
      </c>
      <c r="S186" s="6" t="str">
        <f>IFERROR(__xludf.DUMMYFUNCTION("""COMPUTED_VALUE"""),"unknown")</f>
        <v>unknown</v>
      </c>
      <c r="T186" s="6" t="str">
        <f>IFERROR(__xludf.DUMMYFUNCTION("""COMPUTED_VALUE"""),"telegram_external")</f>
        <v>telegram_external</v>
      </c>
      <c r="U186" s="6" t="str">
        <f>IFERROR(__xludf.DUMMYFUNCTION("""COMPUTED_VALUE"""),"Контент с предложением курсов")</f>
        <v>Контент с предложением курсов</v>
      </c>
      <c r="V186" s="6" t="str">
        <f>IFERROR(__xludf.DUMMYFUNCTION("""COMPUTED_VALUE"""),"")</f>
        <v/>
      </c>
      <c r="W186" s="6" t="str">
        <f>IFERROR(__xludf.DUMMYFUNCTION("""COMPUTED_VALUE"""),"")</f>
        <v/>
      </c>
      <c r="X186" s="6"/>
      <c r="Y186" s="6" t="str">
        <f>IFERROR(__xludf.DUMMYFUNCTION("""COMPUTED_VALUE"""),"https://t.me/postypashki_old/1859
https://t.me/m/p94YcePXNjcy")</f>
        <v>https://t.me/postypashki_old/1859
https://t.me/m/p94YcePXNjcy</v>
      </c>
      <c r="Z186" s="6" t="b">
        <f>IFERROR(__xludf.DUMMYFUNCTION("""COMPUTED_VALUE"""),TRUE)</f>
        <v>1</v>
      </c>
      <c r="AA186" s="6" t="str">
        <f>IFERROR(__xludf.DUMMYFUNCTION("""COMPUTED_VALUE"""),"")</f>
        <v/>
      </c>
      <c r="AB186" s="6" t="str">
        <f>IFERROR(__xludf.DUMMYFUNCTION("""COMPUTED_VALUE"""),"")</f>
        <v/>
      </c>
      <c r="AC186" s="6" t="str">
        <f>IFERROR(__xludf.DUMMYFUNCTION("""COMPUTED_VALUE"""),"")</f>
        <v/>
      </c>
      <c r="AD186" s="6" t="str">
        <f>IFERROR(__xludf.DUMMYFUNCTION("""COMPUTED_VALUE"""),"")</f>
        <v/>
      </c>
      <c r="AE186" s="6" t="str">
        <f>IFERROR(__xludf.DUMMYFUNCTION("""COMPUTED_VALUE"""),"")</f>
        <v/>
      </c>
      <c r="AF186" s="6" t="str">
        <f>IFERROR(__xludf.DUMMYFUNCTION("""COMPUTED_VALUE"""),"Не подтверждено")</f>
        <v>Не подтверждено</v>
      </c>
      <c r="AG186" s="6" t="str">
        <f>IFERROR(__xludf.DUMMYFUNCTION("""COMPUTED_VALUE"""),"")</f>
        <v/>
      </c>
      <c r="AH186" s="6" t="str">
        <f>IFERROR(__xludf.DUMMYFUNCTION("""COMPUTED_VALUE"""),"2026-09-11T11:47:43.784081+00:00")</f>
        <v>2026-09-11T11:47:43.784081+00:00</v>
      </c>
      <c r="AI186" s="6" t="str">
        <f>IFERROR(__xludf.DUMMYFUNCTION("""COMPUTED_VALUE"""),"raw/algoses/page_000.html")</f>
        <v>raw/algoses/page_000.html</v>
      </c>
      <c r="AJ186" s="9" t="s">
        <v>167</v>
      </c>
      <c r="AK186" s="9" t="s">
        <v>242</v>
      </c>
      <c r="AM186" s="9" t="s">
        <v>219</v>
      </c>
      <c r="AN186" s="4" t="str">
        <f>IFERROR(__xludf.DUMMYFUNCTION("IF(OR(AJ186=""general_brand"",AJ186=""external"",AJ186=""unknown""),"""",IF(AJ186=""product_line"",IF(AK186=""START"",""Аналитика старт | Алгоритмы старт | Backend старт | ML старт"",IF(AK186=""PRO"",""AI-агенты про | Алгоритмы про | Аналитика про | ML пр"&amp;"о | Backend про"",IF(AK186=""START | PRO"",""Аналитика старт | Алгоритмы старт | Backend старт | ML старт | AI-агенты про | Алгоритмы про | Аналитика про | ML про | Backend про"",""""))),TEXTJOIN("" | "",TRUE,IF(REGEXMATCH(LOWER(AL186&amp;"" | ""&amp;E186),""анал"&amp;"итика старт""),""Аналитика старт"",""""),IF(REGEXMATCH(LOWER(AL186&amp;"" | ""&amp;E186),""алгоритмы старт""),""Алгоритмы старт"",""""),IF(REGEXMATCH(LOWER(AL186&amp;"" | ""&amp;E186),""backend старт""),""Backend старт"",""""),IF(REGEXMATCH(LOWER(AL186&amp;"" | ""&amp;E186),""ml"&amp;" старт""),""ML старт"",""""),IF(REGEXMATCH(LOWER(AL186&amp;"" | ""&amp;E186),""ai[ -]?агент""),""AI-агенты про"",""""),IF(REGEXMATCH(LOWER(AL186&amp;"" | ""&amp;E186),""алгоритмы про""),""Алгоритмы про"",""""),IF(REGEXMATCH(LOWER(AL186&amp;"" | ""&amp;E186),""аналитика про""),"""&amp;"Аналитика про"",""""),IF(REGEXMATCH(LOWER(AL186&amp;"" | ""&amp;E186),""ml про""),""ML про"",""""),IF(REGEXMATCH(LOWER(AL186&amp;"" | ""&amp;E186),""backend про""),""Backend про"",""""),IF(REGEXMATCH(LOWER(AL186&amp;"" | ""&amp;E186),""(а/в|ав|а в|ab)[ -]?тест""),""А/В-тесты"","&amp;"""""),IF(REGEXMATCH(LOWER(AL186&amp;"" | ""&amp;E186),""data science""),""Data science"",""""),IF(REGEXMATCH(LOWER(AL186&amp;"" | ""&amp;E186),""data[- ]?инжен""),""Data-инженер"",""""),IF(REGEXMATCH(LOWER(AL186&amp;"" | ""&amp;E186),""frontend""),""Frontend"",""""))))"),"AI-агенты про | Алгоритмы про | Аналитика про | ML про | Backend про")</f>
        <v>AI-агенты про | Алгоритмы про | Аналитика про | ML про | Backend про</v>
      </c>
    </row>
    <row r="187">
      <c r="A187" s="6" t="str">
        <f>IFERROR(__xludf.DUMMYFUNCTION("""COMPUTED_VALUE"""),"EXT-87")</f>
        <v>EXT-87</v>
      </c>
      <c r="B187" s="6" t="str">
        <f>IFERROR(__xludf.DUMMYFUNCTION("""COMPUTED_VALUE"""),"2026-09-02 21:35:14")</f>
        <v>2026-09-02 21:35:14</v>
      </c>
      <c r="C187" s="6" t="str">
        <f>IFERROR(__xludf.DUMMYFUNCTION("""COMPUTED_VALUE"""),"@codeof_art")</f>
        <v>@codeof_art</v>
      </c>
      <c r="D187" s="4" t="str">
        <f>IFERROR(__xludf.DUMMYFUNCTION("""COMPUTED_VALUE"""),"Контент с предложением курсов")</f>
        <v>Контент с предложением курсов</v>
      </c>
      <c r="E187" s="6" t="str">
        <f>IFERROR(__xludf.DUMMYFUNCTION("""COMPUTED_VALUE"""),"")</f>
        <v/>
      </c>
      <c r="F187" s="6" t="str">
        <f>IFERROR(__xludf.DUMMYFUNCTION("""COMPUTED_VALUE"""),"")</f>
        <v/>
      </c>
      <c r="G187" s="10" t="str">
        <f>IFERROR(__xludf.DUMMYFUNCTION("""COMPUTED_VALUE"""),"https://t.me/codeof_art/324")</f>
        <v>https://t.me/codeof_art/324</v>
      </c>
      <c r="H187" s="6" t="str">
        <f>IFERROR(__xludf.DUMMYFUNCTION("""COMPUTED_VALUE"""),"Открылся отбор на стажировку в Т-Банк 
Задачи уже выложены в нашем чате (тут). 
Специально для участников курсов про уже мы уже выложили разбор соответствующих экзаменов. В разборе мы покажем подход к решению задач и как оформить ответ, чтобы получить в"&amp;"ысокий балл.  
Также на курсах будет доступно:
🔽 Курс по выходу на доход в валюте
🔽 Разбор текущей стажировки Яндекса
🔽 Гарантия оффера
🔽 Огромный банк технических вопросов
🔽 Рефералка в бигтех после защиты пет-проекта
🔽 mock-собеседования с обратн"&amp;"ой связью
📌 Вопросы и запись — менеджеру")</f>
        <v>Открылся отбор на стажировку в Т-Банк 
Задачи уже выложены в нашем чате (тут). 
Специально для участников курсов про уже мы уже выложили разбор соответствующих экзаменов. В разборе мы покажем подход к решению задач и как оформить ответ, чтобы получить высокий балл.  
Также на курсах будет доступно:
🔽 Курс по выходу на доход в валюте
🔽 Разбор текущей стажировки Яндекса
🔽 Гарантия оффера
🔽 Огромный банк технических вопросов
🔽 Рефералка в бигтех после защиты пет-проекта
🔽 mock-собеседования с обратной связью
📌 Вопросы и запись — менеджеру</v>
      </c>
      <c r="I187" s="6" t="str">
        <f>IFERROR(__xludf.DUMMYFUNCTION("""COMPUTED_VALUE"""),"external")</f>
        <v>external</v>
      </c>
      <c r="J187" s="10" t="str">
        <f>IFERROR(__xludf.DUMMYFUNCTION("""COMPUTED_VALUE"""),"https://t.me/codeof_art/324")</f>
        <v>https://t.me/codeof_art/324</v>
      </c>
      <c r="K187" s="6">
        <f>IFERROR(__xludf.DUMMYFUNCTION("""COMPUTED_VALUE"""),387.0)</f>
        <v>387</v>
      </c>
      <c r="L187" s="6"/>
      <c r="M187" s="6"/>
      <c r="N187" s="6" t="str">
        <f>IFERROR(__xludf.DUMMYFUNCTION("""COMPUTED_VALUE"""),"Telegram")</f>
        <v>Telegram</v>
      </c>
      <c r="O187" s="6" t="str">
        <f>IFERROR(__xludf.DUMMYFUNCTION("""COMPUTED_VALUE"""),"raw")</f>
        <v>raw</v>
      </c>
      <c r="P187" s="6" t="str">
        <f>IFERROR(__xludf.DUMMYFUNCTION("""COMPUTED_VALUE"""),"Codex")</f>
        <v>Codex</v>
      </c>
      <c r="Q187" s="6" t="str">
        <f>IFERROR(__xludf.DUMMYFUNCTION("""COMPUTED_VALUE"""),"Общий контакт @vice22821; признак связи с проектом")</f>
        <v>Общий контакт @vice22821; признак связи с проектом</v>
      </c>
      <c r="R187" s="6" t="str">
        <f>IFERROR(__xludf.DUMMYFUNCTION("""COMPUTED_VALUE"""),"unknown")</f>
        <v>unknown</v>
      </c>
      <c r="S187" s="6" t="str">
        <f>IFERROR(__xludf.DUMMYFUNCTION("""COMPUTED_VALUE"""),"unknown")</f>
        <v>unknown</v>
      </c>
      <c r="T187" s="6" t="str">
        <f>IFERROR(__xludf.DUMMYFUNCTION("""COMPUTED_VALUE"""),"telegram_external")</f>
        <v>telegram_external</v>
      </c>
      <c r="U187" s="6" t="str">
        <f>IFERROR(__xludf.DUMMYFUNCTION("""COMPUTED_VALUE"""),"Контент с предложением курсов")</f>
        <v>Контент с предложением курсов</v>
      </c>
      <c r="V187" s="6" t="str">
        <f>IFERROR(__xludf.DUMMYFUNCTION("""COMPUTED_VALUE"""),"")</f>
        <v/>
      </c>
      <c r="W187" s="6" t="str">
        <f>IFERROR(__xludf.DUMMYFUNCTION("""COMPUTED_VALUE"""),"")</f>
        <v/>
      </c>
      <c r="X187" s="6" t="str">
        <f>IFERROR(__xludf.DUMMYFUNCTION("""COMPUTED_VALUE"""),"Forwarded from Поступашки - ШАД, Стажировки и Магистратура")</f>
        <v>Forwarded from Поступашки - ШАД, Стажировки и Магистратура</v>
      </c>
      <c r="Y187" s="6" t="str">
        <f>IFERROR(__xludf.DUMMYFUNCTION("""COMPUTED_VALUE"""),"https://t.me/postypashki_old/1875
https://t.me/postypashki_old/1859
https://t.me/m/p94YcePXNjcy")</f>
        <v>https://t.me/postypashki_old/1875
https://t.me/postypashki_old/1859
https://t.me/m/p94YcePXNjcy</v>
      </c>
      <c r="Z187" s="6" t="b">
        <f>IFERROR(__xludf.DUMMYFUNCTION("""COMPUTED_VALUE"""),TRUE)</f>
        <v>1</v>
      </c>
      <c r="AA187" s="6" t="str">
        <f>IFERROR(__xludf.DUMMYFUNCTION("""COMPUTED_VALUE"""),"")</f>
        <v/>
      </c>
      <c r="AB187" s="6" t="str">
        <f>IFERROR(__xludf.DUMMYFUNCTION("""COMPUTED_VALUE"""),"")</f>
        <v/>
      </c>
      <c r="AC187" s="6" t="str">
        <f>IFERROR(__xludf.DUMMYFUNCTION("""COMPUTED_VALUE"""),"")</f>
        <v/>
      </c>
      <c r="AD187" s="6" t="str">
        <f>IFERROR(__xludf.DUMMYFUNCTION("""COMPUTED_VALUE"""),"")</f>
        <v/>
      </c>
      <c r="AE187" s="6" t="str">
        <f>IFERROR(__xludf.DUMMYFUNCTION("""COMPUTED_VALUE"""),"")</f>
        <v/>
      </c>
      <c r="AF187" s="6" t="str">
        <f>IFERROR(__xludf.DUMMYFUNCTION("""COMPUTED_VALUE"""),"Не подтверждено")</f>
        <v>Не подтверждено</v>
      </c>
      <c r="AG187" s="6" t="str">
        <f>IFERROR(__xludf.DUMMYFUNCTION("""COMPUTED_VALUE"""),"")</f>
        <v/>
      </c>
      <c r="AH187" s="6" t="str">
        <f>IFERROR(__xludf.DUMMYFUNCTION("""COMPUTED_VALUE"""),"2026-09-11T11:47:36.835348+00:00")</f>
        <v>2026-09-11T11:47:36.835348+00:00</v>
      </c>
      <c r="AI187" s="6" t="str">
        <f>IFERROR(__xludf.DUMMYFUNCTION("""COMPUTED_VALUE"""),"raw/codeof_art/page_000.html")</f>
        <v>raw/codeof_art/page_000.html</v>
      </c>
      <c r="AJ187" s="9" t="s">
        <v>167</v>
      </c>
      <c r="AK187" s="9" t="s">
        <v>242</v>
      </c>
      <c r="AM187" s="9" t="s">
        <v>219</v>
      </c>
      <c r="AN187" s="4" t="str">
        <f>IFERROR(__xludf.DUMMYFUNCTION("IF(OR(AJ187=""general_brand"",AJ187=""external"",AJ187=""unknown""),"""",IF(AJ187=""product_line"",IF(AK187=""START"",""Аналитика старт | Алгоритмы старт | Backend старт | ML старт"",IF(AK187=""PRO"",""AI-агенты про | Алгоритмы про | Аналитика про | ML пр"&amp;"о | Backend про"",IF(AK187=""START | PRO"",""Аналитика старт | Алгоритмы старт | Backend старт | ML старт | AI-агенты про | Алгоритмы про | Аналитика про | ML про | Backend про"",""""))),TEXTJOIN("" | "",TRUE,IF(REGEXMATCH(LOWER(AL187&amp;"" | ""&amp;E187),""анал"&amp;"итика старт""),""Аналитика старт"",""""),IF(REGEXMATCH(LOWER(AL187&amp;"" | ""&amp;E187),""алгоритмы старт""),""Алгоритмы старт"",""""),IF(REGEXMATCH(LOWER(AL187&amp;"" | ""&amp;E187),""backend старт""),""Backend старт"",""""),IF(REGEXMATCH(LOWER(AL187&amp;"" | ""&amp;E187),""ml"&amp;" старт""),""ML старт"",""""),IF(REGEXMATCH(LOWER(AL187&amp;"" | ""&amp;E187),""ai[ -]?агент""),""AI-агенты про"",""""),IF(REGEXMATCH(LOWER(AL187&amp;"" | ""&amp;E187),""алгоритмы про""),""Алгоритмы про"",""""),IF(REGEXMATCH(LOWER(AL187&amp;"" | ""&amp;E187),""аналитика про""),"""&amp;"Аналитика про"",""""),IF(REGEXMATCH(LOWER(AL187&amp;"" | ""&amp;E187),""ml про""),""ML про"",""""),IF(REGEXMATCH(LOWER(AL187&amp;"" | ""&amp;E187),""backend про""),""Backend про"",""""),IF(REGEXMATCH(LOWER(AL187&amp;"" | ""&amp;E187),""(а/в|ав|а в|ab)[ -]?тест""),""А/В-тесты"","&amp;"""""),IF(REGEXMATCH(LOWER(AL187&amp;"" | ""&amp;E187),""data science""),""Data science"",""""),IF(REGEXMATCH(LOWER(AL187&amp;"" | ""&amp;E187),""data[- ]?инжен""),""Data-инженер"",""""),IF(REGEXMATCH(LOWER(AL187&amp;"" | ""&amp;E187),""frontend""),""Frontend"",""""))))"),"AI-агенты про | Алгоритмы про | Аналитика про | ML про | Backend про")</f>
        <v>AI-агенты про | Алгоритмы про | Аналитика про | ML про | Backend про</v>
      </c>
    </row>
    <row r="188">
      <c r="A188" s="6" t="str">
        <f>IFERROR(__xludf.DUMMYFUNCTION("""COMPUTED_VALUE"""),"EXT-88")</f>
        <v>EXT-88</v>
      </c>
      <c r="B188" s="6" t="str">
        <f>IFERROR(__xludf.DUMMYFUNCTION("""COMPUTED_VALUE"""),"2026-09-02 18:19:19")</f>
        <v>2026-09-02 18:19:19</v>
      </c>
      <c r="C188" s="6" t="str">
        <f>IFERROR(__xludf.DUMMYFUNCTION("""COMPUTED_VALUE"""),"@zadachi_ds")</f>
        <v>@zadachi_ds</v>
      </c>
      <c r="D188" s="4" t="str">
        <f>IFERROR(__xludf.DUMMYFUNCTION("""COMPUTED_VALUE"""),"Контент с предложением курсов")</f>
        <v>Контент с предложением курсов</v>
      </c>
      <c r="E188" s="6" t="str">
        <f>IFERROR(__xludf.DUMMYFUNCTION("""COMPUTED_VALUE"""),"")</f>
        <v/>
      </c>
      <c r="F188" s="6" t="str">
        <f>IFERROR(__xludf.DUMMYFUNCTION("""COMPUTED_VALUE"""),"")</f>
        <v/>
      </c>
      <c r="G188" s="10" t="str">
        <f>IFERROR(__xludf.DUMMYFUNCTION("""COMPUTED_VALUE"""),"https://t.me/zadachi_ds/417")</f>
        <v>https://t.me/zadachi_ds/417</v>
      </c>
      <c r="H188" s="6" t="str">
        <f>IFERROR(__xludf.DUMMYFUNCTION("""COMPUTED_VALUE"""),"Реальное МЛ собеседование на стажировку в Т-банк 
Наш студент сделал расшифровку записи собеса, делимся с вами! Кстати, решение экзамена уже выложено на нашем курсе мл про, ии агенты про и алгоритмы про. 
➡️ Записаться. 
1. «Расскажи, как устроено дерев"&amp;"о решений?»
Дерево решений – это модель, которая не использует градиентный спуск (как нейронки или логистическая регрессия). Вместо этого оно строит разбиения данных по принципу «жадного» перебора. На каждом шаге мы смотрим все признаки, все возможные по"&amp;"роги и выбираем то разбиение, которое даёт максимальный прирост чистоты (Information Gain).
А функции потерь у дерева в классическом понимании нет – это частая ловушка на собесах, когда интервьюер спрашивает: «А какая у дерева функция потерь?» Правильный"&amp;" ответ: «Её нет, мы максимизируем информационный выигрыш».
Критерии остановки: глубина, минимальное число объектов в листе или минимальное улучшение.
Сложность построения (если мы сортируем признаки): O(N·M·log N), где N – объектов, M – признаков. Это сп"&amp;"рашивали, так что запомните.
2. «Как работать с категориальными признаками?»
• One‑hot encoding – для каждого уникального значения создаём отдельный столбец (1/0). Подходит, если значений не слишком много (иначе раздуваем данные).
• Target encoding – за"&amp;"меняем категорию на среднее значение целевой переменной для этой категории. Это круто, потому что учитывает влияние на ответ. Именно его по умолчанию использует CatBoost.
• Frequency encoding – заменяем на частоту встречаемости.
Но есть нюанс: некоторые "&amp;"модели умеют работать с категориями напрямую, без всякого кодирования (например, тот же CatBoost или LightGBM с параметром categorical_feature). Так что либо кодируем, либо оставляем как есть, если модель поддерживает.
Если сомневаетесь – проверьте оба ва"&amp;"рианта на валидации и выберите лучший.
3. «Расскажи про случайный лес: обучение, свойства, важность признаков»
Этот вопрос тянет за собой несколько подвопросов.
Обучение леса:
• Мы строим много деревьев, каждое на бэггинге – берём случайную подвыборку д"&amp;"анных с повторением и случайное подмножество признаков. Это снижает дисперсию (переобучение), поэтому деревья в лесу можно делать глубокими – bias и так низкий, а дисперсия усредняется.
• Важность признаков в лесу считается двумя способами:
— по количеств"&amp;"у разбиений (сплитов) с участием этого признака,
— по суммарному уменьшению impurity (например, Gini) при сплитах по этому признаку, усреднённому по всем деревьям.
Также есть универсальные методы, которые работают с любой моделью: permutation importance "&amp;"(перемешиваем признак и смотрим, как падает качество), а также библиотеки SHAP и ELI5.
4. «А теперь бустинг – в чём его отличие от леса?»
Здесь нужно чётко разделить.
• Бустинг – это последовательное построение деревьев, где каждое следующее дерево учит"&amp;"ся на ошибках предыдущего. Он нацелен на снижение смещения (bias), поэтому деревья в бустинге берут неглубокими (обычно глубина 3–6) – иначе они слишком сложные и переобучаются.
• Ключевое отличие от леса: в лесу деревья независимы, их можно удалять без о"&amp;"собого ущерба (усреднение сглаживает). В бустинге же порядок критичен – самое важное первое дерево, если его убрать, вся композиция рухнет.
5. «Почему бессмысленно строить бустинг поверх линейных моделей?»
Потому что сумма линейных моделей – снова линей"&amp;"ная модель. Если мы последовательно добавляем линейные алгоритмы, общая функция остаётся линейной, и мы не получаем никакого выигрыша в сложности. Только если мы добавляем нелинейные преобразования – но тогда это уже не «чистый» бустинг. Поэтому в качеств"&amp;"е базовых алгоритмов для бустинга всегда берут нелинейные модели (деревья).
5. Метрики классификации
Тут был целый блок вопросов. Precision, Recall, F1, ROC‑AUC – стандартный набор.
• Почему F1 – это среднее гармоническое, а не арифметическое?
Потому чт"&amp;"о если одна из метрик (Precision или Recall) равна нулю, то среднее гармоническое даёт 0 – а это честно, модель никуда не годится. Среднее арифметическое дало бы 0.5, что вводило бы в заблуждение. А среднее геометрическое тоже даёт 0, но оно всегда выше г"&amp;"армонического, поэтому F1 – более пессимистичный и строгий показатель. Нам важна строгость.
ROC‑AUC – это вероятность того, что модель поставит случайный положительный объект выше случайного отрицательного. Простыми словами: качество ранжирования. Если з"&amp;"аказчик не в теме, я объясняю так: «Мы смотрим, насколько хорошо модель отделяет единицы от нулей при любом пороге».
Для многоклассовой классификации есть два вида усреднения:
• макро‑усреднение: сначала считаем метрику для каждого класса отдельно, потом"&amp;" берём среднее. Используем, если важен каждый класс (например, редкие болезни).
• микро‑усреднение: считаем общую метрику по всем объектам сразу. Используем, если важен общий результат (например, качество на всех клиентах). При дисбалансе классов эти пока"&amp;"затели могут сильно отличаться.
6. Практическая задачка
Интервьюер дал таблицу с предсказаниями, отсортированными по убыванию вероятности, и попросил посчитать ROC‑AUC. Я, честно говоря, поленился считать, но объяснил принцип: нужно для каждого порога по"&amp;"строить точки (FPR, TPR) и взять площадь под кривой. По отсортированным данным это легко делается через сумму рангов положительных объектов. Формулу я там не приводил, но суть понял.
7. Ошибка в коде
Показали кусок кода обучения модели и спросили: «Что з"&amp;"десь не так?»
А там забыли zero_grad() перед вызовом step() в PyTorch – градиенты накапливаются, и модель обучается криво. Это частая ошибка джунов. Проверяйте всегда!
Вот такие вопросы были. Как видите, ничего запредельного – но нужно чётко понимать теор"&amp;"ию и уметь объяснять на пальцах.
Еще больше вопрос в нашем открытом банке собесов и тестовых заданий: смотрите на сайте. 
Подписаться: @zadachi_ds")</f>
        <v>Реальное МЛ собеседование на стажировку в Т-банк 
Наш студент сделал расшифровку записи собеса, делимся с вами! Кстати, решение экзамена уже выложено на нашем курсе мл про, ии агенты про и алгоритмы про. 
➡️ Записаться. 
1. «Расскажи, как устроено дерево решений?»
Дерево решений – это модель, которая не использует градиентный спуск (как нейронки или логистическая регрессия). Вместо этого оно строит разбиения данных по принципу «жадного» перебора. На каждом шаге мы смотрим все признаки, все возможные пороги и выбираем то разбиение, которое даёт максимальный прирост чистоты (Information Gain).
А функции потерь у дерева в классическом понимании нет – это частая ловушка на собесах, когда интервьюер спрашивает: «А какая у дерева функция потерь?» Правильный ответ: «Её нет, мы максимизируем информационный выигрыш».
Критерии остановки: глубина, минимальное число объектов в листе или минимальное улучшение.
Сложность построения (если мы сортируем признаки): O(N·M·log N), где N – объектов, M – признаков. Это спрашивали, так что запомните.
2. «Как работать с категориальными признаками?»
• One‑hot encoding – для каждого уникального значения создаём отдельный столбец (1/0). Подходит, если значений не слишком много (иначе раздуваем данные).
• Target encoding – заменяем категорию на среднее значение целевой переменной для этой категории. Это круто, потому что учитывает влияние на ответ. Именно его по умолчанию использует CatBoost.
• Frequency encoding – заменяем на частоту встречаемости.
Но есть нюанс: некоторые модели умеют работать с категориями напрямую, без всякого кодирования (например, тот же CatBoost или LightGBM с параметром categorical_feature). Так что либо кодируем, либо оставляем как есть, если модель поддерживает.
Если сомневаетесь – проверьте оба варианта на валидации и выберите лучший.
3. «Расскажи про случайный лес: обучение, свойства, важность признаков»
Этот вопрос тянет за собой несколько подвопросов.
Обучение леса:
• Мы строим много деревьев, каждое на бэггинге – берём случайную подвыборку данных с повторением и случайное подмножество признаков. Это снижает дисперсию (переобучение), поэтому деревья в лесу можно делать глубокими – bias и так низкий, а дисперсия усредняется.
• Важность признаков в лесу считается двумя способами:
— по количеству разбиений (сплитов) с участием этого признака,
— по суммарному уменьшению impurity (например, Gini) при сплитах по этому признаку, усреднённому по всем деревьям.
Также есть универсальные методы, которые работают с любой моделью: permutation importance (перемешиваем признак и смотрим, как падает качество), а также библиотеки SHAP и ELI5.
4. «А теперь бустинг – в чём его отличие от леса?»
Здесь нужно чётко разделить.
• Бустинг – это последовательное построение деревьев, где каждое следующее дерево учится на ошибках предыдущего. Он нацелен на снижение смещения (bias), поэтому деревья в бустинге берут неглубокими (обычно глубина 3–6) – иначе они слишком сложные и переобучаются.
• Ключевое отличие от леса: в лесу деревья независимы, их можно удалять без особого ущерба (усреднение сглаживает). В бустинге же порядок критичен – самое важное первое дерево, если его убрать, вся композиция рухнет.
5. «Почему бессмысленно строить бустинг поверх линейных моделей?»
Потому что сумма линейных моделей – снова линейная модель. Если мы последовательно добавляем линейные алгоритмы, общая функция остаётся линейной, и мы не получаем никакого выигрыша в сложности. Только если мы добавляем нелинейные преобразования – но тогда это уже не «чистый» бустинг. Поэтому в качестве базовых алгоритмов для бустинга всегда берут нелинейные модели (деревья).
5. Метрики классификации
Тут был целый блок вопросов. Precision, Recall, F1, ROC‑AUC – стандартный набор.
• Почему F1 – это среднее гармоническое, а не арифметическое?
Потому что если одна из метрик (Precision или Recall) равна нулю, то среднее гармоническое даёт 0 – а это честно, модель никуда не годится. Среднее арифметическое дало бы 0.5, что вводило бы в заблуждение. А среднее геометрическое тоже даёт 0, но оно всегда выше гармонического, поэтому F1 – более пессимистичный и строгий показатель. Нам важна строгость.
ROC‑AUC – это вероятность того, что модель поставит случайный положительный объект выше случайного отрицательного. Простыми словами: качество ранжирования. Если заказчик не в теме, я объясняю так: «Мы смотрим, насколько хорошо модель отделяет единицы от нулей при любом пороге».
Для многоклассовой классификации есть два вида усреднения:
• макро‑усреднение: сначала считаем метрику для каждого класса отдельно, потом берём среднее. Используем, если важен каждый класс (например, редкие болезни).
• микро‑усреднение: считаем общую метрику по всем объектам сразу. Используем, если важен общий результат (например, качество на всех клиентах). При дисбалансе классов эти показатели могут сильно отличаться.
6. Практическая задачка
Интервьюер дал таблицу с предсказаниями, отсортированными по убыванию вероятности, и попросил посчитать ROC‑AUC. Я, честно говоря, поленился считать, но объяснил принцип: нужно для каждого порога построить точки (FPR, TPR) и взять площадь под кривой. По отсортированным данным это легко делается через сумму рангов положительных объектов. Формулу я там не приводил, но суть понял.
7. Ошибка в коде
Показали кусок кода обучения модели и спросили: «Что здесь не так?»
А там забыли zero_grad() перед вызовом step() в PyTorch – градиенты накапливаются, и модель обучается криво. Это частая ошибка джунов. Проверяйте всегда!
Вот такие вопросы были. Как видите, ничего запредельного – но нужно чётко понимать теорию и уметь объяснять на пальцах.
Еще больше вопрос в нашем открытом банке собесов и тестовых заданий: смотрите на сайте. 
Подписаться: @zadachi_ds</v>
      </c>
      <c r="I188" s="6" t="str">
        <f>IFERROR(__xludf.DUMMYFUNCTION("""COMPUTED_VALUE"""),"external")</f>
        <v>external</v>
      </c>
      <c r="J188" s="10" t="str">
        <f>IFERROR(__xludf.DUMMYFUNCTION("""COMPUTED_VALUE"""),"https://t.me/zadachi_ds/417")</f>
        <v>https://t.me/zadachi_ds/417</v>
      </c>
      <c r="K188" s="6">
        <f>IFERROR(__xludf.DUMMYFUNCTION("""COMPUTED_VALUE"""),3330.0)</f>
        <v>3330</v>
      </c>
      <c r="L188" s="6">
        <f>IFERROR(__xludf.DUMMYFUNCTION("""COMPUTED_VALUE"""),15.0)</f>
        <v>15</v>
      </c>
      <c r="M188" s="6"/>
      <c r="N188" s="6" t="str">
        <f>IFERROR(__xludf.DUMMYFUNCTION("""COMPUTED_VALUE"""),"Telegram")</f>
        <v>Telegram</v>
      </c>
      <c r="O188" s="6" t="str">
        <f>IFERROR(__xludf.DUMMYFUNCTION("""COMPUTED_VALUE"""),"raw")</f>
        <v>raw</v>
      </c>
      <c r="P188" s="6" t="str">
        <f>IFERROR(__xludf.DUMMYFUNCTION("""COMPUTED_VALUE"""),"Codex")</f>
        <v>Codex</v>
      </c>
      <c r="Q188" s="6" t="str">
        <f>IFERROR(__xludf.DUMMYFUNCTION("""COMPUTED_VALUE"""),"Общий контакт @vice22821; признак связи с проектом")</f>
        <v>Общий контакт @vice22821; признак связи с проектом</v>
      </c>
      <c r="R188" s="6" t="str">
        <f>IFERROR(__xludf.DUMMYFUNCTION("""COMPUTED_VALUE"""),"unknown")</f>
        <v>unknown</v>
      </c>
      <c r="S188" s="6" t="str">
        <f>IFERROR(__xludf.DUMMYFUNCTION("""COMPUTED_VALUE"""),"unknown")</f>
        <v>unknown</v>
      </c>
      <c r="T188" s="6" t="str">
        <f>IFERROR(__xludf.DUMMYFUNCTION("""COMPUTED_VALUE"""),"telegram_external")</f>
        <v>telegram_external</v>
      </c>
      <c r="U188" s="6" t="str">
        <f>IFERROR(__xludf.DUMMYFUNCTION("""COMPUTED_VALUE"""),"Контент с предложением курсов")</f>
        <v>Контент с предложением курсов</v>
      </c>
      <c r="V188" s="6" t="str">
        <f>IFERROR(__xludf.DUMMYFUNCTION("""COMPUTED_VALUE"""),"")</f>
        <v/>
      </c>
      <c r="W188" s="6" t="str">
        <f>IFERROR(__xludf.DUMMYFUNCTION("""COMPUTED_VALUE"""),"")</f>
        <v/>
      </c>
      <c r="X188" s="6"/>
      <c r="Y188" s="6" t="str">
        <f>IFERROR(__xludf.DUMMYFUNCTION("""COMPUTED_VALUE"""),"https://t.me/postypashki_old/1859
https://t.me/m/p94YcePXNjcy
https://old.postypashki.ru/%D0%BC%D0%B0%D1%88%D0%B8%D0%BD%D0%BD%D0%BE%D0%B5-%D0%BE%D0%B1%D1%83%D1%87%D0%B5%D0%BD%D0%B8%D0%B5/")</f>
        <v>https://t.me/postypashki_old/1859
https://t.me/m/p94YcePXNjcy
https://old.postypashki.ru/%D0%BC%D0%B0%D1%88%D0%B8%D0%BD%D0%BD%D0%BE%D0%B5-%D0%BE%D0%B1%D1%83%D1%87%D0%B5%D0%BD%D0%B8%D0%B5/</v>
      </c>
      <c r="Z188" s="6" t="b">
        <f>IFERROR(__xludf.DUMMYFUNCTION("""COMPUTED_VALUE"""),TRUE)</f>
        <v>1</v>
      </c>
      <c r="AA188" s="6" t="str">
        <f>IFERROR(__xludf.DUMMYFUNCTION("""COMPUTED_VALUE"""),"")</f>
        <v/>
      </c>
      <c r="AB188" s="6" t="str">
        <f>IFERROR(__xludf.DUMMYFUNCTION("""COMPUTED_VALUE"""),"")</f>
        <v/>
      </c>
      <c r="AC188" s="6" t="str">
        <f>IFERROR(__xludf.DUMMYFUNCTION("""COMPUTED_VALUE"""),"")</f>
        <v/>
      </c>
      <c r="AD188" s="6" t="str">
        <f>IFERROR(__xludf.DUMMYFUNCTION("""COMPUTED_VALUE"""),"")</f>
        <v/>
      </c>
      <c r="AE188" s="6" t="str">
        <f>IFERROR(__xludf.DUMMYFUNCTION("""COMPUTED_VALUE"""),"")</f>
        <v/>
      </c>
      <c r="AF188" s="6" t="str">
        <f>IFERROR(__xludf.DUMMYFUNCTION("""COMPUTED_VALUE"""),"Не подтверждено")</f>
        <v>Не подтверждено</v>
      </c>
      <c r="AG188" s="6" t="str">
        <f>IFERROR(__xludf.DUMMYFUNCTION("""COMPUTED_VALUE"""),"")</f>
        <v/>
      </c>
      <c r="AH188" s="6" t="str">
        <f>IFERROR(__xludf.DUMMYFUNCTION("""COMPUTED_VALUE"""),"2026-09-11T11:47:39.365425+00:00")</f>
        <v>2026-09-11T11:47:39.365425+00:00</v>
      </c>
      <c r="AI188" s="6" t="str">
        <f>IFERROR(__xludf.DUMMYFUNCTION("""COMPUTED_VALUE"""),"raw/zadachi_ds/page_000.html")</f>
        <v>raw/zadachi_ds/page_000.html</v>
      </c>
      <c r="AJ188" s="9" t="s">
        <v>223</v>
      </c>
      <c r="AK188" s="9" t="s">
        <v>242</v>
      </c>
      <c r="AL188" s="9" t="s">
        <v>260</v>
      </c>
      <c r="AM188" s="9" t="s">
        <v>226</v>
      </c>
      <c r="AN188" s="4" t="str">
        <f>IFERROR(__xludf.DUMMYFUNCTION("IF(OR(AJ188=""general_brand"",AJ188=""external"",AJ188=""unknown""),"""",IF(AJ188=""product_line"",IF(AK188=""START"",""Аналитика старт | Алгоритмы старт | Backend старт | ML старт"",IF(AK188=""PRO"",""AI-агенты про | Алгоритмы про | Аналитика про | ML пр"&amp;"о | Backend про"",IF(AK188=""START | PRO"",""Аналитика старт | Алгоритмы старт | Backend старт | ML старт | AI-агенты про | Алгоритмы про | Аналитика про | ML про | Backend про"",""""))),TEXTJOIN("" | "",TRUE,IF(REGEXMATCH(LOWER(AL188&amp;"" | ""&amp;E188),""анал"&amp;"итика старт""),""Аналитика старт"",""""),IF(REGEXMATCH(LOWER(AL188&amp;"" | ""&amp;E188),""алгоритмы старт""),""Алгоритмы старт"",""""),IF(REGEXMATCH(LOWER(AL188&amp;"" | ""&amp;E188),""backend старт""),""Backend старт"",""""),IF(REGEXMATCH(LOWER(AL188&amp;"" | ""&amp;E188),""ml"&amp;" старт""),""ML старт"",""""),IF(REGEXMATCH(LOWER(AL188&amp;"" | ""&amp;E188),""ai[ -]?агент""),""AI-агенты про"",""""),IF(REGEXMATCH(LOWER(AL188&amp;"" | ""&amp;E188),""алгоритмы про""),""Алгоритмы про"",""""),IF(REGEXMATCH(LOWER(AL188&amp;"" | ""&amp;E188),""аналитика про""),"""&amp;"Аналитика про"",""""),IF(REGEXMATCH(LOWER(AL188&amp;"" | ""&amp;E188),""ml про""),""ML про"",""""),IF(REGEXMATCH(LOWER(AL188&amp;"" | ""&amp;E188),""backend про""),""Backend про"",""""),IF(REGEXMATCH(LOWER(AL188&amp;"" | ""&amp;E188),""(а/в|ав|а в|ab)[ -]?тест""),""А/В-тесты"","&amp;"""""),IF(REGEXMATCH(LOWER(AL188&amp;"" | ""&amp;E188),""data science""),""Data science"",""""),IF(REGEXMATCH(LOWER(AL188&amp;"" | ""&amp;E188),""data[- ]?инжен""),""Data-инженер"",""""),IF(REGEXMATCH(LOWER(AL188&amp;"" | ""&amp;E188),""frontend""),""Frontend"",""""))))"),"AI-агенты про | Алгоритмы про | ML про")</f>
        <v>AI-агенты про | Алгоритмы про | ML про</v>
      </c>
    </row>
    <row r="189">
      <c r="A189" s="6" t="str">
        <f>IFERROR(__xludf.DUMMYFUNCTION("""COMPUTED_VALUE"""),"EXT-89")</f>
        <v>EXT-89</v>
      </c>
      <c r="B189" s="6" t="str">
        <f>IFERROR(__xludf.DUMMYFUNCTION("""COMPUTED_VALUE"""),"2026-09-03 12:18:01")</f>
        <v>2026-09-03 12:18:01</v>
      </c>
      <c r="C189" s="6" t="str">
        <f>IFERROR(__xludf.DUMMYFUNCTION("""COMPUTED_VALUE"""),"@ProdAnalysis")</f>
        <v>@ProdAnalysis</v>
      </c>
      <c r="D189" s="4" t="str">
        <f>IFERROR(__xludf.DUMMYFUNCTION("""COMPUTED_VALUE"""),"Контент с предложением курсов")</f>
        <v>Контент с предложением курсов</v>
      </c>
      <c r="E189" s="6" t="str">
        <f>IFERROR(__xludf.DUMMYFUNCTION("""COMPUTED_VALUE"""),"")</f>
        <v/>
      </c>
      <c r="F189" s="6" t="str">
        <f>IFERROR(__xludf.DUMMYFUNCTION("""COMPUTED_VALUE"""),"")</f>
        <v/>
      </c>
      <c r="G189" s="10" t="str">
        <f>IFERROR(__xludf.DUMMYFUNCTION("""COMPUTED_VALUE"""),"https://t.me/ProdAnalysis/161")</f>
        <v>https://t.me/ProdAnalysis/161</v>
      </c>
      <c r="H189" s="6" t="str">
        <f>IFERROR(__xludf.DUMMYFUNCTION("""COMPUTED_VALUE"""),"Стажировка в Т-банк одна из лучших возможностей для старта в аналитике: 
• специалисты высокого класса
• зарплаты в среднем выше рынка 
• современный стек и проекты 
• хорошо выстроены процессы 
• корпоративная культура
Для участия нужно подать анкету з"&amp;"аполнить анкету до 6 сентября и выполнить экзамен. Разбор математики и скл уже выложен на нашем курсе аналитика про. 
➡️ Записаться. 
Как заполнять анкеты смотрим этот ролик. Вашу анкету оценивают рекрутеры, команды. Если вы им понравитесь, вас пригласят"&amp;" на финальное собеседование. 
На собесе может быть все, что угодно на усмотрение интервьюера: могут быть даже математические задачи на логику в духе тюремных загадок. Но обычно просто стандартный собес по аналитике: бизнесс кейс, АВ-тесты, метрики, мб ск"&amp;"л лайвкодинаг. Примеры собесов в Т-банк можно посмотреть в нашем канале @postypashki_old, @chad_protocol по поиску ключевых слов ""Полный цикл собесов аналитика"" или в открытом банке собесов по аналитике. Технические вопросы сильно зависят от команды. Ин"&amp;"огда собеседование может пройти в формате ""вайбчека"" без технических вопросов, но это скорее исключение. Короче все, что есть в нашей программе курсов аналитика старт, аналитика про, АВ-тесты. 
Обычно финальный собес один на полтора часа. Если прям оче"&amp;"нь хорошо о себя завили в анкете и хорошо показали на собесе - команда может дать хороший отзыв и тогда вам могут предложить еще одно собеседование, но такое бывает редко. Дополнительный финальный собес можно получить, если податься на донабор, который пр"&amp;"оходит обычно спустя месяц основного набора.
При идеальном мэтче, вы в Т-банке - поздравляю! 
Подписаться: @ProdAnalysis")</f>
        <v>Стажировка в Т-банк одна из лучших возможностей для старта в аналитике: 
• специалисты высокого класса
• зарплаты в среднем выше рынка 
• современный стек и проекты 
• хорошо выстроены процессы 
• корпоративная культура
Для участия нужно подать анкету заполнить анкету до 6 сентября и выполнить экзамен. Разбор математики и скл уже выложен на нашем курсе аналитика про. 
➡️ Записаться. 
Как заполнять анкеты смотрим этот ролик. Вашу анкету оценивают рекрутеры, команды. Если вы им понравитесь, вас пригласят на финальное собеседование. 
На собесе может быть все, что угодно на усмотрение интервьюера: могут быть даже математические задачи на логику в духе тюремных загадок. Но обычно просто стандартный собес по аналитике: бизнесс кейс, АВ-тесты, метрики, мб скл лайвкодинаг. Примеры собесов в Т-банк можно посмотреть в нашем канале @postypashki_old, @chad_protocol по поиску ключевых слов "Полный цикл собесов аналитика" или в открытом банке собесов по аналитике. Технические вопросы сильно зависят от команды. Иногда собеседование может пройти в формате "вайбчека" без технических вопросов, но это скорее исключение. Короче все, что есть в нашей программе курсов аналитика старт, аналитика про, АВ-тесты. 
Обычно финальный собес один на полтора часа. Если прям очень хорошо о себя завили в анкете и хорошо показали на собесе - команда может дать хороший отзыв и тогда вам могут предложить еще одно собеседование, но такое бывает редко. Дополнительный финальный собес можно получить, если податься на донабор, который проходит обычно спустя месяц основного набора.
При идеальном мэтче, вы в Т-банке - поздравляю! 
Подписаться: @ProdAnalysis</v>
      </c>
      <c r="I189" s="6" t="str">
        <f>IFERROR(__xludf.DUMMYFUNCTION("""COMPUTED_VALUE"""),"external")</f>
        <v>external</v>
      </c>
      <c r="J189" s="10" t="str">
        <f>IFERROR(__xludf.DUMMYFUNCTION("""COMPUTED_VALUE"""),"https://t.me/ProdAnalysis/161")</f>
        <v>https://t.me/ProdAnalysis/161</v>
      </c>
      <c r="K189" s="6">
        <f>IFERROR(__xludf.DUMMYFUNCTION("""COMPUTED_VALUE"""),989.0)</f>
        <v>989</v>
      </c>
      <c r="L189" s="6">
        <f>IFERROR(__xludf.DUMMYFUNCTION("""COMPUTED_VALUE"""),4.0)</f>
        <v>4</v>
      </c>
      <c r="M189" s="6"/>
      <c r="N189" s="6" t="str">
        <f>IFERROR(__xludf.DUMMYFUNCTION("""COMPUTED_VALUE"""),"Telegram")</f>
        <v>Telegram</v>
      </c>
      <c r="O189" s="6" t="str">
        <f>IFERROR(__xludf.DUMMYFUNCTION("""COMPUTED_VALUE"""),"raw")</f>
        <v>raw</v>
      </c>
      <c r="P189" s="6" t="str">
        <f>IFERROR(__xludf.DUMMYFUNCTION("""COMPUTED_VALUE"""),"Codex")</f>
        <v>Codex</v>
      </c>
      <c r="Q189" s="6" t="str">
        <f>IFERROR(__xludf.DUMMYFUNCTION("""COMPUTED_VALUE"""),"Общий контакт @vice22821; признак связи с проектом")</f>
        <v>Общий контакт @vice22821; признак связи с проектом</v>
      </c>
      <c r="R189" s="6" t="str">
        <f>IFERROR(__xludf.DUMMYFUNCTION("""COMPUTED_VALUE"""),"unknown")</f>
        <v>unknown</v>
      </c>
      <c r="S189" s="6" t="str">
        <f>IFERROR(__xludf.DUMMYFUNCTION("""COMPUTED_VALUE"""),"unknown")</f>
        <v>unknown</v>
      </c>
      <c r="T189" s="6" t="str">
        <f>IFERROR(__xludf.DUMMYFUNCTION("""COMPUTED_VALUE"""),"telegram_external")</f>
        <v>telegram_external</v>
      </c>
      <c r="U189" s="6" t="str">
        <f>IFERROR(__xludf.DUMMYFUNCTION("""COMPUTED_VALUE"""),"Контент с предложением курсов")</f>
        <v>Контент с предложением курсов</v>
      </c>
      <c r="V189" s="6" t="str">
        <f>IFERROR(__xludf.DUMMYFUNCTION("""COMPUTED_VALUE"""),"")</f>
        <v/>
      </c>
      <c r="W189" s="6" t="str">
        <f>IFERROR(__xludf.DUMMYFUNCTION("""COMPUTED_VALUE"""),"")</f>
        <v/>
      </c>
      <c r="X189" s="6"/>
      <c r="Y189" s="6" t="str">
        <f>IFERROR(__xludf.DUMMYFUNCTION("""COMPUTED_VALUE"""),"https://t.me/postypashki_old/1859
https://t.me/m/p94YcePXNjcy
https://t.me/postypashki_old
https://old.postypashki.ru/%D0%BA%D0%B0%D1%80%D1%8C%D0%B5%D1%80%D0%BD%D1%8B%D0%B5-%D0%BA%D1%83%D1%80%D1%81%D1%8B/")</f>
        <v>https://t.me/postypashki_old/1859
https://t.me/m/p94YcePXNjcy
https://t.me/postypashki_old
https://old.postypashki.ru/%D0%BA%D0%B0%D1%80%D1%8C%D0%B5%D1%80%D0%BD%D1%8B%D0%B5-%D0%BA%D1%83%D1%80%D1%81%D1%8B/</v>
      </c>
      <c r="Z189" s="6" t="b">
        <f>IFERROR(__xludf.DUMMYFUNCTION("""COMPUTED_VALUE"""),TRUE)</f>
        <v>1</v>
      </c>
      <c r="AA189" s="6" t="str">
        <f>IFERROR(__xludf.DUMMYFUNCTION("""COMPUTED_VALUE"""),"")</f>
        <v/>
      </c>
      <c r="AB189" s="6" t="str">
        <f>IFERROR(__xludf.DUMMYFUNCTION("""COMPUTED_VALUE"""),"")</f>
        <v/>
      </c>
      <c r="AC189" s="6" t="str">
        <f>IFERROR(__xludf.DUMMYFUNCTION("""COMPUTED_VALUE"""),"")</f>
        <v/>
      </c>
      <c r="AD189" s="6" t="str">
        <f>IFERROR(__xludf.DUMMYFUNCTION("""COMPUTED_VALUE"""),"")</f>
        <v/>
      </c>
      <c r="AE189" s="6" t="str">
        <f>IFERROR(__xludf.DUMMYFUNCTION("""COMPUTED_VALUE"""),"")</f>
        <v/>
      </c>
      <c r="AF189" s="6" t="str">
        <f>IFERROR(__xludf.DUMMYFUNCTION("""COMPUTED_VALUE"""),"Не подтверждено")</f>
        <v>Не подтверждено</v>
      </c>
      <c r="AG189" s="6" t="str">
        <f>IFERROR(__xludf.DUMMYFUNCTION("""COMPUTED_VALUE"""),"")</f>
        <v/>
      </c>
      <c r="AH189" s="6" t="str">
        <f>IFERROR(__xludf.DUMMYFUNCTION("""COMPUTED_VALUE"""),"2026-09-11T11:47:34.275826+00:00")</f>
        <v>2026-09-11T11:47:34.275826+00:00</v>
      </c>
      <c r="AI189" s="6" t="str">
        <f>IFERROR(__xludf.DUMMYFUNCTION("""COMPUTED_VALUE"""),"raw/ProdAnalysis/page_000.html")</f>
        <v>raw/ProdAnalysis/page_000.html</v>
      </c>
      <c r="AJ189" s="9" t="s">
        <v>223</v>
      </c>
      <c r="AK189" s="9" t="s">
        <v>240</v>
      </c>
      <c r="AL189" s="9" t="s">
        <v>261</v>
      </c>
      <c r="AM189" s="9" t="s">
        <v>228</v>
      </c>
      <c r="AN189" s="4" t="str">
        <f>IFERROR(__xludf.DUMMYFUNCTION("IF(OR(AJ189=""general_brand"",AJ189=""external"",AJ189=""unknown""),"""",IF(AJ189=""product_line"",IF(AK189=""START"",""Аналитика старт | Алгоритмы старт | Backend старт | ML старт"",IF(AK189=""PRO"",""AI-агенты про | Алгоритмы про | Аналитика про | ML пр"&amp;"о | Backend про"",IF(AK189=""START | PRO"",""Аналитика старт | Алгоритмы старт | Backend старт | ML старт | AI-агенты про | Алгоритмы про | Аналитика про | ML про | Backend про"",""""))),TEXTJOIN("" | "",TRUE,IF(REGEXMATCH(LOWER(AL189&amp;"" | ""&amp;E189),""анал"&amp;"итика старт""),""Аналитика старт"",""""),IF(REGEXMATCH(LOWER(AL189&amp;"" | ""&amp;E189),""алгоритмы старт""),""Алгоритмы старт"",""""),IF(REGEXMATCH(LOWER(AL189&amp;"" | ""&amp;E189),""backend старт""),""Backend старт"",""""),IF(REGEXMATCH(LOWER(AL189&amp;"" | ""&amp;E189),""ml"&amp;" старт""),""ML старт"",""""),IF(REGEXMATCH(LOWER(AL189&amp;"" | ""&amp;E189),""ai[ -]?агент""),""AI-агенты про"",""""),IF(REGEXMATCH(LOWER(AL189&amp;"" | ""&amp;E189),""алгоритмы про""),""Алгоритмы про"",""""),IF(REGEXMATCH(LOWER(AL189&amp;"" | ""&amp;E189),""аналитика про""),"""&amp;"Аналитика про"",""""),IF(REGEXMATCH(LOWER(AL189&amp;"" | ""&amp;E189),""ml про""),""ML про"",""""),IF(REGEXMATCH(LOWER(AL189&amp;"" | ""&amp;E189),""backend про""),""Backend про"",""""),IF(REGEXMATCH(LOWER(AL189&amp;"" | ""&amp;E189),""(а/в|ав|а в|ab)[ -]?тест""),""А/В-тесты"","&amp;"""""),IF(REGEXMATCH(LOWER(AL189&amp;"" | ""&amp;E189),""data science""),""Data science"",""""),IF(REGEXMATCH(LOWER(AL189&amp;"" | ""&amp;E189),""data[- ]?инжен""),""Data-инженер"",""""),IF(REGEXMATCH(LOWER(AL189&amp;"" | ""&amp;E189),""frontend""),""Frontend"",""""))))"),"Аналитика старт | Аналитика про | А/В-тесты")</f>
        <v>Аналитика старт | Аналитика про | А/В-тесты</v>
      </c>
    </row>
    <row r="190">
      <c r="A190" s="6" t="str">
        <f>IFERROR(__xludf.DUMMYFUNCTION("""COMPUTED_VALUE"""),"EXT-90")</f>
        <v>EXT-90</v>
      </c>
      <c r="B190" s="6" t="str">
        <f>IFERROR(__xludf.DUMMYFUNCTION("""COMPUTED_VALUE"""),"2026-09-03 13:21:01")</f>
        <v>2026-09-03 13:21:01</v>
      </c>
      <c r="C190" s="6" t="str">
        <f>IFERROR(__xludf.DUMMYFUNCTION("""COMPUTED_VALUE"""),"@codeof_art")</f>
        <v>@codeof_art</v>
      </c>
      <c r="D190" s="4" t="str">
        <f>IFERROR(__xludf.DUMMYFUNCTION("""COMPUTED_VALUE"""),"Контент с предложением курсов")</f>
        <v>Контент с предложением курсов</v>
      </c>
      <c r="E190" s="6" t="str">
        <f>IFERROR(__xludf.DUMMYFUNCTION("""COMPUTED_VALUE"""),"")</f>
        <v/>
      </c>
      <c r="F190" s="6" t="str">
        <f>IFERROR(__xludf.DUMMYFUNCTION("""COMPUTED_VALUE"""),"")</f>
        <v/>
      </c>
      <c r="G190" s="10" t="str">
        <f>IFERROR(__xludf.DUMMYFUNCTION("""COMPUTED_VALUE"""),"https://t.me/codeof_art/325")</f>
        <v>https://t.me/codeof_art/325</v>
      </c>
      <c r="H190" s="6" t="str">
        <f>IFERROR(__xludf.DUMMYFUNCTION("""COMPUTED_VALUE"""),"Реальное собеседование на стажировку Go‑разработчика в Т‑Банк
Наш студент сделал расшифровку записи собеса, делимся с вами! Кстати, решение экзамена уже выложено на нашем курсе бэкенд про, ии агенты про и алгоритмы про. 
➡️ Записаться. 
1. «Расскажи, чт"&amp;"о такое Firewall?»
Собеседование было в команду, которая разрабатывает host‑based firewall на eBPF с Control Plane в Kubernetes. Интервьюер рассказал про свою команду и задал этот уточняющий вопрос + спросил понял ли я, чем занимается команда.
• Firewall"&amp;" – система, управляющая сетевыми доступами: пропускает или блокирует трафик на основе правил (IP, порты, протоколы). 
• Команда пишет распределённый firewall, который работает на десятках тысяч хостов в банке, управляется централизованно через Kubernetes."&amp;" Стек: Go, eBPF, gRPC, Linux.
2. «Какой у тебя опыт с Linux и сетями?»
Я сам особо не занимался бэкендом и го, знаю основы: модель OSI, TCP vs UDP (TCP надёжный с подтверждением, UDP быстрый без гарантий), маски подсетей, маршрутизацию. Линуксом владею н"&amp;"а уровне пользователя, но готов быстро адаптироваться. 
3. «Чем процесс отличается от потока? Зачем вообще нужны потоки?»
• Процесс – изолированный экземпляр программы со своей памятью, файловыми дескрипторами.
• Поток – легковесная единица внутри процес"&amp;"са, потоки разделяют память процесса. Потоки нужны для параллельного выполнения задач внутри одного процесса и эффективного обмена данными.
4. «Чем горутина отличается от треда в Go?»
• Горутина – легковесный поток, управляемый рантаймом Go, а не ОС. Она"&amp;" занимает меньше памяти (несколько КБ), переключение между горутинами дешевле. Планировщик Go мультиплексирует горутины на системные треды (модель M:N).
• В отличие от тредов, горутины не привязаны жёстко к одному системному треду.
5. «Что такое gRPC? На"&amp;" каких протоколах работает? В чём отличие HTTP/2 от HTTP/1.1?»
• gRPC – фреймворк для удалённого вызова процедур от Google. Использует HTTP/2 в качестве транспорта и Protobuf для сериализации. 
• HTTP/2 поддерживает мультиплексирование запросов, сжатие за"&amp;"головков, работу в дуплексном режиме. 
• По сравнению с HTTP/1.1, это даёт меньшую задержку и более эффективное использование соединений.
6. Задача на ревью кода
Дан HTTP‑хендлер, который проксирует запросы во внешнее API и кеширует ответы, чтобы реже хо"&amp;"дить в платное API. Найденные проблемы:
• Кеш не заполнялся – после успешного запроса результат не сохранялся. ➜ Добавлена запись в map.
• Проверка наличия ключа – использовалась if val != """", что ломается при пустом ответе. ➜ Использован второй параме"&amp;"тр ok при чтении из map.
• Метод POST – хендлер принимает только POST, хотя логичнее GET (но это контракт, оставлено).
• Race condition – конкурентные запросы к map без синхронизации. ➜ Добавлен sync.Mutex с Lock/Unlock при каждом обращении.
• Утечка памя"&amp;"ти – кеш бесконечно растёт, нет ограничений по размеру или TTL. ➜ Нужно добавить политику вытеснения (LRU) или время жизни записей.
7. «Как бы ты добавил тесты?»
Я предложил тест, который проверяет, что повторный запрос не идёт в API (счётчик вызовов), и"&amp;" что при параллельных запросах нет гонок – с помощью флага -race.
8. «После деплоя сервис падает через несколько дней без паники. Что делать?»
Причина – кеш разрастается до заполнения памяти. Решения:
• добавить ограничение на размер кеша,
• внедрить TTL"&amp;" для записей,
• настроить мониторинг памяти и алерты.
Еще больше вопрос в нашем открытом банке собесов и тестовых заданий: смотрите на сайте. 
Подписаться: @codeof_art")</f>
        <v>Реальное собеседование на стажировку Go‑разработчика в Т‑Банк
Наш студент сделал расшифровку записи собеса, делимся с вами! Кстати, решение экзамена уже выложено на нашем курсе бэкенд про, ии агенты про и алгоритмы про. 
➡️ Записаться. 
1. «Расскажи, что такое Firewall?»
Собеседование было в команду, которая разрабатывает host‑based firewall на eBPF с Control Plane в Kubernetes. Интервьюер рассказал про свою команду и задал этот уточняющий вопрос + спросил понял ли я, чем занимается команда.
• Firewall – система, управляющая сетевыми доступами: пропускает или блокирует трафик на основе правил (IP, порты, протоколы). 
• Команда пишет распределённый firewall, который работает на десятках тысяч хостов в банке, управляется централизованно через Kubernetes. Стек: Go, eBPF, gRPC, Linux.
2. «Какой у тебя опыт с Linux и сетями?»
Я сам особо не занимался бэкендом и го, знаю основы: модель OSI, TCP vs UDP (TCP надёжный с подтверждением, UDP быстрый без гарантий), маски подсетей, маршрутизацию. Линуксом владею на уровне пользователя, но готов быстро адаптироваться. 
3. «Чем процесс отличается от потока? Зачем вообще нужны потоки?»
• Процесс – изолированный экземпляр программы со своей памятью, файловыми дескрипторами.
• Поток – легковесная единица внутри процесса, потоки разделяют память процесса. Потоки нужны для параллельного выполнения задач внутри одного процесса и эффективного обмена данными.
4. «Чем горутина отличается от треда в Go?»
• Горутина – легковесный поток, управляемый рантаймом Go, а не ОС. Она занимает меньше памяти (несколько КБ), переключение между горутинами дешевле. Планировщик Go мультиплексирует горутины на системные треды (модель M:N).
• В отличие от тредов, горутины не привязаны жёстко к одному системному треду.
5. «Что такое gRPC? На каких протоколах работает? В чём отличие HTTP/2 от HTTP/1.1?»
• gRPC – фреймворк для удалённого вызова процедур от Google. Использует HTTP/2 в качестве транспорта и Protobuf для сериализации. 
• HTTP/2 поддерживает мультиплексирование запросов, сжатие заголовков, работу в дуплексном режиме. 
• По сравнению с HTTP/1.1, это даёт меньшую задержку и более эффективное использование соединений.
6. Задача на ревью кода
Дан HTTP‑хендлер, который проксирует запросы во внешнее API и кеширует ответы, чтобы реже ходить в платное API. Найденные проблемы:
• Кеш не заполнялся – после успешного запроса результат не сохранялся. ➜ Добавлена запись в map.
• Проверка наличия ключа – использовалась if val != "", что ломается при пустом ответе. ➜ Использован второй параметр ok при чтении из map.
• Метод POST – хендлер принимает только POST, хотя логичнее GET (но это контракт, оставлено).
• Race condition – конкурентные запросы к map без синхронизации. ➜ Добавлен sync.Mutex с Lock/Unlock при каждом обращении.
• Утечка памяти – кеш бесконечно растёт, нет ограничений по размеру или TTL. ➜ Нужно добавить политику вытеснения (LRU) или время жизни записей.
7. «Как бы ты добавил тесты?»
Я предложил тест, который проверяет, что повторный запрос не идёт в API (счётчик вызовов), и что при параллельных запросах нет гонок – с помощью флага -race.
8. «После деплоя сервис падает через несколько дней без паники. Что делать?»
Причина – кеш разрастается до заполнения памяти. Решения:
• добавить ограничение на размер кеша,
• внедрить TTL для записей,
• настроить мониторинг памяти и алерты.
Еще больше вопрос в нашем открытом банке собесов и тестовых заданий: смотрите на сайте. 
Подписаться: @codeof_art</v>
      </c>
      <c r="I190" s="6" t="str">
        <f>IFERROR(__xludf.DUMMYFUNCTION("""COMPUTED_VALUE"""),"external")</f>
        <v>external</v>
      </c>
      <c r="J190" s="10" t="str">
        <f>IFERROR(__xludf.DUMMYFUNCTION("""COMPUTED_VALUE"""),"https://t.me/codeof_art/325")</f>
        <v>https://t.me/codeof_art/325</v>
      </c>
      <c r="K190" s="6">
        <f>IFERROR(__xludf.DUMMYFUNCTION("""COMPUTED_VALUE"""),1600.0)</f>
        <v>1600</v>
      </c>
      <c r="L190" s="6">
        <f>IFERROR(__xludf.DUMMYFUNCTION("""COMPUTED_VALUE"""),3.0)</f>
        <v>3</v>
      </c>
      <c r="M190" s="6"/>
      <c r="N190" s="6" t="str">
        <f>IFERROR(__xludf.DUMMYFUNCTION("""COMPUTED_VALUE"""),"Telegram")</f>
        <v>Telegram</v>
      </c>
      <c r="O190" s="6" t="str">
        <f>IFERROR(__xludf.DUMMYFUNCTION("""COMPUTED_VALUE"""),"raw")</f>
        <v>raw</v>
      </c>
      <c r="P190" s="6" t="str">
        <f>IFERROR(__xludf.DUMMYFUNCTION("""COMPUTED_VALUE"""),"Codex")</f>
        <v>Codex</v>
      </c>
      <c r="Q190" s="6" t="str">
        <f>IFERROR(__xludf.DUMMYFUNCTION("""COMPUTED_VALUE"""),"Общий контакт @vice22821; признак связи с проектом")</f>
        <v>Общий контакт @vice22821; признак связи с проектом</v>
      </c>
      <c r="R190" s="6" t="str">
        <f>IFERROR(__xludf.DUMMYFUNCTION("""COMPUTED_VALUE"""),"unknown")</f>
        <v>unknown</v>
      </c>
      <c r="S190" s="6" t="str">
        <f>IFERROR(__xludf.DUMMYFUNCTION("""COMPUTED_VALUE"""),"unknown")</f>
        <v>unknown</v>
      </c>
      <c r="T190" s="6" t="str">
        <f>IFERROR(__xludf.DUMMYFUNCTION("""COMPUTED_VALUE"""),"telegram_external")</f>
        <v>telegram_external</v>
      </c>
      <c r="U190" s="6" t="str">
        <f>IFERROR(__xludf.DUMMYFUNCTION("""COMPUTED_VALUE"""),"Контент с предложением курсов")</f>
        <v>Контент с предложением курсов</v>
      </c>
      <c r="V190" s="6" t="str">
        <f>IFERROR(__xludf.DUMMYFUNCTION("""COMPUTED_VALUE"""),"")</f>
        <v/>
      </c>
      <c r="W190" s="6" t="str">
        <f>IFERROR(__xludf.DUMMYFUNCTION("""COMPUTED_VALUE"""),"")</f>
        <v/>
      </c>
      <c r="X190" s="6"/>
      <c r="Y190" s="6" t="str">
        <f>IFERROR(__xludf.DUMMYFUNCTION("""COMPUTED_VALUE"""),"https://t.me/postypashki_old/1859
https://t.me/m/p94YcePXNjcy
https://old.postypashki.ru/%D1%81%D0%BE%D0%B1%D0%B5%D1%81%D0%B5%D0%B4%D0%BE%D0%B2%D0%B0%D0%BD%D0%B8%D1%8F/")</f>
        <v>https://t.me/postypashki_old/1859
https://t.me/m/p94YcePXNjcy
https://old.postypashki.ru/%D1%81%D0%BE%D0%B1%D0%B5%D1%81%D0%B5%D0%B4%D0%BE%D0%B2%D0%B0%D0%BD%D0%B8%D1%8F/</v>
      </c>
      <c r="Z190" s="6" t="b">
        <f>IFERROR(__xludf.DUMMYFUNCTION("""COMPUTED_VALUE"""),TRUE)</f>
        <v>1</v>
      </c>
      <c r="AA190" s="6" t="str">
        <f>IFERROR(__xludf.DUMMYFUNCTION("""COMPUTED_VALUE"""),"")</f>
        <v/>
      </c>
      <c r="AB190" s="6" t="str">
        <f>IFERROR(__xludf.DUMMYFUNCTION("""COMPUTED_VALUE"""),"")</f>
        <v/>
      </c>
      <c r="AC190" s="6" t="str">
        <f>IFERROR(__xludf.DUMMYFUNCTION("""COMPUTED_VALUE"""),"")</f>
        <v/>
      </c>
      <c r="AD190" s="6" t="str">
        <f>IFERROR(__xludf.DUMMYFUNCTION("""COMPUTED_VALUE"""),"")</f>
        <v/>
      </c>
      <c r="AE190" s="6" t="str">
        <f>IFERROR(__xludf.DUMMYFUNCTION("""COMPUTED_VALUE"""),"")</f>
        <v/>
      </c>
      <c r="AF190" s="6" t="str">
        <f>IFERROR(__xludf.DUMMYFUNCTION("""COMPUTED_VALUE"""),"Не подтверждено")</f>
        <v>Не подтверждено</v>
      </c>
      <c r="AG190" s="6" t="str">
        <f>IFERROR(__xludf.DUMMYFUNCTION("""COMPUTED_VALUE"""),"")</f>
        <v/>
      </c>
      <c r="AH190" s="6" t="str">
        <f>IFERROR(__xludf.DUMMYFUNCTION("""COMPUTED_VALUE"""),"2026-09-11T11:47:36.835348+00:00")</f>
        <v>2026-09-11T11:47:36.835348+00:00</v>
      </c>
      <c r="AI190" s="6" t="str">
        <f>IFERROR(__xludf.DUMMYFUNCTION("""COMPUTED_VALUE"""),"raw/codeof_art/page_000.html")</f>
        <v>raw/codeof_art/page_000.html</v>
      </c>
      <c r="AJ190" s="9" t="s">
        <v>223</v>
      </c>
      <c r="AK190" s="9" t="s">
        <v>242</v>
      </c>
      <c r="AL190" s="9" t="s">
        <v>262</v>
      </c>
      <c r="AM190" s="9" t="s">
        <v>231</v>
      </c>
      <c r="AN190" s="4" t="str">
        <f>IFERROR(__xludf.DUMMYFUNCTION("IF(OR(AJ190=""general_brand"",AJ190=""external"",AJ190=""unknown""),"""",IF(AJ190=""product_line"",IF(AK190=""START"",""Аналитика старт | Алгоритмы старт | Backend старт | ML старт"",IF(AK190=""PRO"",""AI-агенты про | Алгоритмы про | Аналитика про | ML пр"&amp;"о | Backend про"",IF(AK190=""START | PRO"",""Аналитика старт | Алгоритмы старт | Backend старт | ML старт | AI-агенты про | Алгоритмы про | Аналитика про | ML про | Backend про"",""""))),TEXTJOIN("" | "",TRUE,IF(REGEXMATCH(LOWER(AL190&amp;"" | ""&amp;E190),""анал"&amp;"итика старт""),""Аналитика старт"",""""),IF(REGEXMATCH(LOWER(AL190&amp;"" | ""&amp;E190),""алгоритмы старт""),""Алгоритмы старт"",""""),IF(REGEXMATCH(LOWER(AL190&amp;"" | ""&amp;E190),""backend старт""),""Backend старт"",""""),IF(REGEXMATCH(LOWER(AL190&amp;"" | ""&amp;E190),""ml"&amp;" старт""),""ML старт"",""""),IF(REGEXMATCH(LOWER(AL190&amp;"" | ""&amp;E190),""ai[ -]?агент""),""AI-агенты про"",""""),IF(REGEXMATCH(LOWER(AL190&amp;"" | ""&amp;E190),""алгоритмы про""),""Алгоритмы про"",""""),IF(REGEXMATCH(LOWER(AL190&amp;"" | ""&amp;E190),""аналитика про""),"""&amp;"Аналитика про"",""""),IF(REGEXMATCH(LOWER(AL190&amp;"" | ""&amp;E190),""ml про""),""ML про"",""""),IF(REGEXMATCH(LOWER(AL190&amp;"" | ""&amp;E190),""backend про""),""Backend про"",""""),IF(REGEXMATCH(LOWER(AL190&amp;"" | ""&amp;E190),""(а/в|ав|а в|ab)[ -]?тест""),""А/В-тесты"","&amp;"""""),IF(REGEXMATCH(LOWER(AL190&amp;"" | ""&amp;E190),""data science""),""Data science"",""""),IF(REGEXMATCH(LOWER(AL190&amp;"" | ""&amp;E190),""data[- ]?инжен""),""Data-инженер"",""""),IF(REGEXMATCH(LOWER(AL190&amp;"" | ""&amp;E190),""frontend""),""Frontend"",""""))))"),"AI-агенты про | Алгоритмы про | Backend про")</f>
        <v>AI-агенты про | Алгоритмы про | Backend про</v>
      </c>
    </row>
    <row r="191">
      <c r="A191" s="6" t="str">
        <f>IFERROR(__xludf.DUMMYFUNCTION("""COMPUTED_VALUE"""),"EXT-91")</f>
        <v>EXT-91</v>
      </c>
      <c r="B191" s="6" t="str">
        <f>IFERROR(__xludf.DUMMYFUNCTION("""COMPUTED_VALUE"""),"2026-09-03 10:13:56")</f>
        <v>2026-09-03 10:13:56</v>
      </c>
      <c r="C191" s="6" t="str">
        <f>IFERROR(__xludf.DUMMYFUNCTION("""COMPUTED_VALUE"""),"@matesha_shad")</f>
        <v>@matesha_shad</v>
      </c>
      <c r="D191" s="4" t="str">
        <f>IFERROR(__xludf.DUMMYFUNCTION("""COMPUTED_VALUE"""),"Контент с предложением курсов")</f>
        <v>Контент с предложением курсов</v>
      </c>
      <c r="E191" s="6" t="str">
        <f>IFERROR(__xludf.DUMMYFUNCTION("""COMPUTED_VALUE"""),"")</f>
        <v/>
      </c>
      <c r="F191" s="6" t="str">
        <f>IFERROR(__xludf.DUMMYFUNCTION("""COMPUTED_VALUE"""),"")</f>
        <v/>
      </c>
      <c r="G191" s="10" t="str">
        <f>IFERROR(__xludf.DUMMYFUNCTION("""COMPUTED_VALUE"""),"https://t.me/matesha_shad/385")</f>
        <v>https://t.me/matesha_shad/385</v>
      </c>
      <c r="H191" s="6" t="str">
        <f>IFERROR(__xludf.DUMMYFUNCTION("""COMPUTED_VALUE"""),"Открылся отбор на стажировку в Т-Банк 
Задачи уже выложены в нашем чате (тут). 
Специально для участников курсов про уже мы уже выложили разбор соответствующих экзаменов. В разборе мы покажем подход к решению задач и как оформить ответ, чтобы получить в"&amp;"ысокий балл.  
Также на курсах будет доступно:
🔽 Курс по выходу на доход в валюте
🔽 Разбор текущей стажировки Яндекса
🔽 Гарантия оффера
🔽 Огромный банк технических вопросов
🔽 Рефералка в бигтех после защиты пет-проекта
🔽 mock-собеседования с обратн"&amp;"ой связью
📌 Вопросы и запись — менеджеру")</f>
        <v>Открылся отбор на стажировку в Т-Банк 
Задачи уже выложены в нашем чате (тут). 
Специально для участников курсов про уже мы уже выложили разбор соответствующих экзаменов. В разборе мы покажем подход к решению задач и как оформить ответ, чтобы получить высокий балл.  
Также на курсах будет доступно:
🔽 Курс по выходу на доход в валюте
🔽 Разбор текущей стажировки Яндекса
🔽 Гарантия оффера
🔽 Огромный банк технических вопросов
🔽 Рефералка в бигтех после защиты пет-проекта
🔽 mock-собеседования с обратной связью
📌 Вопросы и запись — менеджеру</v>
      </c>
      <c r="I191" s="6" t="str">
        <f>IFERROR(__xludf.DUMMYFUNCTION("""COMPUTED_VALUE"""),"external")</f>
        <v>external</v>
      </c>
      <c r="J191" s="10" t="str">
        <f>IFERROR(__xludf.DUMMYFUNCTION("""COMPUTED_VALUE"""),"https://t.me/matesha_shad/385")</f>
        <v>https://t.me/matesha_shad/385</v>
      </c>
      <c r="K191" s="6">
        <f>IFERROR(__xludf.DUMMYFUNCTION("""COMPUTED_VALUE"""),2610.0)</f>
        <v>2610</v>
      </c>
      <c r="L191" s="6">
        <f>IFERROR(__xludf.DUMMYFUNCTION("""COMPUTED_VALUE"""),2.0)</f>
        <v>2</v>
      </c>
      <c r="M191" s="6"/>
      <c r="N191" s="6" t="str">
        <f>IFERROR(__xludf.DUMMYFUNCTION("""COMPUTED_VALUE"""),"Telegram")</f>
        <v>Telegram</v>
      </c>
      <c r="O191" s="6" t="str">
        <f>IFERROR(__xludf.DUMMYFUNCTION("""COMPUTED_VALUE"""),"raw")</f>
        <v>raw</v>
      </c>
      <c r="P191" s="6" t="str">
        <f>IFERROR(__xludf.DUMMYFUNCTION("""COMPUTED_VALUE"""),"Codex")</f>
        <v>Codex</v>
      </c>
      <c r="Q191" s="6" t="str">
        <f>IFERROR(__xludf.DUMMYFUNCTION("""COMPUTED_VALUE"""),"Общий контакт @vice22821; признак связи с проектом")</f>
        <v>Общий контакт @vice22821; признак связи с проектом</v>
      </c>
      <c r="R191" s="6" t="str">
        <f>IFERROR(__xludf.DUMMYFUNCTION("""COMPUTED_VALUE"""),"unknown")</f>
        <v>unknown</v>
      </c>
      <c r="S191" s="6" t="str">
        <f>IFERROR(__xludf.DUMMYFUNCTION("""COMPUTED_VALUE"""),"unknown")</f>
        <v>unknown</v>
      </c>
      <c r="T191" s="6" t="str">
        <f>IFERROR(__xludf.DUMMYFUNCTION("""COMPUTED_VALUE"""),"telegram_external")</f>
        <v>telegram_external</v>
      </c>
      <c r="U191" s="6" t="str">
        <f>IFERROR(__xludf.DUMMYFUNCTION("""COMPUTED_VALUE"""),"Контент с предложением курсов")</f>
        <v>Контент с предложением курсов</v>
      </c>
      <c r="V191" s="6" t="str">
        <f>IFERROR(__xludf.DUMMYFUNCTION("""COMPUTED_VALUE"""),"")</f>
        <v/>
      </c>
      <c r="W191" s="6" t="str">
        <f>IFERROR(__xludf.DUMMYFUNCTION("""COMPUTED_VALUE"""),"")</f>
        <v/>
      </c>
      <c r="X191" s="6"/>
      <c r="Y191" s="6" t="str">
        <f>IFERROR(__xludf.DUMMYFUNCTION("""COMPUTED_VALUE"""),"https://t.me/postypashki_old/1859
https://t.me/m/p94YcePXNjcy")</f>
        <v>https://t.me/postypashki_old/1859
https://t.me/m/p94YcePXNjcy</v>
      </c>
      <c r="Z191" s="6" t="b">
        <f>IFERROR(__xludf.DUMMYFUNCTION("""COMPUTED_VALUE"""),TRUE)</f>
        <v>1</v>
      </c>
      <c r="AA191" s="6" t="str">
        <f>IFERROR(__xludf.DUMMYFUNCTION("""COMPUTED_VALUE"""),"")</f>
        <v/>
      </c>
      <c r="AB191" s="6" t="str">
        <f>IFERROR(__xludf.DUMMYFUNCTION("""COMPUTED_VALUE"""),"")</f>
        <v/>
      </c>
      <c r="AC191" s="6" t="str">
        <f>IFERROR(__xludf.DUMMYFUNCTION("""COMPUTED_VALUE"""),"")</f>
        <v/>
      </c>
      <c r="AD191" s="6" t="str">
        <f>IFERROR(__xludf.DUMMYFUNCTION("""COMPUTED_VALUE"""),"")</f>
        <v/>
      </c>
      <c r="AE191" s="6" t="str">
        <f>IFERROR(__xludf.DUMMYFUNCTION("""COMPUTED_VALUE"""),"")</f>
        <v/>
      </c>
      <c r="AF191" s="6" t="str">
        <f>IFERROR(__xludf.DUMMYFUNCTION("""COMPUTED_VALUE"""),"Не подтверждено")</f>
        <v>Не подтверждено</v>
      </c>
      <c r="AG191" s="6" t="str">
        <f>IFERROR(__xludf.DUMMYFUNCTION("""COMPUTED_VALUE"""),"")</f>
        <v/>
      </c>
      <c r="AH191" s="6" t="str">
        <f>IFERROR(__xludf.DUMMYFUNCTION("""COMPUTED_VALUE"""),"2026-09-11T11:47:48.120400+00:00")</f>
        <v>2026-09-11T11:47:48.120400+00:00</v>
      </c>
      <c r="AI191" s="6" t="str">
        <f>IFERROR(__xludf.DUMMYFUNCTION("""COMPUTED_VALUE"""),"raw/matesha_shad/page_000.html")</f>
        <v>raw/matesha_shad/page_000.html</v>
      </c>
      <c r="AJ191" s="9" t="s">
        <v>167</v>
      </c>
      <c r="AK191" s="9" t="s">
        <v>242</v>
      </c>
      <c r="AM191" s="9" t="s">
        <v>219</v>
      </c>
      <c r="AN191" s="4" t="str">
        <f>IFERROR(__xludf.DUMMYFUNCTION("IF(OR(AJ191=""general_brand"",AJ191=""external"",AJ191=""unknown""),"""",IF(AJ191=""product_line"",IF(AK191=""START"",""Аналитика старт | Алгоритмы старт | Backend старт | ML старт"",IF(AK191=""PRO"",""AI-агенты про | Алгоритмы про | Аналитика про | ML пр"&amp;"о | Backend про"",IF(AK191=""START | PRO"",""Аналитика старт | Алгоритмы старт | Backend старт | ML старт | AI-агенты про | Алгоритмы про | Аналитика про | ML про | Backend про"",""""))),TEXTJOIN("" | "",TRUE,IF(REGEXMATCH(LOWER(AL191&amp;"" | ""&amp;E191),""анал"&amp;"итика старт""),""Аналитика старт"",""""),IF(REGEXMATCH(LOWER(AL191&amp;"" | ""&amp;E191),""алгоритмы старт""),""Алгоритмы старт"",""""),IF(REGEXMATCH(LOWER(AL191&amp;"" | ""&amp;E191),""backend старт""),""Backend старт"",""""),IF(REGEXMATCH(LOWER(AL191&amp;"" | ""&amp;E191),""ml"&amp;" старт""),""ML старт"",""""),IF(REGEXMATCH(LOWER(AL191&amp;"" | ""&amp;E191),""ai[ -]?агент""),""AI-агенты про"",""""),IF(REGEXMATCH(LOWER(AL191&amp;"" | ""&amp;E191),""алгоритмы про""),""Алгоритмы про"",""""),IF(REGEXMATCH(LOWER(AL191&amp;"" | ""&amp;E191),""аналитика про""),"""&amp;"Аналитика про"",""""),IF(REGEXMATCH(LOWER(AL191&amp;"" | ""&amp;E191),""ml про""),""ML про"",""""),IF(REGEXMATCH(LOWER(AL191&amp;"" | ""&amp;E191),""backend про""),""Backend про"",""""),IF(REGEXMATCH(LOWER(AL191&amp;"" | ""&amp;E191),""(а/в|ав|а в|ab)[ -]?тест""),""А/В-тесты"","&amp;"""""),IF(REGEXMATCH(LOWER(AL191&amp;"" | ""&amp;E191),""data science""),""Data science"",""""),IF(REGEXMATCH(LOWER(AL191&amp;"" | ""&amp;E191),""data[- ]?инжен""),""Data-инженер"",""""),IF(REGEXMATCH(LOWER(AL191&amp;"" | ""&amp;E191),""frontend""),""Frontend"",""""))))"),"AI-агенты про | Алгоритмы про | Аналитика про | ML про | Backend про")</f>
        <v>AI-агенты про | Алгоритмы про | Аналитика про | ML про | Backend про</v>
      </c>
    </row>
    <row r="192">
      <c r="A192" s="6" t="str">
        <f>IFERROR(__xludf.DUMMYFUNCTION("""COMPUTED_VALUE"""),"EXT-92")</f>
        <v>EXT-92</v>
      </c>
      <c r="B192" s="6" t="str">
        <f>IFERROR(__xludf.DUMMYFUNCTION("""COMPUTED_VALUE"""),"2026-09-03 19:15:26")</f>
        <v>2026-09-03 19:15:26</v>
      </c>
      <c r="C192" s="6" t="str">
        <f>IFERROR(__xludf.DUMMYFUNCTION("""COMPUTED_VALUE"""),"@postypashki_mems")</f>
        <v>@postypashki_mems</v>
      </c>
      <c r="D192" s="4" t="str">
        <f>IFERROR(__xludf.DUMMYFUNCTION("""COMPUTED_VALUE"""),"Контент с предложением курсов")</f>
        <v>Контент с предложением курсов</v>
      </c>
      <c r="E192" s="6" t="str">
        <f>IFERROR(__xludf.DUMMYFUNCTION("""COMPUTED_VALUE"""),"")</f>
        <v/>
      </c>
      <c r="F192" s="6" t="str">
        <f>IFERROR(__xludf.DUMMYFUNCTION("""COMPUTED_VALUE"""),"")</f>
        <v/>
      </c>
      <c r="G192" s="10" t="str">
        <f>IFERROR(__xludf.DUMMYFUNCTION("""COMPUTED_VALUE"""),"https://t.me/postypashki_mems/1410")</f>
        <v>https://t.me/postypashki_mems/1410</v>
      </c>
      <c r="H192" s="6" t="str">
        <f>IFERROR(__xludf.DUMMYFUNCTION("""COMPUTED_VALUE"""),"Открылся отбор на стажировку в Т-Банк 
Задачи уже выложены в нашем чате (тут). 
Специально для участников курсов про уже мы уже выложили разбор соответствующих экзаменов. В разборе мы покажем подход к решению задач и как оформить ответ, чтобы получить в"&amp;"ысокий балл.  
Также на курсах будет доступно:
🔽 Курс по выходу на доход в валюте
🔽 Разбор текущей стажировки Яндекса
🔽 Гарантия оффера
🔽 Огромный банк технических вопросов
🔽 Рефералка в бигтех после защиты пет-проекта
🔽 mock-собеседования с обратн"&amp;"ой связью
📌 Вопросы и запись — менеджеру")</f>
        <v>Открылся отбор на стажировку в Т-Банк 
Задачи уже выложены в нашем чате (тут). 
Специально для участников курсов про уже мы уже выложили разбор соответствующих экзаменов. В разборе мы покажем подход к решению задач и как оформить ответ, чтобы получить высокий балл.  
Также на курсах будет доступно:
🔽 Курс по выходу на доход в валюте
🔽 Разбор текущей стажировки Яндекса
🔽 Гарантия оффера
🔽 Огромный банк технических вопросов
🔽 Рефералка в бигтех после защиты пет-проекта
🔽 mock-собеседования с обратной связью
📌 Вопросы и запись — менеджеру</v>
      </c>
      <c r="I192" s="6" t="str">
        <f>IFERROR(__xludf.DUMMYFUNCTION("""COMPUTED_VALUE"""),"external")</f>
        <v>external</v>
      </c>
      <c r="J192" s="10" t="str">
        <f>IFERROR(__xludf.DUMMYFUNCTION("""COMPUTED_VALUE"""),"https://t.me/postypashki_mems/1410")</f>
        <v>https://t.me/postypashki_mems/1410</v>
      </c>
      <c r="K192" s="6">
        <f>IFERROR(__xludf.DUMMYFUNCTION("""COMPUTED_VALUE"""),2160.0)</f>
        <v>2160</v>
      </c>
      <c r="L192" s="6"/>
      <c r="M192" s="6"/>
      <c r="N192" s="6" t="str">
        <f>IFERROR(__xludf.DUMMYFUNCTION("""COMPUTED_VALUE"""),"Telegram")</f>
        <v>Telegram</v>
      </c>
      <c r="O192" s="6" t="str">
        <f>IFERROR(__xludf.DUMMYFUNCTION("""COMPUTED_VALUE"""),"raw")</f>
        <v>raw</v>
      </c>
      <c r="P192" s="6" t="str">
        <f>IFERROR(__xludf.DUMMYFUNCTION("""COMPUTED_VALUE"""),"Codex")</f>
        <v>Codex</v>
      </c>
      <c r="Q192" s="6" t="str">
        <f>IFERROR(__xludf.DUMMYFUNCTION("""COMPUTED_VALUE"""),"Общий контакт @vice22821; признак связи с проектом")</f>
        <v>Общий контакт @vice22821; признак связи с проектом</v>
      </c>
      <c r="R192" s="6" t="str">
        <f>IFERROR(__xludf.DUMMYFUNCTION("""COMPUTED_VALUE"""),"unknown")</f>
        <v>unknown</v>
      </c>
      <c r="S192" s="6" t="str">
        <f>IFERROR(__xludf.DUMMYFUNCTION("""COMPUTED_VALUE"""),"unknown")</f>
        <v>unknown</v>
      </c>
      <c r="T192" s="6" t="str">
        <f>IFERROR(__xludf.DUMMYFUNCTION("""COMPUTED_VALUE"""),"telegram_external")</f>
        <v>telegram_external</v>
      </c>
      <c r="U192" s="6" t="str">
        <f>IFERROR(__xludf.DUMMYFUNCTION("""COMPUTED_VALUE"""),"Контент с предложением курсов")</f>
        <v>Контент с предложением курсов</v>
      </c>
      <c r="V192" s="6" t="str">
        <f>IFERROR(__xludf.DUMMYFUNCTION("""COMPUTED_VALUE"""),"")</f>
        <v/>
      </c>
      <c r="W192" s="6" t="str">
        <f>IFERROR(__xludf.DUMMYFUNCTION("""COMPUTED_VALUE"""),"")</f>
        <v/>
      </c>
      <c r="X192" s="6"/>
      <c r="Y192" s="6" t="str">
        <f>IFERROR(__xludf.DUMMYFUNCTION("""COMPUTED_VALUE"""),"https://t.me/postypashki_old/1859
https://t.me/m/p94YcePXNjcy")</f>
        <v>https://t.me/postypashki_old/1859
https://t.me/m/p94YcePXNjcy</v>
      </c>
      <c r="Z192" s="6" t="b">
        <f>IFERROR(__xludf.DUMMYFUNCTION("""COMPUTED_VALUE"""),TRUE)</f>
        <v>1</v>
      </c>
      <c r="AA192" s="6" t="str">
        <f>IFERROR(__xludf.DUMMYFUNCTION("""COMPUTED_VALUE"""),"")</f>
        <v/>
      </c>
      <c r="AB192" s="6" t="str">
        <f>IFERROR(__xludf.DUMMYFUNCTION("""COMPUTED_VALUE"""),"")</f>
        <v/>
      </c>
      <c r="AC192" s="6" t="str">
        <f>IFERROR(__xludf.DUMMYFUNCTION("""COMPUTED_VALUE"""),"")</f>
        <v/>
      </c>
      <c r="AD192" s="6" t="str">
        <f>IFERROR(__xludf.DUMMYFUNCTION("""COMPUTED_VALUE"""),"")</f>
        <v/>
      </c>
      <c r="AE192" s="6" t="str">
        <f>IFERROR(__xludf.DUMMYFUNCTION("""COMPUTED_VALUE"""),"")</f>
        <v/>
      </c>
      <c r="AF192" s="6" t="str">
        <f>IFERROR(__xludf.DUMMYFUNCTION("""COMPUTED_VALUE"""),"Не подтверждено")</f>
        <v>Не подтверждено</v>
      </c>
      <c r="AG192" s="6" t="str">
        <f>IFERROR(__xludf.DUMMYFUNCTION("""COMPUTED_VALUE"""),"")</f>
        <v/>
      </c>
      <c r="AH192" s="6" t="str">
        <f>IFERROR(__xludf.DUMMYFUNCTION("""COMPUTED_VALUE"""),"2026-09-11T11:47:56.350687+00:00")</f>
        <v>2026-09-11T11:47:56.350687+00:00</v>
      </c>
      <c r="AI192" s="6" t="str">
        <f>IFERROR(__xludf.DUMMYFUNCTION("""COMPUTED_VALUE"""),"raw/postypashki_mems/page_000.html")</f>
        <v>raw/postypashki_mems/page_000.html</v>
      </c>
      <c r="AJ192" s="9" t="s">
        <v>167</v>
      </c>
      <c r="AK192" s="9" t="s">
        <v>242</v>
      </c>
      <c r="AM192" s="9" t="s">
        <v>219</v>
      </c>
      <c r="AN192" s="4" t="str">
        <f>IFERROR(__xludf.DUMMYFUNCTION("IF(OR(AJ192=""general_brand"",AJ192=""external"",AJ192=""unknown""),"""",IF(AJ192=""product_line"",IF(AK192=""START"",""Аналитика старт | Алгоритмы старт | Backend старт | ML старт"",IF(AK192=""PRO"",""AI-агенты про | Алгоритмы про | Аналитика про | ML пр"&amp;"о | Backend про"",IF(AK192=""START | PRO"",""Аналитика старт | Алгоритмы старт | Backend старт | ML старт | AI-агенты про | Алгоритмы про | Аналитика про | ML про | Backend про"",""""))),TEXTJOIN("" | "",TRUE,IF(REGEXMATCH(LOWER(AL192&amp;"" | ""&amp;E192),""анал"&amp;"итика старт""),""Аналитика старт"",""""),IF(REGEXMATCH(LOWER(AL192&amp;"" | ""&amp;E192),""алгоритмы старт""),""Алгоритмы старт"",""""),IF(REGEXMATCH(LOWER(AL192&amp;"" | ""&amp;E192),""backend старт""),""Backend старт"",""""),IF(REGEXMATCH(LOWER(AL192&amp;"" | ""&amp;E192),""ml"&amp;" старт""),""ML старт"",""""),IF(REGEXMATCH(LOWER(AL192&amp;"" | ""&amp;E192),""ai[ -]?агент""),""AI-агенты про"",""""),IF(REGEXMATCH(LOWER(AL192&amp;"" | ""&amp;E192),""алгоритмы про""),""Алгоритмы про"",""""),IF(REGEXMATCH(LOWER(AL192&amp;"" | ""&amp;E192),""аналитика про""),"""&amp;"Аналитика про"",""""),IF(REGEXMATCH(LOWER(AL192&amp;"" | ""&amp;E192),""ml про""),""ML про"",""""),IF(REGEXMATCH(LOWER(AL192&amp;"" | ""&amp;E192),""backend про""),""Backend про"",""""),IF(REGEXMATCH(LOWER(AL192&amp;"" | ""&amp;E192),""(а/в|ав|а в|ab)[ -]?тест""),""А/В-тесты"","&amp;"""""),IF(REGEXMATCH(LOWER(AL192&amp;"" | ""&amp;E192),""data science""),""Data science"",""""),IF(REGEXMATCH(LOWER(AL192&amp;"" | ""&amp;E192),""data[- ]?инжен""),""Data-инженер"",""""),IF(REGEXMATCH(LOWER(AL192&amp;"" | ""&amp;E192),""frontend""),""Frontend"",""""))))"),"AI-агенты про | Алгоритмы про | Аналитика про | ML про | Backend про")</f>
        <v>AI-агенты про | Алгоритмы про | Аналитика про | ML про | Backend про</v>
      </c>
    </row>
    <row r="193">
      <c r="A193" s="6" t="str">
        <f>IFERROR(__xludf.DUMMYFUNCTION("""COMPUTED_VALUE"""),"EXT-93")</f>
        <v>EXT-93</v>
      </c>
      <c r="B193" s="6" t="str">
        <f>IFERROR(__xludf.DUMMYFUNCTION("""COMPUTED_VALUE"""),"2026-09-03 14:06:05")</f>
        <v>2026-09-03 14:06:05</v>
      </c>
      <c r="C193" s="6" t="str">
        <f>IFERROR(__xludf.DUMMYFUNCTION("""COMPUTED_VALUE"""),"@zadachi_ds")</f>
        <v>@zadachi_ds</v>
      </c>
      <c r="D193" s="4" t="str">
        <f>IFERROR(__xludf.DUMMYFUNCTION("""COMPUTED_VALUE"""),"Контент с предложением курсов")</f>
        <v>Контент с предложением курсов</v>
      </c>
      <c r="E193" s="6" t="str">
        <f>IFERROR(__xludf.DUMMYFUNCTION("""COMPUTED_VALUE"""),"")</f>
        <v/>
      </c>
      <c r="F193" s="6" t="str">
        <f>IFERROR(__xludf.DUMMYFUNCTION("""COMPUTED_VALUE"""),"")</f>
        <v/>
      </c>
      <c r="G193" s="10" t="str">
        <f>IFERROR(__xludf.DUMMYFUNCTION("""COMPUTED_VALUE"""),"https://t.me/zadachi_ds/420")</f>
        <v>https://t.me/zadachi_ds/420</v>
      </c>
      <c r="H193" s="6" t="str">
        <f>IFERROR(__xludf.DUMMYFUNCTION("""COMPUTED_VALUE"""),"Стажировка в Т-банк одна из лучших возможностей для старта в МЛ: 
• специалисты высокого класса
• зарплаты в среднем выше рынка 
• современный стек и проекты 
• хорошо выстроены процессы 
• корпоративная культура
Для участия нужно подать анкету заполнит"&amp;"ь анкету до 6 сентября и выполнить экзамен. Разбор программирования уже выложен на нашем курсе мл про, аи агенты. 
➡️ Записаться. 
Как заполнять анкеты смотрим этот ролик. Вашу анкету оценивают рекрутеры, команды. Если вы им понравитесь, вас пригласят на"&amp;" финальное собеседование. 
На собесе может быть все, что угодно на усмотрение интервьюера: могут быть даже математические задачи на логику в духе тюремных загадок. Обязателен лайвкодинг с задачами, которые часто подбирают под ваше направление. Метрики, о"&amp;"бщая суть линейных моделей, регуляризация, описать общий цикл обучения модели. Примеры собесов в Т-банк можно посмотреть в нашем канале @zadachi_ds по поиску ключевых слов ""Т-банк""/""Тинькофф"". Технические вопросы сильно зависят от команды. Иногда собе"&amp;"седование может пройти в формате ""вайбчека"" без технических вопросов, но это скорее исключение. Короче все, что есть в нашей программе курсов мл старт, мл про и дата сайнс. 
Обычно финальный собес один на полтора часа. Если прям очень хорошо о себя зав"&amp;"или в анкете и хорошо показали на собесе - команда может дать хороший отзыв и тогда вам могут предложить еще одно собеседование, но такое бывает редко. Дополнительный финальный собес можно получить, если податься на донабор, который проходит обычно спустя"&amp;" месяц основного набора.
При идеальном мэтче, вы в Т-банке - поздравляю! 
Подписаться: @zadachi_ds")</f>
        <v>Стажировка в Т-банк одна из лучших возможностей для старта в МЛ: 
• специалисты высокого класса
• зарплаты в среднем выше рынка 
• современный стек и проекты 
• хорошо выстроены процессы 
• корпоративная культура
Для участия нужно подать анкету заполнить анкету до 6 сентября и выполнить экзамен. Разбор программирования уже выложен на нашем курсе мл про, аи агенты. 
➡️ Записаться. 
Как заполнять анкеты смотрим этот ролик. Вашу анкету оценивают рекрутеры, команды. Если вы им понравитесь, вас пригласят на финальное собеседование. 
На собесе может быть все, что угодно на усмотрение интервьюера: могут быть даже математические задачи на логику в духе тюремных загадок. Обязателен лайвкодинг с задачами, которые часто подбирают под ваше направление. Метрики, общая суть линейных моделей, регуляризация, описать общий цикл обучения модели. Примеры собесов в Т-банк можно посмотреть в нашем канале @zadachi_ds по поиску ключевых слов "Т-банк"/"Тинькофф". Технические вопросы сильно зависят от команды. Иногда собеседование может пройти в формате "вайбчека" без технических вопросов, но это скорее исключение. Короче все, что есть в нашей программе курсов мл старт, мл про и дата сайнс. 
Обычно финальный собес один на полтора часа. Если прям очень хорошо о себя завили в анкете и хорошо показали на собесе - команда может дать хороший отзыв и тогда вам могут предложить еще одно собеседование, но такое бывает редко. Дополнительный финальный собес можно получить, если податься на донабор, который проходит обычно спустя месяц основного набора.
При идеальном мэтче, вы в Т-банке - поздравляю! 
Подписаться: @zadachi_ds</v>
      </c>
      <c r="I193" s="6" t="str">
        <f>IFERROR(__xludf.DUMMYFUNCTION("""COMPUTED_VALUE"""),"external")</f>
        <v>external</v>
      </c>
      <c r="J193" s="10" t="str">
        <f>IFERROR(__xludf.DUMMYFUNCTION("""COMPUTED_VALUE"""),"https://t.me/zadachi_ds/420")</f>
        <v>https://t.me/zadachi_ds/420</v>
      </c>
      <c r="K193" s="6">
        <f>IFERROR(__xludf.DUMMYFUNCTION("""COMPUTED_VALUE"""),3500.0)</f>
        <v>3500</v>
      </c>
      <c r="L193" s="6">
        <f>IFERROR(__xludf.DUMMYFUNCTION("""COMPUTED_VALUE"""),3.0)</f>
        <v>3</v>
      </c>
      <c r="M193" s="6"/>
      <c r="N193" s="6" t="str">
        <f>IFERROR(__xludf.DUMMYFUNCTION("""COMPUTED_VALUE"""),"Telegram")</f>
        <v>Telegram</v>
      </c>
      <c r="O193" s="6" t="str">
        <f>IFERROR(__xludf.DUMMYFUNCTION("""COMPUTED_VALUE"""),"raw")</f>
        <v>raw</v>
      </c>
      <c r="P193" s="6" t="str">
        <f>IFERROR(__xludf.DUMMYFUNCTION("""COMPUTED_VALUE"""),"Codex")</f>
        <v>Codex</v>
      </c>
      <c r="Q193" s="6" t="str">
        <f>IFERROR(__xludf.DUMMYFUNCTION("""COMPUTED_VALUE"""),"Общий контакт @vice22821; признак связи с проектом")</f>
        <v>Общий контакт @vice22821; признак связи с проектом</v>
      </c>
      <c r="R193" s="6" t="str">
        <f>IFERROR(__xludf.DUMMYFUNCTION("""COMPUTED_VALUE"""),"unknown")</f>
        <v>unknown</v>
      </c>
      <c r="S193" s="6" t="str">
        <f>IFERROR(__xludf.DUMMYFUNCTION("""COMPUTED_VALUE"""),"unknown")</f>
        <v>unknown</v>
      </c>
      <c r="T193" s="6" t="str">
        <f>IFERROR(__xludf.DUMMYFUNCTION("""COMPUTED_VALUE"""),"telegram_external")</f>
        <v>telegram_external</v>
      </c>
      <c r="U193" s="6" t="str">
        <f>IFERROR(__xludf.DUMMYFUNCTION("""COMPUTED_VALUE"""),"Контент с предложением курсов")</f>
        <v>Контент с предложением курсов</v>
      </c>
      <c r="V193" s="6" t="str">
        <f>IFERROR(__xludf.DUMMYFUNCTION("""COMPUTED_VALUE"""),"")</f>
        <v/>
      </c>
      <c r="W193" s="6" t="str">
        <f>IFERROR(__xludf.DUMMYFUNCTION("""COMPUTED_VALUE"""),"")</f>
        <v/>
      </c>
      <c r="X193" s="6"/>
      <c r="Y193" s="6" t="str">
        <f>IFERROR(__xludf.DUMMYFUNCTION("""COMPUTED_VALUE"""),"https://t.me/postypashki_old/1859
https://t.me/m/p94YcePXNjcy
https://t.me/postypashki_old/1787
https://old.postypashki.ru/%D0%BA%D0%B0%D1%80%D1%8C%D0%B5%D1%80%D0%BD%D1%8B%D0%B5-%D0%BA%D1%83%D1%80%D1%81%D1%8B/")</f>
        <v>https://t.me/postypashki_old/1859
https://t.me/m/p94YcePXNjcy
https://t.me/postypashki_old/1787
https://old.postypashki.ru/%D0%BA%D0%B0%D1%80%D1%8C%D0%B5%D1%80%D0%BD%D1%8B%D0%B5-%D0%BA%D1%83%D1%80%D1%81%D1%8B/</v>
      </c>
      <c r="Z193" s="6" t="b">
        <f>IFERROR(__xludf.DUMMYFUNCTION("""COMPUTED_VALUE"""),TRUE)</f>
        <v>1</v>
      </c>
      <c r="AA193" s="6" t="str">
        <f>IFERROR(__xludf.DUMMYFUNCTION("""COMPUTED_VALUE"""),"")</f>
        <v/>
      </c>
      <c r="AB193" s="6" t="str">
        <f>IFERROR(__xludf.DUMMYFUNCTION("""COMPUTED_VALUE"""),"")</f>
        <v/>
      </c>
      <c r="AC193" s="6" t="str">
        <f>IFERROR(__xludf.DUMMYFUNCTION("""COMPUTED_VALUE"""),"")</f>
        <v/>
      </c>
      <c r="AD193" s="6" t="str">
        <f>IFERROR(__xludf.DUMMYFUNCTION("""COMPUTED_VALUE"""),"")</f>
        <v/>
      </c>
      <c r="AE193" s="6" t="str">
        <f>IFERROR(__xludf.DUMMYFUNCTION("""COMPUTED_VALUE"""),"")</f>
        <v/>
      </c>
      <c r="AF193" s="6" t="str">
        <f>IFERROR(__xludf.DUMMYFUNCTION("""COMPUTED_VALUE"""),"Не подтверждено")</f>
        <v>Не подтверждено</v>
      </c>
      <c r="AG193" s="6" t="str">
        <f>IFERROR(__xludf.DUMMYFUNCTION("""COMPUTED_VALUE"""),"")</f>
        <v/>
      </c>
      <c r="AH193" s="6" t="str">
        <f>IFERROR(__xludf.DUMMYFUNCTION("""COMPUTED_VALUE"""),"2026-09-11T11:47:39.365425+00:00")</f>
        <v>2026-09-11T11:47:39.365425+00:00</v>
      </c>
      <c r="AI193" s="6" t="str">
        <f>IFERROR(__xludf.DUMMYFUNCTION("""COMPUTED_VALUE"""),"raw/zadachi_ds/page_000.html")</f>
        <v>raw/zadachi_ds/page_000.html</v>
      </c>
      <c r="AJ193" s="9" t="s">
        <v>223</v>
      </c>
      <c r="AK193" s="9" t="s">
        <v>242</v>
      </c>
      <c r="AL193" s="9" t="s">
        <v>255</v>
      </c>
      <c r="AM193" s="9" t="s">
        <v>226</v>
      </c>
      <c r="AN193" s="4" t="str">
        <f>IFERROR(__xludf.DUMMYFUNCTION("IF(OR(AJ193=""general_brand"",AJ193=""external"",AJ193=""unknown""),"""",IF(AJ193=""product_line"",IF(AK193=""START"",""Аналитика старт | Алгоритмы старт | Backend старт | ML старт"",IF(AK193=""PRO"",""AI-агенты про | Алгоритмы про | Аналитика про | ML пр"&amp;"о | Backend про"",IF(AK193=""START | PRO"",""Аналитика старт | Алгоритмы старт | Backend старт | ML старт | AI-агенты про | Алгоритмы про | Аналитика про | ML про | Backend про"",""""))),TEXTJOIN("" | "",TRUE,IF(REGEXMATCH(LOWER(AL193&amp;"" | ""&amp;E193),""анал"&amp;"итика старт""),""Аналитика старт"",""""),IF(REGEXMATCH(LOWER(AL193&amp;"" | ""&amp;E193),""алгоритмы старт""),""Алгоритмы старт"",""""),IF(REGEXMATCH(LOWER(AL193&amp;"" | ""&amp;E193),""backend старт""),""Backend старт"",""""),IF(REGEXMATCH(LOWER(AL193&amp;"" | ""&amp;E193),""ml"&amp;" старт""),""ML старт"",""""),IF(REGEXMATCH(LOWER(AL193&amp;"" | ""&amp;E193),""ai[ -]?агент""),""AI-агенты про"",""""),IF(REGEXMATCH(LOWER(AL193&amp;"" | ""&amp;E193),""алгоритмы про""),""Алгоритмы про"",""""),IF(REGEXMATCH(LOWER(AL193&amp;"" | ""&amp;E193),""аналитика про""),"""&amp;"Аналитика про"",""""),IF(REGEXMATCH(LOWER(AL193&amp;"" | ""&amp;E193),""ml про""),""ML про"",""""),IF(REGEXMATCH(LOWER(AL193&amp;"" | ""&amp;E193),""backend про""),""Backend про"",""""),IF(REGEXMATCH(LOWER(AL193&amp;"" | ""&amp;E193),""(а/в|ав|а в|ab)[ -]?тест""),""А/В-тесты"","&amp;"""""),IF(REGEXMATCH(LOWER(AL193&amp;"" | ""&amp;E193),""data science""),""Data science"",""""),IF(REGEXMATCH(LOWER(AL193&amp;"" | ""&amp;E193),""data[- ]?инжен""),""Data-инженер"",""""),IF(REGEXMATCH(LOWER(AL193&amp;"" | ""&amp;E193),""frontend""),""Frontend"",""""))))"),"AI-агенты про | ML про")</f>
        <v>AI-агенты про | ML про</v>
      </c>
    </row>
    <row r="194">
      <c r="A194" s="6" t="str">
        <f>IFERROR(__xludf.DUMMYFUNCTION("""COMPUTED_VALUE"""),"EXT-94")</f>
        <v>EXT-94</v>
      </c>
      <c r="B194" s="6" t="str">
        <f>IFERROR(__xludf.DUMMYFUNCTION("""COMPUTED_VALUE"""),"2026-09-05 18:08:38")</f>
        <v>2026-09-05 18:08:38</v>
      </c>
      <c r="C194" s="6" t="str">
        <f>IFERROR(__xludf.DUMMYFUNCTION("""COMPUTED_VALUE"""),"@matesha_shad")</f>
        <v>@matesha_shad</v>
      </c>
      <c r="D194" s="4" t="str">
        <f>IFERROR(__xludf.DUMMYFUNCTION("""COMPUTED_VALUE"""),"Промо со скидкой")</f>
        <v>Промо со скидкой</v>
      </c>
      <c r="E194" s="6" t="str">
        <f>IFERROR(__xludf.DUMMYFUNCTION("""COMPUTED_VALUE"""),"")</f>
        <v/>
      </c>
      <c r="F194" s="6" t="str">
        <f>IFERROR(__xludf.DUMMYFUNCTION("""COMPUTED_VALUE"""),"")</f>
        <v/>
      </c>
      <c r="G194" s="10" t="str">
        <f>IFERROR(__xludf.DUMMYFUNCTION("""COMPUTED_VALUE"""),"https://t.me/matesha_shad/386")</f>
        <v>https://t.me/matesha_shad/386</v>
      </c>
      <c r="H194" s="6" t="str">
        <f>IFERROR(__xludf.DUMMYFUNCTION("""COMPUTED_VALUE"""),"Задачи с собеседования в Т-банк, которые спрашивают на математической секции и в тестовых заданиях. Эти задачи или их аналоги выпадают постоянно не только в Тиньке, но и в Яндексе, Авито и других биг техах. В общем прорешать эти несчастные 30 задач необхо"&amp;"димо! Поэтому сохраняем себе, делимся с друзьями такой годнотой! 
Кстати разбор экзаменов Т-банка уже выложен на наших курсах ПРО, на которые уже завтра заканчивается финальная скидка. 
➡️ Записаться. 
Также не забываем про наши банки задач с собесов: 
"&amp;"— Аналитика 
— ML &amp; DS
— Бэкенд 
— Фронтенд 
— Алгоритмы
— Swift 
Подписаться: @matesha_shad")</f>
        <v>Задачи с собеседования в Т-банк, которые спрашивают на математической секции и в тестовых заданиях. Эти задачи или их аналоги выпадают постоянно не только в Тиньке, но и в Яндексе, Авито и других биг техах. В общем прорешать эти несчастные 30 задач необходимо! Поэтому сохраняем себе, делимся с друзьями такой годнотой! 
Кстати разбор экзаменов Т-банка уже выложен на наших курсах ПРО, на которые уже завтра заканчивается финальная скидка. 
➡️ Записаться. 
Также не забываем про наши банки задач с собесов: 
— Аналитика 
— ML &amp; DS
— Бэкенд 
— Фронтенд 
— Алгоритмы
— Swift 
Подписаться: @matesha_shad</v>
      </c>
      <c r="I194" s="6" t="str">
        <f>IFERROR(__xludf.DUMMYFUNCTION("""COMPUTED_VALUE"""),"external")</f>
        <v>external</v>
      </c>
      <c r="J194" s="10" t="str">
        <f>IFERROR(__xludf.DUMMYFUNCTION("""COMPUTED_VALUE"""),"https://t.me/matesha_shad/386")</f>
        <v>https://t.me/matesha_shad/386</v>
      </c>
      <c r="K194" s="6">
        <f>IFERROR(__xludf.DUMMYFUNCTION("""COMPUTED_VALUE"""),3850.0)</f>
        <v>3850</v>
      </c>
      <c r="L194" s="6">
        <f>IFERROR(__xludf.DUMMYFUNCTION("""COMPUTED_VALUE"""),6.0)</f>
        <v>6</v>
      </c>
      <c r="M194" s="6"/>
      <c r="N194" s="6" t="str">
        <f>IFERROR(__xludf.DUMMYFUNCTION("""COMPUTED_VALUE"""),"Telegram")</f>
        <v>Telegram</v>
      </c>
      <c r="O194" s="6" t="str">
        <f>IFERROR(__xludf.DUMMYFUNCTION("""COMPUTED_VALUE"""),"raw")</f>
        <v>raw</v>
      </c>
      <c r="P194" s="6" t="str">
        <f>IFERROR(__xludf.DUMMYFUNCTION("""COMPUTED_VALUE"""),"Codex")</f>
        <v>Codex</v>
      </c>
      <c r="Q194" s="6" t="str">
        <f>IFERROR(__xludf.DUMMYFUNCTION("""COMPUTED_VALUE"""),"Общий контакт @vice22821; признак связи с проектом")</f>
        <v>Общий контакт @vice22821; признак связи с проектом</v>
      </c>
      <c r="R194" s="6" t="str">
        <f>IFERROR(__xludf.DUMMYFUNCTION("""COMPUTED_VALUE"""),"unknown")</f>
        <v>unknown</v>
      </c>
      <c r="S194" s="6" t="str">
        <f>IFERROR(__xludf.DUMMYFUNCTION("""COMPUTED_VALUE"""),"unknown")</f>
        <v>unknown</v>
      </c>
      <c r="T194" s="6" t="str">
        <f>IFERROR(__xludf.DUMMYFUNCTION("""COMPUTED_VALUE"""),"telegram_external")</f>
        <v>telegram_external</v>
      </c>
      <c r="U194" s="6" t="str">
        <f>IFERROR(__xludf.DUMMYFUNCTION("""COMPUTED_VALUE"""),"Промо со скидкой")</f>
        <v>Промо со скидкой</v>
      </c>
      <c r="V194" s="6" t="str">
        <f>IFERROR(__xludf.DUMMYFUNCTION("""COMPUTED_VALUE"""),"")</f>
        <v/>
      </c>
      <c r="W194" s="6" t="str">
        <f>IFERROR(__xludf.DUMMYFUNCTION("""COMPUTED_VALUE"""),"")</f>
        <v/>
      </c>
      <c r="X194" s="6"/>
      <c r="Y194" s="6" t="str">
        <f>IFERROR(__xludf.DUMMYFUNCTION("""COMPUTED_VALUE"""),"https://t.me/postypashki_old/1879
https://t.me/m/p94YcePXNjcy")</f>
        <v>https://t.me/postypashki_old/1879
https://t.me/m/p94YcePXNjcy</v>
      </c>
      <c r="Z194" s="6" t="b">
        <f>IFERROR(__xludf.DUMMYFUNCTION("""COMPUTED_VALUE"""),TRUE)</f>
        <v>1</v>
      </c>
      <c r="AA194" s="6" t="str">
        <f>IFERROR(__xludf.DUMMYFUNCTION("""COMPUTED_VALUE"""),"")</f>
        <v/>
      </c>
      <c r="AB194" s="6" t="str">
        <f>IFERROR(__xludf.DUMMYFUNCTION("""COMPUTED_VALUE"""),"")</f>
        <v/>
      </c>
      <c r="AC194" s="6" t="str">
        <f>IFERROR(__xludf.DUMMYFUNCTION("""COMPUTED_VALUE"""),"")</f>
        <v/>
      </c>
      <c r="AD194" s="6" t="str">
        <f>IFERROR(__xludf.DUMMYFUNCTION("""COMPUTED_VALUE"""),"")</f>
        <v/>
      </c>
      <c r="AE194" s="6" t="str">
        <f>IFERROR(__xludf.DUMMYFUNCTION("""COMPUTED_VALUE"""),"")</f>
        <v/>
      </c>
      <c r="AF194" s="6" t="str">
        <f>IFERROR(__xludf.DUMMYFUNCTION("""COMPUTED_VALUE"""),"Не подтверждено")</f>
        <v>Не подтверждено</v>
      </c>
      <c r="AG194" s="6" t="str">
        <f>IFERROR(__xludf.DUMMYFUNCTION("""COMPUTED_VALUE"""),"")</f>
        <v/>
      </c>
      <c r="AH194" s="6" t="str">
        <f>IFERROR(__xludf.DUMMYFUNCTION("""COMPUTED_VALUE"""),"2026-09-11T11:47:48.120400+00:00")</f>
        <v>2026-09-11T11:47:48.120400+00:00</v>
      </c>
      <c r="AI194" s="6" t="str">
        <f>IFERROR(__xludf.DUMMYFUNCTION("""COMPUTED_VALUE"""),"raw/matesha_shad/page_000.html")</f>
        <v>raw/matesha_shad/page_000.html</v>
      </c>
      <c r="AJ194" s="9" t="s">
        <v>167</v>
      </c>
      <c r="AK194" s="9" t="s">
        <v>242</v>
      </c>
      <c r="AM194" s="9" t="s">
        <v>235</v>
      </c>
      <c r="AN194" s="4" t="str">
        <f>IFERROR(__xludf.DUMMYFUNCTION("IF(OR(AJ194=""general_brand"",AJ194=""external"",AJ194=""unknown""),"""",IF(AJ194=""product_line"",IF(AK194=""START"",""Аналитика старт | Алгоритмы старт | Backend старт | ML старт"",IF(AK194=""PRO"",""AI-агенты про | Алгоритмы про | Аналитика про | ML пр"&amp;"о | Backend про"",IF(AK194=""START | PRO"",""Аналитика старт | Алгоритмы старт | Backend старт | ML старт | AI-агенты про | Алгоритмы про | Аналитика про | ML про | Backend про"",""""))),TEXTJOIN("" | "",TRUE,IF(REGEXMATCH(LOWER(AL194&amp;"" | ""&amp;E194),""анал"&amp;"итика старт""),""Аналитика старт"",""""),IF(REGEXMATCH(LOWER(AL194&amp;"" | ""&amp;E194),""алгоритмы старт""),""Алгоритмы старт"",""""),IF(REGEXMATCH(LOWER(AL194&amp;"" | ""&amp;E194),""backend старт""),""Backend старт"",""""),IF(REGEXMATCH(LOWER(AL194&amp;"" | ""&amp;E194),""ml"&amp;" старт""),""ML старт"",""""),IF(REGEXMATCH(LOWER(AL194&amp;"" | ""&amp;E194),""ai[ -]?агент""),""AI-агенты про"",""""),IF(REGEXMATCH(LOWER(AL194&amp;"" | ""&amp;E194),""алгоритмы про""),""Алгоритмы про"",""""),IF(REGEXMATCH(LOWER(AL194&amp;"" | ""&amp;E194),""аналитика про""),"""&amp;"Аналитика про"",""""),IF(REGEXMATCH(LOWER(AL194&amp;"" | ""&amp;E194),""ml про""),""ML про"",""""),IF(REGEXMATCH(LOWER(AL194&amp;"" | ""&amp;E194),""backend про""),""Backend про"",""""),IF(REGEXMATCH(LOWER(AL194&amp;"" | ""&amp;E194),""(а/в|ав|а в|ab)[ -]?тест""),""А/В-тесты"","&amp;"""""),IF(REGEXMATCH(LOWER(AL194&amp;"" | ""&amp;E194),""data science""),""Data science"",""""),IF(REGEXMATCH(LOWER(AL194&amp;"" | ""&amp;E194),""data[- ]?инжен""),""Data-инженер"",""""),IF(REGEXMATCH(LOWER(AL194&amp;"" | ""&amp;E194),""frontend""),""Frontend"",""""))))"),"AI-агенты про | Алгоритмы про | Аналитика про | ML про | Backend про")</f>
        <v>AI-агенты про | Алгоритмы про | Аналитика про | ML про | Backend про</v>
      </c>
    </row>
    <row r="195">
      <c r="A195" s="6" t="str">
        <f>IFERROR(__xludf.DUMMYFUNCTION("""COMPUTED_VALUE"""),"EXT-95")</f>
        <v>EXT-95</v>
      </c>
      <c r="B195" s="6" t="str">
        <f>IFERROR(__xludf.DUMMYFUNCTION("""COMPUTED_VALUE"""),"2026-09-05 18:50:19")</f>
        <v>2026-09-05 18:50:19</v>
      </c>
      <c r="C195" s="6" t="str">
        <f>IFERROR(__xludf.DUMMYFUNCTION("""COMPUTED_VALUE"""),"@postypashki_mems")</f>
        <v>@postypashki_mems</v>
      </c>
      <c r="D195" s="4" t="str">
        <f>IFERROR(__xludf.DUMMYFUNCTION("""COMPUTED_VALUE"""),"Промо со скидкой")</f>
        <v>Промо со скидкой</v>
      </c>
      <c r="E195" s="6" t="str">
        <f>IFERROR(__xludf.DUMMYFUNCTION("""COMPUTED_VALUE"""),"")</f>
        <v/>
      </c>
      <c r="F195" s="6" t="str">
        <f>IFERROR(__xludf.DUMMYFUNCTION("""COMPUTED_VALUE"""),"")</f>
        <v/>
      </c>
      <c r="G195" s="10" t="str">
        <f>IFERROR(__xludf.DUMMYFUNCTION("""COMPUTED_VALUE"""),"https://t.me/postypashki_mems/1412")</f>
        <v>https://t.me/postypashki_mems/1412</v>
      </c>
      <c r="H195" s="6" t="str">
        <f>IFERROR(__xludf.DUMMYFUNCTION("""COMPUTED_VALUE"""),"Последняя возможность присоединиться к курсам ПРО и забрать оффер в Т-банк
Товарищи, уже в этот понедельник стартуют наши курсы. Для вопросов и записи на курс пишите менеджеру 
Только до 06.09 цена за один курс 14 795  ₽ ➡️ 8 950 ₽
Можно выбрать направ"&amp;"ление:
⏩ Backend ПРО
⏩ Алгоритмы ПРО
⏩ Аналитика ПРО
⏩ ML ПРО
⏩ ИИ-агенты ПРО 
❗️Действует гарантия: прошел курс, выполнил все рекомендации, но не получил оффер — вернем деньги
❗️Курс длится 6 недель: теория, практика, домашние задания и пет-проект. Всё "&amp;"это время рядом преподаватель и куратор.
❗️Разбор Т-банка: уже выложен для участников наших курсов! Подробная инфа по прохождению и заполнению анкеты прилагается
На выходе ты будешь владеть более продвинутыми инструментами, стеком и сможешь претендовать "&amp;"на большее количество вакансий. Ты в разы увеличишь свои шансы на топовый оффер (полная программа на сайте).")</f>
        <v>Последняя возможность присоединиться к курсам ПРО и забрать оффер в Т-банк
Товарищи, уже в этот понедельник стартуют наши курсы. Для вопросов и записи на курс пишите менеджеру 
Только до 06.09 цена за один курс 14 795  ₽ ➡️ 8 950 ₽
Можно выбрать направление:
⏩ Backend ПРО
⏩ Алгоритмы ПРО
⏩ Аналитика ПРО
⏩ ML ПРО
⏩ ИИ-агенты ПРО 
❗️Действует гарантия: прошел курс, выполнил все рекомендации, но не получил оффер — вернем деньги
❗️Курс длится 6 недель: теория, практика, домашние задания и пет-проект. Всё это время рядом преподаватель и куратор.
❗️Разбор Т-банка: уже выложен для участников наших курсов! Подробная инфа по прохождению и заполнению анкеты прилагается
На выходе ты будешь владеть более продвинутыми инструментами, стеком и сможешь претендовать на большее количество вакансий. Ты в разы увеличишь свои шансы на топовый оффер (полная программа на сайте).</v>
      </c>
      <c r="I195" s="6" t="str">
        <f>IFERROR(__xludf.DUMMYFUNCTION("""COMPUTED_VALUE"""),"external")</f>
        <v>external</v>
      </c>
      <c r="J195" s="10" t="str">
        <f>IFERROR(__xludf.DUMMYFUNCTION("""COMPUTED_VALUE"""),"https://t.me/postypashki_mems/1412")</f>
        <v>https://t.me/postypashki_mems/1412</v>
      </c>
      <c r="K195" s="6">
        <f>IFERROR(__xludf.DUMMYFUNCTION("""COMPUTED_VALUE"""),1250.0)</f>
        <v>1250</v>
      </c>
      <c r="L195" s="6"/>
      <c r="M195" s="6"/>
      <c r="N195" s="6" t="str">
        <f>IFERROR(__xludf.DUMMYFUNCTION("""COMPUTED_VALUE"""),"Telegram")</f>
        <v>Telegram</v>
      </c>
      <c r="O195" s="6" t="str">
        <f>IFERROR(__xludf.DUMMYFUNCTION("""COMPUTED_VALUE"""),"raw")</f>
        <v>raw</v>
      </c>
      <c r="P195" s="6" t="str">
        <f>IFERROR(__xludf.DUMMYFUNCTION("""COMPUTED_VALUE"""),"Codex")</f>
        <v>Codex</v>
      </c>
      <c r="Q195" s="6" t="str">
        <f>IFERROR(__xludf.DUMMYFUNCTION("""COMPUTED_VALUE"""),"Общий контакт @vice22821; признак связи с проектом")</f>
        <v>Общий контакт @vice22821; признак связи с проектом</v>
      </c>
      <c r="R195" s="6" t="str">
        <f>IFERROR(__xludf.DUMMYFUNCTION("""COMPUTED_VALUE"""),"unknown")</f>
        <v>unknown</v>
      </c>
      <c r="S195" s="6" t="str">
        <f>IFERROR(__xludf.DUMMYFUNCTION("""COMPUTED_VALUE"""),"unknown")</f>
        <v>unknown</v>
      </c>
      <c r="T195" s="6" t="str">
        <f>IFERROR(__xludf.DUMMYFUNCTION("""COMPUTED_VALUE"""),"telegram_external")</f>
        <v>telegram_external</v>
      </c>
      <c r="U195" s="6" t="str">
        <f>IFERROR(__xludf.DUMMYFUNCTION("""COMPUTED_VALUE"""),"Промо со скидкой")</f>
        <v>Промо со скидкой</v>
      </c>
      <c r="V195" s="6" t="str">
        <f>IFERROR(__xludf.DUMMYFUNCTION("""COMPUTED_VALUE"""),"")</f>
        <v/>
      </c>
      <c r="W195" s="6" t="str">
        <f>IFERROR(__xludf.DUMMYFUNCTION("""COMPUTED_VALUE"""),"")</f>
        <v/>
      </c>
      <c r="X195" s="6" t="str">
        <f>IFERROR(__xludf.DUMMYFUNCTION("""COMPUTED_VALUE"""),"Forwarded from Поступашки - ШАД, Стажировки и Магистратура")</f>
        <v>Forwarded from Поступашки - ШАД, Стажировки и Магистратура</v>
      </c>
      <c r="Y195" s="6" t="str">
        <f>IFERROR(__xludf.DUMMYFUNCTION("""COMPUTED_VALUE"""),"https://t.me/postypashki_old/1879
https://t.me/postypashki_old/1859
https://t.me/m/p94YcePXNjcy
https://old.postypashki.ru/%D0%BA%D0%B0%D1%80%D1%8C%D0%B5%D1%80%D0%BD%D1%8B%D0%B5-%D0%BA%D1%83%D1%80%D1%81%D1%8B/backend-%D1%85%D0%B0%D1%80%D0%B4/
https://old."&amp;"postypashki.ru/%D0%BA%D0%B0%D1%80%D1%8C%D0%B5%D1%80%D0%BD%D1%8B%D0%B5-%D0%BA%D1%83%D1%80%D1%81%D1%8B/%D0%B0%D0%BB%D0%B3%D0%BE%D1%80%D0%B8%D1%82%D0%BC%D1%8B-%D1%85%D0%B0%D1%80%D0%B4/
https://old.postypashki.ru/%D0%BA%D0%B0%D1%80%D1%8C%D0%B5%D1%80%D0%BD%D1%"&amp;"8B%D0%B5-%D0%BA%D1%83%D1%80%D1%81%D1%8B/%D0%B0%D0%BD%D0%B0%D0%BB%D0%B8%D1%82%D0%B8%D0%BA%D0%B0-%D1%85%D0%B0%D1%80%D0%B4/
https://old.postypashki.ru/%D0%BA%D0%B0%D1%80%D1%8C%D0%B5%D1%80%D0%BD%D1%8B%D0%B5-%D0%BA%D1%83%D1%80%D1%81%D1%8B/ml-%D1%85%D0%B0%D1%80"&amp;"%D0%B4/
https://old.postypashki.ru/%D0%BA%D0%B0%D1%80%D1%8C%D0%B5%D1%80%D0%BD%D1%8B%D0%B5-%D0%BA%D1%83%D1%80%D1%81%D1%8B/ai-%D0%B0%D0%B3%D0%B5%D0%BD%D1%82%D1%8B-%D0%BF%D1%80%D0%BE/
https://old.postypashki.ru/%D0%BA%D0%B0%D1%80%D1%8C%D0%B5%D1%80%D0%BD%D1%8"&amp;"B%D0%B5-%D0%BA%D1%83%D1%80%D1%81%D1%8B/")</f>
        <v>https://t.me/postypashki_old/1879
https://t.me/postypashki_old/1859
https://t.me/m/p94YcePXNjcy
https://old.postypashki.ru/%D0%BA%D0%B0%D1%80%D1%8C%D0%B5%D1%80%D0%BD%D1%8B%D0%B5-%D0%BA%D1%83%D1%80%D1%81%D1%8B/backend-%D1%85%D0%B0%D1%80%D0%B4/
https://old.postypashki.ru/%D0%BA%D0%B0%D1%80%D1%8C%D0%B5%D1%80%D0%BD%D1%8B%D0%B5-%D0%BA%D1%83%D1%80%D1%81%D1%8B/%D0%B0%D0%BB%D0%B3%D0%BE%D1%80%D0%B8%D1%82%D0%BC%D1%8B-%D1%85%D0%B0%D1%80%D0%B4/
https://old.postypashki.ru/%D0%BA%D0%B0%D1%80%D1%8C%D0%B5%D1%80%D0%BD%D1%8B%D0%B5-%D0%BA%D1%83%D1%80%D1%81%D1%8B/%D0%B0%D0%BD%D0%B0%D0%BB%D0%B8%D1%82%D0%B8%D0%BA%D0%B0-%D1%85%D0%B0%D1%80%D0%B4/
https://old.postypashki.ru/%D0%BA%D0%B0%D1%80%D1%8C%D0%B5%D1%80%D0%BD%D1%8B%D0%B5-%D0%BA%D1%83%D1%80%D1%81%D1%8B/ml-%D1%85%D0%B0%D1%80%D0%B4/
https://old.postypashki.ru/%D0%BA%D0%B0%D1%80%D1%8C%D0%B5%D1%80%D0%BD%D1%8B%D0%B5-%D0%BA%D1%83%D1%80%D1%81%D1%8B/ai-%D0%B0%D0%B3%D0%B5%D0%BD%D1%82%D1%8B-%D0%BF%D1%80%D0%BE/
https://old.postypashki.ru/%D0%BA%D0%B0%D1%80%D1%8C%D0%B5%D1%80%D0%BD%D1%8B%D0%B5-%D0%BA%D1%83%D1%80%D1%81%D1%8B/</v>
      </c>
      <c r="Z195" s="6" t="b">
        <f>IFERROR(__xludf.DUMMYFUNCTION("""COMPUTED_VALUE"""),TRUE)</f>
        <v>1</v>
      </c>
      <c r="AA195" s="6" t="str">
        <f>IFERROR(__xludf.DUMMYFUNCTION("""COMPUTED_VALUE"""),"")</f>
        <v/>
      </c>
      <c r="AB195" s="6" t="str">
        <f>IFERROR(__xludf.DUMMYFUNCTION("""COMPUTED_VALUE"""),"")</f>
        <v/>
      </c>
      <c r="AC195" s="6" t="str">
        <f>IFERROR(__xludf.DUMMYFUNCTION("""COMPUTED_VALUE"""),"")</f>
        <v/>
      </c>
      <c r="AD195" s="6" t="str">
        <f>IFERROR(__xludf.DUMMYFUNCTION("""COMPUTED_VALUE"""),"")</f>
        <v/>
      </c>
      <c r="AE195" s="6" t="str">
        <f>IFERROR(__xludf.DUMMYFUNCTION("""COMPUTED_VALUE"""),"")</f>
        <v/>
      </c>
      <c r="AF195" s="6" t="str">
        <f>IFERROR(__xludf.DUMMYFUNCTION("""COMPUTED_VALUE"""),"Не подтверждено")</f>
        <v>Не подтверждено</v>
      </c>
      <c r="AG195" s="6" t="str">
        <f>IFERROR(__xludf.DUMMYFUNCTION("""COMPUTED_VALUE"""),"")</f>
        <v/>
      </c>
      <c r="AH195" s="6" t="str">
        <f>IFERROR(__xludf.DUMMYFUNCTION("""COMPUTED_VALUE"""),"2026-09-11T11:47:56.350687+00:00")</f>
        <v>2026-09-11T11:47:56.350687+00:00</v>
      </c>
      <c r="AI195" s="6" t="str">
        <f>IFERROR(__xludf.DUMMYFUNCTION("""COMPUTED_VALUE"""),"raw/postypashki_mems/page_000.html")</f>
        <v>raw/postypashki_mems/page_000.html</v>
      </c>
      <c r="AJ195" s="9" t="s">
        <v>223</v>
      </c>
      <c r="AK195" s="9" t="s">
        <v>242</v>
      </c>
      <c r="AL195" s="9" t="s">
        <v>244</v>
      </c>
      <c r="AM195" s="9" t="s">
        <v>237</v>
      </c>
      <c r="AN195" s="4" t="str">
        <f>IFERROR(__xludf.DUMMYFUNCTION("IF(OR(AJ195=""general_brand"",AJ195=""external"",AJ195=""unknown""),"""",IF(AJ195=""product_line"",IF(AK195=""START"",""Аналитика старт | Алгоритмы старт | Backend старт | ML старт"",IF(AK195=""PRO"",""AI-агенты про | Алгоритмы про | Аналитика про | ML пр"&amp;"о | Backend про"",IF(AK195=""START | PRO"",""Аналитика старт | Алгоритмы старт | Backend старт | ML старт | AI-агенты про | Алгоритмы про | Аналитика про | ML про | Backend про"",""""))),TEXTJOIN("" | "",TRUE,IF(REGEXMATCH(LOWER(AL195&amp;"" | ""&amp;E195),""анал"&amp;"итика старт""),""Аналитика старт"",""""),IF(REGEXMATCH(LOWER(AL195&amp;"" | ""&amp;E195),""алгоритмы старт""),""Алгоритмы старт"",""""),IF(REGEXMATCH(LOWER(AL195&amp;"" | ""&amp;E195),""backend старт""),""Backend старт"",""""),IF(REGEXMATCH(LOWER(AL195&amp;"" | ""&amp;E195),""ml"&amp;" старт""),""ML старт"",""""),IF(REGEXMATCH(LOWER(AL195&amp;"" | ""&amp;E195),""ai[ -]?агент""),""AI-агенты про"",""""),IF(REGEXMATCH(LOWER(AL195&amp;"" | ""&amp;E195),""алгоритмы про""),""Алгоритмы про"",""""),IF(REGEXMATCH(LOWER(AL195&amp;"" | ""&amp;E195),""аналитика про""),"""&amp;"Аналитика про"",""""),IF(REGEXMATCH(LOWER(AL195&amp;"" | ""&amp;E195),""ml про""),""ML про"",""""),IF(REGEXMATCH(LOWER(AL195&amp;"" | ""&amp;E195),""backend про""),""Backend про"",""""),IF(REGEXMATCH(LOWER(AL195&amp;"" | ""&amp;E195),""(а/в|ав|а в|ab)[ -]?тест""),""А/В-тесты"","&amp;"""""),IF(REGEXMATCH(LOWER(AL195&amp;"" | ""&amp;E195),""data science""),""Data science"",""""),IF(REGEXMATCH(LOWER(AL195&amp;"" | ""&amp;E195),""data[- ]?инжен""),""Data-инженер"",""""),IF(REGEXMATCH(LOWER(AL195&amp;"" | ""&amp;E195),""frontend""),""Frontend"",""""))))"),"AI-агенты про | Алгоритмы про | Аналитика про | ML про | Backend про")</f>
        <v>AI-агенты про | Алгоритмы про | Аналитика про | ML про | Backend про</v>
      </c>
    </row>
    <row r="196">
      <c r="A196" s="6" t="str">
        <f>IFERROR(__xludf.DUMMYFUNCTION("""COMPUTED_VALUE"""),"EXT-96")</f>
        <v>EXT-96</v>
      </c>
      <c r="B196" s="6" t="str">
        <f>IFERROR(__xludf.DUMMYFUNCTION("""COMPUTED_VALUE"""),"2026-09-06 16:50:20")</f>
        <v>2026-09-06 16:50:20</v>
      </c>
      <c r="C196" s="6" t="str">
        <f>IFERROR(__xludf.DUMMYFUNCTION("""COMPUTED_VALUE"""),"@ProdAnalysis")</f>
        <v>@ProdAnalysis</v>
      </c>
      <c r="D196" s="4" t="str">
        <f>IFERROR(__xludf.DUMMYFUNCTION("""COMPUTED_VALUE"""),"Бесплатное событие / лид-магнит")</f>
        <v>Бесплатное событие / лид-магнит</v>
      </c>
      <c r="E196" s="6" t="str">
        <f>IFERROR(__xludf.DUMMYFUNCTION("""COMPUTED_VALUE"""),"")</f>
        <v/>
      </c>
      <c r="F196" s="6" t="str">
        <f>IFERROR(__xludf.DUMMYFUNCTION("""COMPUTED_VALUE"""),"")</f>
        <v/>
      </c>
      <c r="G196" s="10" t="str">
        <f>IFERROR(__xludf.DUMMYFUNCTION("""COMPUTED_VALUE"""),"https://t.me/ProdAnalysis/163")</f>
        <v>https://t.me/ProdAnalysis/163</v>
      </c>
      <c r="H196" s="6" t="str">
        <f>IFERROR(__xludf.DUMMYFUNCTION("""COMPUTED_VALUE"""),"Разбор экзамена на стажировку в Т-банк за подписку! 
Чтобы получить разбор:
➡️Подпишитесь на нас в запрещенной странице тут
➡️Поставьте «+» в комментариях под последней каруселью тут
➡️После этого бот пришлёт вам материал в директ
Внутри будет разбор эк"&amp;"замена и теста SQL на стажировку Т-банк")</f>
        <v>Разбор экзамена на стажировку в Т-банк за подписку! 
Чтобы получить разбор:
➡️Подпишитесь на нас в запрещенной странице тут
➡️Поставьте «+» в комментариях под последней каруселью тут
➡️После этого бот пришлёт вам материал в директ
Внутри будет разбор экзамена и теста SQL на стажировку Т-банк</v>
      </c>
      <c r="I196" s="6" t="str">
        <f>IFERROR(__xludf.DUMMYFUNCTION("""COMPUTED_VALUE"""),"external")</f>
        <v>external</v>
      </c>
      <c r="J196" s="10" t="str">
        <f>IFERROR(__xludf.DUMMYFUNCTION("""COMPUTED_VALUE"""),"https://t.me/ProdAnalysis/163")</f>
        <v>https://t.me/ProdAnalysis/163</v>
      </c>
      <c r="K196" s="6">
        <f>IFERROR(__xludf.DUMMYFUNCTION("""COMPUTED_VALUE"""),413.0)</f>
        <v>413</v>
      </c>
      <c r="L196" s="6">
        <f>IFERROR(__xludf.DUMMYFUNCTION("""COMPUTED_VALUE"""),1.0)</f>
        <v>1</v>
      </c>
      <c r="M196" s="6"/>
      <c r="N196" s="6" t="str">
        <f>IFERROR(__xludf.DUMMYFUNCTION("""COMPUTED_VALUE"""),"Telegram")</f>
        <v>Telegram</v>
      </c>
      <c r="O196" s="6" t="str">
        <f>IFERROR(__xludf.DUMMYFUNCTION("""COMPUTED_VALUE"""),"raw")</f>
        <v>raw</v>
      </c>
      <c r="P196" s="6" t="str">
        <f>IFERROR(__xludf.DUMMYFUNCTION("""COMPUTED_VALUE"""),"Codex")</f>
        <v>Codex</v>
      </c>
      <c r="Q196" s="6" t="str">
        <f>IFERROR(__xludf.DUMMYFUNCTION("""COMPUTED_VALUE"""),"Общий контакт @vice22821; признак связи с проектом")</f>
        <v>Общий контакт @vice22821; признак связи с проектом</v>
      </c>
      <c r="R196" s="6" t="str">
        <f>IFERROR(__xludf.DUMMYFUNCTION("""COMPUTED_VALUE"""),"unknown")</f>
        <v>unknown</v>
      </c>
      <c r="S196" s="6" t="str">
        <f>IFERROR(__xludf.DUMMYFUNCTION("""COMPUTED_VALUE"""),"unknown")</f>
        <v>unknown</v>
      </c>
      <c r="T196" s="6" t="str">
        <f>IFERROR(__xludf.DUMMYFUNCTION("""COMPUTED_VALUE"""),"telegram_external")</f>
        <v>telegram_external</v>
      </c>
      <c r="U196" s="6" t="str">
        <f>IFERROR(__xludf.DUMMYFUNCTION("""COMPUTED_VALUE"""),"Бесплатное событие / лид-магнит")</f>
        <v>Бесплатное событие / лид-магнит</v>
      </c>
      <c r="V196" s="6" t="str">
        <f>IFERROR(__xludf.DUMMYFUNCTION("""COMPUTED_VALUE"""),"")</f>
        <v/>
      </c>
      <c r="W196" s="6" t="str">
        <f>IFERROR(__xludf.DUMMYFUNCTION("""COMPUTED_VALUE"""),"")</f>
        <v/>
      </c>
      <c r="X196" s="6" t="str">
        <f>IFERROR(__xludf.DUMMYFUNCTION("""COMPUTED_VALUE"""),"Forwarded from Поступашки - ШАД, Стажировки и Магистратура")</f>
        <v>Forwarded from Поступашки - ШАД, Стажировки и Магистратура</v>
      </c>
      <c r="Y196" s="10" t="str">
        <f>IFERROR(__xludf.DUMMYFUNCTION("""COMPUTED_VALUE"""),"https://t.me/postypashki_old/1881")</f>
        <v>https://t.me/postypashki_old/1881</v>
      </c>
      <c r="Z196" s="6" t="b">
        <f>IFERROR(__xludf.DUMMYFUNCTION("""COMPUTED_VALUE"""),FALSE)</f>
        <v>0</v>
      </c>
      <c r="AA196" s="6" t="str">
        <f>IFERROR(__xludf.DUMMYFUNCTION("""COMPUTED_VALUE"""),"")</f>
        <v/>
      </c>
      <c r="AB196" s="6" t="str">
        <f>IFERROR(__xludf.DUMMYFUNCTION("""COMPUTED_VALUE"""),"")</f>
        <v/>
      </c>
      <c r="AC196" s="6" t="str">
        <f>IFERROR(__xludf.DUMMYFUNCTION("""COMPUTED_VALUE"""),"")</f>
        <v/>
      </c>
      <c r="AD196" s="6" t="str">
        <f>IFERROR(__xludf.DUMMYFUNCTION("""COMPUTED_VALUE"""),"")</f>
        <v/>
      </c>
      <c r="AE196" s="6" t="str">
        <f>IFERROR(__xludf.DUMMYFUNCTION("""COMPUTED_VALUE"""),"")</f>
        <v/>
      </c>
      <c r="AF196" s="6" t="str">
        <f>IFERROR(__xludf.DUMMYFUNCTION("""COMPUTED_VALUE"""),"Не подтверждено")</f>
        <v>Не подтверждено</v>
      </c>
      <c r="AG196" s="6" t="str">
        <f>IFERROR(__xludf.DUMMYFUNCTION("""COMPUTED_VALUE"""),"")</f>
        <v/>
      </c>
      <c r="AH196" s="6" t="str">
        <f>IFERROR(__xludf.DUMMYFUNCTION("""COMPUTED_VALUE"""),"2026-09-11T11:47:34.275826+00:00")</f>
        <v>2026-09-11T11:47:34.275826+00:00</v>
      </c>
      <c r="AI196" s="6" t="str">
        <f>IFERROR(__xludf.DUMMYFUNCTION("""COMPUTED_VALUE"""),"raw/ProdAnalysis/page_000.html")</f>
        <v>raw/ProdAnalysis/page_000.html</v>
      </c>
      <c r="AJ196" s="9" t="s">
        <v>208</v>
      </c>
      <c r="AM196" s="9" t="s">
        <v>228</v>
      </c>
      <c r="AN196" s="6" t="str">
        <f>IFERROR(__xludf.DUMMYFUNCTION("IF(OR(AJ196=""general_brand"",AJ196=""external"",AJ196=""unknown""),"""",IF(AJ196=""product_line"",IF(AK196=""START"",""Аналитика старт | Алгоритмы старт | Backend старт | ML старт"",IF(AK196=""PRO"",""AI-агенты про | Алгоритмы про | Аналитика про | ML пр"&amp;"о | Backend про"",IF(AK196=""START | PRO"",""Аналитика старт | Алгоритмы старт | Backend старт | ML старт | AI-агенты про | Алгоритмы про | Аналитика про | ML про | Backend про"",""""))),TEXTJOIN("" | "",TRUE,IF(REGEXMATCH(LOWER(AL196&amp;"" | ""&amp;E196),""анал"&amp;"итика старт""),""Аналитика старт"",""""),IF(REGEXMATCH(LOWER(AL196&amp;"" | ""&amp;E196),""алгоритмы старт""),""Алгоритмы старт"",""""),IF(REGEXMATCH(LOWER(AL196&amp;"" | ""&amp;E196),""backend старт""),""Backend старт"",""""),IF(REGEXMATCH(LOWER(AL196&amp;"" | ""&amp;E196),""ml"&amp;" старт""),""ML старт"",""""),IF(REGEXMATCH(LOWER(AL196&amp;"" | ""&amp;E196),""ai[ -]?агент""),""AI-агенты про"",""""),IF(REGEXMATCH(LOWER(AL196&amp;"" | ""&amp;E196),""алгоритмы про""),""Алгоритмы про"",""""),IF(REGEXMATCH(LOWER(AL196&amp;"" | ""&amp;E196),""аналитика про""),"""&amp;"Аналитика про"",""""),IF(REGEXMATCH(LOWER(AL196&amp;"" | ""&amp;E196),""ml про""),""ML про"",""""),IF(REGEXMATCH(LOWER(AL196&amp;"" | ""&amp;E196),""backend про""),""Backend про"",""""),IF(REGEXMATCH(LOWER(AL196&amp;"" | ""&amp;E196),""(а/в|ав|а в|ab)[ -]?тест""),""А/В-тесты"","&amp;"""""),IF(REGEXMATCH(LOWER(AL196&amp;"" | ""&amp;E196),""data science""),""Data science"",""""),IF(REGEXMATCH(LOWER(AL196&amp;"" | ""&amp;E196),""data[- ]?инжен""),""Data-инженер"",""""),IF(REGEXMATCH(LOWER(AL196&amp;"" | ""&amp;E196),""frontend""),""Frontend"",""""))))"),"")</f>
        <v/>
      </c>
    </row>
    <row r="197">
      <c r="A197" s="6" t="str">
        <f>IFERROR(__xludf.DUMMYFUNCTION("""COMPUTED_VALUE"""),"EXT-97")</f>
        <v>EXT-97</v>
      </c>
      <c r="B197" s="6" t="str">
        <f>IFERROR(__xludf.DUMMYFUNCTION("""COMPUTED_VALUE"""),"2026-09-06 21:21:09")</f>
        <v>2026-09-06 21:21:09</v>
      </c>
      <c r="C197" s="6" t="str">
        <f>IFERROR(__xludf.DUMMYFUNCTION("""COMPUTED_VALUE"""),"@ProdAnalysis")</f>
        <v>@ProdAnalysis</v>
      </c>
      <c r="D197" s="4" t="str">
        <f>IFERROR(__xludf.DUMMYFUNCTION("""COMPUTED_VALUE"""),"Промо со скидкой")</f>
        <v>Промо со скидкой</v>
      </c>
      <c r="E197" s="6" t="str">
        <f>IFERROR(__xludf.DUMMYFUNCTION("""COMPUTED_VALUE"""),"")</f>
        <v/>
      </c>
      <c r="F197" s="6" t="str">
        <f>IFERROR(__xludf.DUMMYFUNCTION("""COMPUTED_VALUE"""),"")</f>
        <v/>
      </c>
      <c r="G197" s="10" t="str">
        <f>IFERROR(__xludf.DUMMYFUNCTION("""COMPUTED_VALUE"""),"https://t.me/ProdAnalysis/164")</f>
        <v>https://t.me/ProdAnalysis/164</v>
      </c>
      <c r="H197" s="6" t="str">
        <f>IFERROR(__xludf.DUMMYFUNCTION("""COMPUTED_VALUE"""),"Слив протоколов собеседований на аналитика в Т-Банке
Меньше 3 часов до конца финальной скидки на курсы ПРО и отбора на стажировку в Т-банк!  
➡️ Записаться. 
Чтобы вы реально почувствовали насколько круты наши курсы, сливаем внутреннюю кухню - как реаль"&amp;"но проходят секции аналитики в Т-Банке. Три гайда, и они закрывают сразу два разных направления - продуктовый и бизнесовый. Еще больше закрытых материалов на наших курсах про. Короче курсы реально годный, залетаем. Отзыв нашего выпускника ниже. 
Каркас у"&amp;" собесов один - 4 этапа: рекрутёр → профильная секция → знакомство с командой → оффер. Тут как раз на разных аналитиков идет разветвление.
Трек 1. Продуктовый аналитик. 
Техчасть делится на две секции:
— Дата-анализ (60 мин) — теорвер, матстат и лайвкоди"&amp;"нг на SQL и Python. Всё хардовое живёт тут.
— Продуктовая аналитика (60 мин) — метрики, гипотезы, кейсы продукта. Хардов нет, смотрят на мышление и умение доводить решение до конечной точки.
Гайд ""Продуктовая аналитика"" - как раз про это: 21 разобранны"&amp;"й кейс (условие → ход решения → на что смотрит интервьюер → усложнения), матрица компетенций, чеклист перед собесом, шпаргалка по теории и отдельный технический минимум под DA-секцию. Плюс блок кейсов для тех, кто идёт на позицию управленца отдела аналити"&amp;"ков. 
Трек 2. Бизнес-аналитик.
Тут SQL и лайвкодинга нет - одна секция на 60 минут: разбор вашего опыта плюс бизнес-кейс на развитие продукта, улучшение процесса или поиск узкого места. Тут также смотрят больше на ход ваших мыслей, а не то, как вы сходу "&amp;"выдаете готовый ответ. Отдельно стоит присмотреться ребятам, кто метит на позицию технолога (это стык бизнес-аналитика, системного, продуктового, проджекта и продакта, нишевая тема в общем), для вас тоже актуальный контент, так как собесы у этих двух пози"&amp;"ций пересекаются. Гайд ""Бизнес-анализ"" - про этот трек: матрица компетенций от джуна до сеньора, каркас разбора любого кейса и 6 примеров кейсов.
Общий блок - задачи на логику. 27 штук с реальных собесов: логика и дедукция, теорвер (Байес, условная вер"&amp;"оятность, правило остановки) и оценки/алгоритмы/теория игр. У каждой полный разбор с ключевой идеей, а не просто ответ.
Еще дополнительную информацию оставил в нашем чатике тут. 
Подписаться: @postypashki_old")</f>
        <v>Слив протоколов собеседований на аналитика в Т-Банке
Меньше 3 часов до конца финальной скидки на курсы ПРО и отбора на стажировку в Т-банк!  
➡️ Записаться. 
Чтобы вы реально почувствовали насколько круты наши курсы, сливаем внутреннюю кухню - как реально проходят секции аналитики в Т-Банке. Три гайда, и они закрывают сразу два разных направления - продуктовый и бизнесовый. Еще больше закрытых материалов на наших курсах про. Короче курсы реально годный, залетаем. Отзыв нашего выпускника ниже. 
Каркас у собесов один - 4 этапа: рекрутёр → профильная секция → знакомство с командой → оффер. Тут как раз на разных аналитиков идет разветвление.
Трек 1. Продуктовый аналитик. 
Техчасть делится на две секции:
— Дата-анализ (60 мин) — теорвер, матстат и лайвкодинг на SQL и Python. Всё хардовое живёт тут.
— Продуктовая аналитика (60 мин) — метрики, гипотезы, кейсы продукта. Хардов нет, смотрят на мышление и умение доводить решение до конечной точки.
Гайд "Продуктовая аналитика" - как раз про это: 21 разобранный кейс (условие → ход решения → на что смотрит интервьюер → усложнения), матрица компетенций, чеклист перед собесом, шпаргалка по теории и отдельный технический минимум под DA-секцию. Плюс блок кейсов для тех, кто идёт на позицию управленца отдела аналитиков. 
Трек 2. Бизнес-аналитик.
Тут SQL и лайвкодинга нет - одна секция на 60 минут: разбор вашего опыта плюс бизнес-кейс на развитие продукта, улучшение процесса или поиск узкого места. Тут также смотрят больше на ход ваших мыслей, а не то, как вы сходу выдаете готовый ответ. Отдельно стоит присмотреться ребятам, кто метит на позицию технолога (это стык бизнес-аналитика, системного, продуктового, проджекта и продакта, нишевая тема в общем), для вас тоже актуальный контент, так как собесы у этих двух позиций пересекаются. Гайд "Бизнес-анализ" - про этот трек: матрица компетенций от джуна до сеньора, каркас разбора любого кейса и 6 примеров кейсов.
Общий блок - задачи на логику. 27 штук с реальных собесов: логика и дедукция, теорвер (Байес, условная вероятность, правило остановки) и оценки/алгоритмы/теория игр. У каждой полный разбор с ключевой идеей, а не просто ответ.
Еще дополнительную информацию оставил в нашем чатике тут. 
Подписаться: @postypashki_old</v>
      </c>
      <c r="I197" s="6" t="str">
        <f>IFERROR(__xludf.DUMMYFUNCTION("""COMPUTED_VALUE"""),"external")</f>
        <v>external</v>
      </c>
      <c r="J197" s="10" t="str">
        <f>IFERROR(__xludf.DUMMYFUNCTION("""COMPUTED_VALUE"""),"https://t.me/ProdAnalysis/164")</f>
        <v>https://t.me/ProdAnalysis/164</v>
      </c>
      <c r="K197" s="6">
        <f>IFERROR(__xludf.DUMMYFUNCTION("""COMPUTED_VALUE"""),902.0)</f>
        <v>902</v>
      </c>
      <c r="L197" s="6">
        <f>IFERROR(__xludf.DUMMYFUNCTION("""COMPUTED_VALUE"""),4.0)</f>
        <v>4</v>
      </c>
      <c r="M197" s="6"/>
      <c r="N197" s="6" t="str">
        <f>IFERROR(__xludf.DUMMYFUNCTION("""COMPUTED_VALUE"""),"Telegram")</f>
        <v>Telegram</v>
      </c>
      <c r="O197" s="6" t="str">
        <f>IFERROR(__xludf.DUMMYFUNCTION("""COMPUTED_VALUE"""),"raw")</f>
        <v>raw</v>
      </c>
      <c r="P197" s="6" t="str">
        <f>IFERROR(__xludf.DUMMYFUNCTION("""COMPUTED_VALUE"""),"Codex")</f>
        <v>Codex</v>
      </c>
      <c r="Q197" s="6" t="str">
        <f>IFERROR(__xludf.DUMMYFUNCTION("""COMPUTED_VALUE"""),"Общий контакт @vice22821; признак связи с проектом")</f>
        <v>Общий контакт @vice22821; признак связи с проектом</v>
      </c>
      <c r="R197" s="6" t="str">
        <f>IFERROR(__xludf.DUMMYFUNCTION("""COMPUTED_VALUE"""),"unknown")</f>
        <v>unknown</v>
      </c>
      <c r="S197" s="6" t="str">
        <f>IFERROR(__xludf.DUMMYFUNCTION("""COMPUTED_VALUE"""),"unknown")</f>
        <v>unknown</v>
      </c>
      <c r="T197" s="6" t="str">
        <f>IFERROR(__xludf.DUMMYFUNCTION("""COMPUTED_VALUE"""),"telegram_external")</f>
        <v>telegram_external</v>
      </c>
      <c r="U197" s="6" t="str">
        <f>IFERROR(__xludf.DUMMYFUNCTION("""COMPUTED_VALUE"""),"Промо со скидкой")</f>
        <v>Промо со скидкой</v>
      </c>
      <c r="V197" s="6" t="str">
        <f>IFERROR(__xludf.DUMMYFUNCTION("""COMPUTED_VALUE"""),"")</f>
        <v/>
      </c>
      <c r="W197" s="6" t="str">
        <f>IFERROR(__xludf.DUMMYFUNCTION("""COMPUTED_VALUE"""),"")</f>
        <v/>
      </c>
      <c r="X197" s="6"/>
      <c r="Y197" s="6" t="str">
        <f>IFERROR(__xludf.DUMMYFUNCTION("""COMPUTED_VALUE"""),"https://t.me/postypashki_old/1879
https://t.me/postypashki_old/1875
https://t.me/m/p94YcePXNjcy
https://t.me/postypashki_old")</f>
        <v>https://t.me/postypashki_old/1879
https://t.me/postypashki_old/1875
https://t.me/m/p94YcePXNjcy
https://t.me/postypashki_old</v>
      </c>
      <c r="Z197" s="6" t="b">
        <f>IFERROR(__xludf.DUMMYFUNCTION("""COMPUTED_VALUE"""),TRUE)</f>
        <v>1</v>
      </c>
      <c r="AA197" s="6" t="str">
        <f>IFERROR(__xludf.DUMMYFUNCTION("""COMPUTED_VALUE"""),"")</f>
        <v/>
      </c>
      <c r="AB197" s="6" t="str">
        <f>IFERROR(__xludf.DUMMYFUNCTION("""COMPUTED_VALUE"""),"")</f>
        <v/>
      </c>
      <c r="AC197" s="6" t="str">
        <f>IFERROR(__xludf.DUMMYFUNCTION("""COMPUTED_VALUE"""),"")</f>
        <v/>
      </c>
      <c r="AD197" s="6" t="str">
        <f>IFERROR(__xludf.DUMMYFUNCTION("""COMPUTED_VALUE"""),"")</f>
        <v/>
      </c>
      <c r="AE197" s="6" t="str">
        <f>IFERROR(__xludf.DUMMYFUNCTION("""COMPUTED_VALUE"""),"")</f>
        <v/>
      </c>
      <c r="AF197" s="6" t="str">
        <f>IFERROR(__xludf.DUMMYFUNCTION("""COMPUTED_VALUE"""),"Не подтверждено")</f>
        <v>Не подтверждено</v>
      </c>
      <c r="AG197" s="6" t="str">
        <f>IFERROR(__xludf.DUMMYFUNCTION("""COMPUTED_VALUE"""),"")</f>
        <v/>
      </c>
      <c r="AH197" s="6" t="str">
        <f>IFERROR(__xludf.DUMMYFUNCTION("""COMPUTED_VALUE"""),"2026-09-11T11:47:34.275826+00:00")</f>
        <v>2026-09-11T11:47:34.275826+00:00</v>
      </c>
      <c r="AI197" s="6" t="str">
        <f>IFERROR(__xludf.DUMMYFUNCTION("""COMPUTED_VALUE"""),"raw/ProdAnalysis/page_000.html")</f>
        <v>raw/ProdAnalysis/page_000.html</v>
      </c>
      <c r="AJ197" s="9" t="s">
        <v>167</v>
      </c>
      <c r="AK197" s="9" t="s">
        <v>242</v>
      </c>
      <c r="AM197" s="9" t="s">
        <v>228</v>
      </c>
      <c r="AN197" s="4" t="str">
        <f>IFERROR(__xludf.DUMMYFUNCTION("IF(OR(AJ197=""general_brand"",AJ197=""external"",AJ197=""unknown""),"""",IF(AJ197=""product_line"",IF(AK197=""START"",""Аналитика старт | Алгоритмы старт | Backend старт | ML старт"",IF(AK197=""PRO"",""AI-агенты про | Алгоритмы про | Аналитика про | ML пр"&amp;"о | Backend про"",IF(AK197=""START | PRO"",""Аналитика старт | Алгоритмы старт | Backend старт | ML старт | AI-агенты про | Алгоритмы про | Аналитика про | ML про | Backend про"",""""))),TEXTJOIN("" | "",TRUE,IF(REGEXMATCH(LOWER(AL197&amp;"" | ""&amp;E197),""анал"&amp;"итика старт""),""Аналитика старт"",""""),IF(REGEXMATCH(LOWER(AL197&amp;"" | ""&amp;E197),""алгоритмы старт""),""Алгоритмы старт"",""""),IF(REGEXMATCH(LOWER(AL197&amp;"" | ""&amp;E197),""backend старт""),""Backend старт"",""""),IF(REGEXMATCH(LOWER(AL197&amp;"" | ""&amp;E197),""ml"&amp;" старт""),""ML старт"",""""),IF(REGEXMATCH(LOWER(AL197&amp;"" | ""&amp;E197),""ai[ -]?агент""),""AI-агенты про"",""""),IF(REGEXMATCH(LOWER(AL197&amp;"" | ""&amp;E197),""алгоритмы про""),""Алгоритмы про"",""""),IF(REGEXMATCH(LOWER(AL197&amp;"" | ""&amp;E197),""аналитика про""),"""&amp;"Аналитика про"",""""),IF(REGEXMATCH(LOWER(AL197&amp;"" | ""&amp;E197),""ml про""),""ML про"",""""),IF(REGEXMATCH(LOWER(AL197&amp;"" | ""&amp;E197),""backend про""),""Backend про"",""""),IF(REGEXMATCH(LOWER(AL197&amp;"" | ""&amp;E197),""(а/в|ав|а в|ab)[ -]?тест""),""А/В-тесты"","&amp;"""""),IF(REGEXMATCH(LOWER(AL197&amp;"" | ""&amp;E197),""data science""),""Data science"",""""),IF(REGEXMATCH(LOWER(AL197&amp;"" | ""&amp;E197),""data[- ]?инжен""),""Data-инженер"",""""),IF(REGEXMATCH(LOWER(AL197&amp;"" | ""&amp;E197),""frontend""),""Frontend"",""""))))"),"AI-агенты про | Алгоритмы про | Аналитика про | ML про | Backend про")</f>
        <v>AI-агенты про | Алгоритмы про | Аналитика про | ML про | Backend про</v>
      </c>
    </row>
    <row r="198">
      <c r="A198" s="6" t="str">
        <f>IFERROR(__xludf.DUMMYFUNCTION("""COMPUTED_VALUE"""),"EXT-98")</f>
        <v>EXT-98</v>
      </c>
      <c r="B198" s="6" t="str">
        <f>IFERROR(__xludf.DUMMYFUNCTION("""COMPUTED_VALUE"""),"2026-09-06 19:55:28")</f>
        <v>2026-09-06 19:55:28</v>
      </c>
      <c r="C198" s="6" t="str">
        <f>IFERROR(__xludf.DUMMYFUNCTION("""COMPUTED_VALUE"""),"@postypashki_mems")</f>
        <v>@postypashki_mems</v>
      </c>
      <c r="D198" s="4" t="str">
        <f>IFERROR(__xludf.DUMMYFUNCTION("""COMPUTED_VALUE"""),"Бесплатное событие / лид-магнит")</f>
        <v>Бесплатное событие / лид-магнит</v>
      </c>
      <c r="E198" s="6" t="str">
        <f>IFERROR(__xludf.DUMMYFUNCTION("""COMPUTED_VALUE"""),"")</f>
        <v/>
      </c>
      <c r="F198" s="6" t="str">
        <f>IFERROR(__xludf.DUMMYFUNCTION("""COMPUTED_VALUE"""),"")</f>
        <v/>
      </c>
      <c r="G198" s="10" t="str">
        <f>IFERROR(__xludf.DUMMYFUNCTION("""COMPUTED_VALUE"""),"https://t.me/postypashki_mems/1414")</f>
        <v>https://t.me/postypashki_mems/1414</v>
      </c>
      <c r="H198" s="6" t="str">
        <f>IFERROR(__xludf.DUMMYFUNCTION("""COMPUTED_VALUE"""),"Разбор экзамена на стажировку в Т-банк за подписку! 
Чтобы получить разбор:
➡️Подпишитесь на нас в запрещенной странице тут
➡️Поставьте «+» в комментариях под последней каруселью тут
➡️После этого бот пришлёт вам материал в директ
Внутри будет разбор эк"&amp;"замена и теста SQL на стажировку Т-банк")</f>
        <v>Разбор экзамена на стажировку в Т-банк за подписку! 
Чтобы получить разбор:
➡️Подпишитесь на нас в запрещенной странице тут
➡️Поставьте «+» в комментариях под последней каруселью тут
➡️После этого бот пришлёт вам материал в директ
Внутри будет разбор экзамена и теста SQL на стажировку Т-банк</v>
      </c>
      <c r="I198" s="6" t="str">
        <f>IFERROR(__xludf.DUMMYFUNCTION("""COMPUTED_VALUE"""),"external")</f>
        <v>external</v>
      </c>
      <c r="J198" s="10" t="str">
        <f>IFERROR(__xludf.DUMMYFUNCTION("""COMPUTED_VALUE"""),"https://t.me/postypashki_mems/1414")</f>
        <v>https://t.me/postypashki_mems/1414</v>
      </c>
      <c r="K198" s="6">
        <f>IFERROR(__xludf.DUMMYFUNCTION("""COMPUTED_VALUE"""),1150.0)</f>
        <v>1150</v>
      </c>
      <c r="L198" s="6">
        <f>IFERROR(__xludf.DUMMYFUNCTION("""COMPUTED_VALUE"""),1.0)</f>
        <v>1</v>
      </c>
      <c r="M198" s="6"/>
      <c r="N198" s="6" t="str">
        <f>IFERROR(__xludf.DUMMYFUNCTION("""COMPUTED_VALUE"""),"Telegram")</f>
        <v>Telegram</v>
      </c>
      <c r="O198" s="6" t="str">
        <f>IFERROR(__xludf.DUMMYFUNCTION("""COMPUTED_VALUE"""),"raw")</f>
        <v>raw</v>
      </c>
      <c r="P198" s="6" t="str">
        <f>IFERROR(__xludf.DUMMYFUNCTION("""COMPUTED_VALUE"""),"Codex")</f>
        <v>Codex</v>
      </c>
      <c r="Q198" s="6" t="str">
        <f>IFERROR(__xludf.DUMMYFUNCTION("""COMPUTED_VALUE"""),"Общий контакт @vice22821; признак связи с проектом")</f>
        <v>Общий контакт @vice22821; признак связи с проектом</v>
      </c>
      <c r="R198" s="6" t="str">
        <f>IFERROR(__xludf.DUMMYFUNCTION("""COMPUTED_VALUE"""),"unknown")</f>
        <v>unknown</v>
      </c>
      <c r="S198" s="6" t="str">
        <f>IFERROR(__xludf.DUMMYFUNCTION("""COMPUTED_VALUE"""),"unknown")</f>
        <v>unknown</v>
      </c>
      <c r="T198" s="6" t="str">
        <f>IFERROR(__xludf.DUMMYFUNCTION("""COMPUTED_VALUE"""),"telegram_external")</f>
        <v>telegram_external</v>
      </c>
      <c r="U198" s="6" t="str">
        <f>IFERROR(__xludf.DUMMYFUNCTION("""COMPUTED_VALUE"""),"Бесплатное событие / лид-магнит")</f>
        <v>Бесплатное событие / лид-магнит</v>
      </c>
      <c r="V198" s="6" t="str">
        <f>IFERROR(__xludf.DUMMYFUNCTION("""COMPUTED_VALUE"""),"")</f>
        <v/>
      </c>
      <c r="W198" s="6" t="str">
        <f>IFERROR(__xludf.DUMMYFUNCTION("""COMPUTED_VALUE"""),"")</f>
        <v/>
      </c>
      <c r="X198" s="6" t="str">
        <f>IFERROR(__xludf.DUMMYFUNCTION("""COMPUTED_VALUE"""),"Forwarded from Поступашки - ШАД, Стажировки и Магистратура")</f>
        <v>Forwarded from Поступашки - ШАД, Стажировки и Магистратура</v>
      </c>
      <c r="Y198" s="10" t="str">
        <f>IFERROR(__xludf.DUMMYFUNCTION("""COMPUTED_VALUE"""),"https://t.me/postypashki_old/1881")</f>
        <v>https://t.me/postypashki_old/1881</v>
      </c>
      <c r="Z198" s="6" t="b">
        <f>IFERROR(__xludf.DUMMYFUNCTION("""COMPUTED_VALUE"""),FALSE)</f>
        <v>0</v>
      </c>
      <c r="AA198" s="6" t="str">
        <f>IFERROR(__xludf.DUMMYFUNCTION("""COMPUTED_VALUE"""),"")</f>
        <v/>
      </c>
      <c r="AB198" s="6" t="str">
        <f>IFERROR(__xludf.DUMMYFUNCTION("""COMPUTED_VALUE"""),"")</f>
        <v/>
      </c>
      <c r="AC198" s="6" t="str">
        <f>IFERROR(__xludf.DUMMYFUNCTION("""COMPUTED_VALUE"""),"")</f>
        <v/>
      </c>
      <c r="AD198" s="6" t="str">
        <f>IFERROR(__xludf.DUMMYFUNCTION("""COMPUTED_VALUE"""),"")</f>
        <v/>
      </c>
      <c r="AE198" s="6" t="str">
        <f>IFERROR(__xludf.DUMMYFUNCTION("""COMPUTED_VALUE"""),"")</f>
        <v/>
      </c>
      <c r="AF198" s="6" t="str">
        <f>IFERROR(__xludf.DUMMYFUNCTION("""COMPUTED_VALUE"""),"Не подтверждено")</f>
        <v>Не подтверждено</v>
      </c>
      <c r="AG198" s="6" t="str">
        <f>IFERROR(__xludf.DUMMYFUNCTION("""COMPUTED_VALUE"""),"")</f>
        <v/>
      </c>
      <c r="AH198" s="6" t="str">
        <f>IFERROR(__xludf.DUMMYFUNCTION("""COMPUTED_VALUE"""),"2026-09-11T11:47:56.350687+00:00")</f>
        <v>2026-09-11T11:47:56.350687+00:00</v>
      </c>
      <c r="AI198" s="6" t="str">
        <f>IFERROR(__xludf.DUMMYFUNCTION("""COMPUTED_VALUE"""),"raw/postypashki_mems/page_000.html")</f>
        <v>raw/postypashki_mems/page_000.html</v>
      </c>
      <c r="AJ198" s="9" t="s">
        <v>208</v>
      </c>
      <c r="AM198" s="9" t="s">
        <v>228</v>
      </c>
      <c r="AN198" s="6" t="str">
        <f>IFERROR(__xludf.DUMMYFUNCTION("IF(OR(AJ198=""general_brand"",AJ198=""external"",AJ198=""unknown""),"""",IF(AJ198=""product_line"",IF(AK198=""START"",""Аналитика старт | Алгоритмы старт | Backend старт | ML старт"",IF(AK198=""PRO"",""AI-агенты про | Алгоритмы про | Аналитика про | ML пр"&amp;"о | Backend про"",IF(AK198=""START | PRO"",""Аналитика старт | Алгоритмы старт | Backend старт | ML старт | AI-агенты про | Алгоритмы про | Аналитика про | ML про | Backend про"",""""))),TEXTJOIN("" | "",TRUE,IF(REGEXMATCH(LOWER(AL198&amp;"" | ""&amp;E198),""анал"&amp;"итика старт""),""Аналитика старт"",""""),IF(REGEXMATCH(LOWER(AL198&amp;"" | ""&amp;E198),""алгоритмы старт""),""Алгоритмы старт"",""""),IF(REGEXMATCH(LOWER(AL198&amp;"" | ""&amp;E198),""backend старт""),""Backend старт"",""""),IF(REGEXMATCH(LOWER(AL198&amp;"" | ""&amp;E198),""ml"&amp;" старт""),""ML старт"",""""),IF(REGEXMATCH(LOWER(AL198&amp;"" | ""&amp;E198),""ai[ -]?агент""),""AI-агенты про"",""""),IF(REGEXMATCH(LOWER(AL198&amp;"" | ""&amp;E198),""алгоритмы про""),""Алгоритмы про"",""""),IF(REGEXMATCH(LOWER(AL198&amp;"" | ""&amp;E198),""аналитика про""),"""&amp;"Аналитика про"",""""),IF(REGEXMATCH(LOWER(AL198&amp;"" | ""&amp;E198),""ml про""),""ML про"",""""),IF(REGEXMATCH(LOWER(AL198&amp;"" | ""&amp;E198),""backend про""),""Backend про"",""""),IF(REGEXMATCH(LOWER(AL198&amp;"" | ""&amp;E198),""(а/в|ав|а в|ab)[ -]?тест""),""А/В-тесты"","&amp;"""""),IF(REGEXMATCH(LOWER(AL198&amp;"" | ""&amp;E198),""data science""),""Data science"",""""),IF(REGEXMATCH(LOWER(AL198&amp;"" | ""&amp;E198),""data[- ]?инжен""),""Data-инженер"",""""),IF(REGEXMATCH(LOWER(AL198&amp;"" | ""&amp;E198),""frontend""),""Frontend"",""""))))"),"")</f>
        <v/>
      </c>
    </row>
    <row r="199">
      <c r="A199" s="6" t="str">
        <f>IFERROR(__xludf.DUMMYFUNCTION("""COMPUTED_VALUE"""),"EXT-99")</f>
        <v>EXT-99</v>
      </c>
      <c r="B199" s="6" t="str">
        <f>IFERROR(__xludf.DUMMYFUNCTION("""COMPUTED_VALUE"""),"2026-09-07 16:01:19")</f>
        <v>2026-09-07 16:01:19</v>
      </c>
      <c r="C199" s="6" t="str">
        <f>IFERROR(__xludf.DUMMYFUNCTION("""COMPUTED_VALUE"""),"@ProdAnalysis")</f>
        <v>@ProdAnalysis</v>
      </c>
      <c r="D199" s="4" t="str">
        <f>IFERROR(__xludf.DUMMYFUNCTION("""COMPUTED_VALUE"""),"Бесплатное событие / лид-магнит")</f>
        <v>Бесплатное событие / лид-магнит</v>
      </c>
      <c r="E199" s="6" t="str">
        <f>IFERROR(__xludf.DUMMYFUNCTION("""COMPUTED_VALUE"""),"")</f>
        <v/>
      </c>
      <c r="F199" s="6" t="str">
        <f>IFERROR(__xludf.DUMMYFUNCTION("""COMPUTED_VALUE"""),"")</f>
        <v/>
      </c>
      <c r="G199" s="10" t="str">
        <f>IFERROR(__xludf.DUMMYFUNCTION("""COMPUTED_VALUE"""),"https://t.me/ProdAnalysis/167")</f>
        <v>https://t.me/ProdAnalysis/167</v>
      </c>
      <c r="H199" s="6" t="str">
        <f>IFERROR(__xludf.DUMMYFUNCTION("""COMPUTED_VALUE"""),"Уметь считать ≠ уметь анализировать
С 7 по 13 сентября проводим бесплатную неделю «Аналитика вне SQL» — мини-симулятор реальной работы аналитика.
Можно нормально знать SQL, статистику, Python, строить дашборды — и всё равно теряться, когда на собеседова"&amp;"нии или на работе тебя спрашивают:
«У нас упала выручка. Разберись, почему».
Потому что в реальной работе сначала нужно понять, что происходит с бизнесом, какой вопрос мы решаем и какое решение должно появиться на выходе.
За 7 дней вы:
⏩решите 3 проду"&amp;"ктовых кейса — от бизнес-задачи до решения
⏩ встретитесь с HR, который работал в X5 и Яндексе и нанимал людей от стажёров до топ-менеджеров
⏩ поговорите с senior-аналитиком Avito о том, как меняется работа аналитика по мере роста
⏩ поучаствуете в первом а"&amp;"налитическом хакатоне Поступашек
На хакатоне вы соберётесь в команды, получите реальный продуктовый кейс и за выходные пройдёте весь путь аналитика: разберётесь в проблеме, поработаете с данными, предложите решение и защитите его.
💰 Приз — 30 000 ₽
Ку"&amp;"рс подойдёт и новичкам, и действующим аналитикам, которые хотят лучше понимать продукт и бизнес, увереннее решать неструктурированные задачи и расти дальше.
Все кейсы, встречи, записи и материалы будут в отдельном закрытом канале.
Участие бесплатное. Пе"&amp;"рвое занятие уже сегодня в 19:00 
📌 Присоединиться на курс по ссылке https://t.me/+j_RdPEr7JudjNWM0")</f>
        <v>Уметь считать ≠ уметь анализировать
С 7 по 13 сентября проводим бесплатную неделю «Аналитика вне SQL» — мини-симулятор реальной работы аналитика.
Можно нормально знать SQL, статистику, Python, строить дашборды — и всё равно теряться, когда на собеседовании или на работе тебя спрашивают:
«У нас упала выручка. Разберись, почему».
Потому что в реальной работе сначала нужно понять, что происходит с бизнесом, какой вопрос мы решаем и какое решение должно появиться на выходе.
За 7 дней вы:
⏩решите 3 продуктовых кейса — от бизнес-задачи до решения
⏩ встретитесь с HR, который работал в X5 и Яндексе и нанимал людей от стажёров до топ-менеджеров
⏩ поговорите с senior-аналитиком Avito о том, как меняется работа аналитика по мере роста
⏩ поучаствуете в первом аналитическом хакатоне Поступашек
На хакатоне вы соберётесь в команды, получите реальный продуктовый кейс и за выходные пройдёте весь путь аналитика: разберётесь в проблеме, поработаете с данными, предложите решение и защитите его.
💰 Приз — 30 000 ₽
Курс подойдёт и новичкам, и действующим аналитикам, которые хотят лучше понимать продукт и бизнес, увереннее решать неструктурированные задачи и расти дальше.
Все кейсы, встречи, записи и материалы будут в отдельном закрытом канале.
Участие бесплатное. Первое занятие уже сегодня в 19:00 
📌 Присоединиться на курс по ссылке https://t.me/+j_RdPEr7JudjNWM0</v>
      </c>
      <c r="I199" s="6" t="str">
        <f>IFERROR(__xludf.DUMMYFUNCTION("""COMPUTED_VALUE"""),"external")</f>
        <v>external</v>
      </c>
      <c r="J199" s="10" t="str">
        <f>IFERROR(__xludf.DUMMYFUNCTION("""COMPUTED_VALUE"""),"https://t.me/ProdAnalysis/167")</f>
        <v>https://t.me/ProdAnalysis/167</v>
      </c>
      <c r="K199" s="6">
        <f>IFERROR(__xludf.DUMMYFUNCTION("""COMPUTED_VALUE"""),359.0)</f>
        <v>359</v>
      </c>
      <c r="L199" s="6">
        <f>IFERROR(__xludf.DUMMYFUNCTION("""COMPUTED_VALUE"""),1.0)</f>
        <v>1</v>
      </c>
      <c r="M199" s="6"/>
      <c r="N199" s="6" t="str">
        <f>IFERROR(__xludf.DUMMYFUNCTION("""COMPUTED_VALUE"""),"Telegram")</f>
        <v>Telegram</v>
      </c>
      <c r="O199" s="6" t="str">
        <f>IFERROR(__xludf.DUMMYFUNCTION("""COMPUTED_VALUE"""),"raw")</f>
        <v>raw</v>
      </c>
      <c r="P199" s="6" t="str">
        <f>IFERROR(__xludf.DUMMYFUNCTION("""COMPUTED_VALUE"""),"Codex")</f>
        <v>Codex</v>
      </c>
      <c r="Q199" s="6" t="str">
        <f>IFERROR(__xludf.DUMMYFUNCTION("""COMPUTED_VALUE"""),"Общий контакт @vice22821; признак связи с проектом")</f>
        <v>Общий контакт @vice22821; признак связи с проектом</v>
      </c>
      <c r="R199" s="6" t="str">
        <f>IFERROR(__xludf.DUMMYFUNCTION("""COMPUTED_VALUE"""),"unknown")</f>
        <v>unknown</v>
      </c>
      <c r="S199" s="6" t="str">
        <f>IFERROR(__xludf.DUMMYFUNCTION("""COMPUTED_VALUE"""),"unknown")</f>
        <v>unknown</v>
      </c>
      <c r="T199" s="6" t="str">
        <f>IFERROR(__xludf.DUMMYFUNCTION("""COMPUTED_VALUE"""),"telegram_external")</f>
        <v>telegram_external</v>
      </c>
      <c r="U199" s="6" t="str">
        <f>IFERROR(__xludf.DUMMYFUNCTION("""COMPUTED_VALUE"""),"Бесплатное событие / лид-магнит")</f>
        <v>Бесплатное событие / лид-магнит</v>
      </c>
      <c r="V199" s="6" t="str">
        <f>IFERROR(__xludf.DUMMYFUNCTION("""COMPUTED_VALUE"""),"")</f>
        <v/>
      </c>
      <c r="W199" s="6" t="str">
        <f>IFERROR(__xludf.DUMMYFUNCTION("""COMPUTED_VALUE"""),"")</f>
        <v/>
      </c>
      <c r="X199" s="6" t="str">
        <f>IFERROR(__xludf.DUMMYFUNCTION("""COMPUTED_VALUE"""),"Forwarded from Поступашки - ШАД, Стажировки и Магистратура")</f>
        <v>Forwarded from Поступашки - ШАД, Стажировки и Магистратура</v>
      </c>
      <c r="Y199" s="10" t="str">
        <f>IFERROR(__xludf.DUMMYFUNCTION("""COMPUTED_VALUE"""),"https://t.me/postypashki_old/1887")</f>
        <v>https://t.me/postypashki_old/1887</v>
      </c>
      <c r="Z199" s="6" t="b">
        <f>IFERROR(__xludf.DUMMYFUNCTION("""COMPUTED_VALUE"""),TRUE)</f>
        <v>1</v>
      </c>
      <c r="AA199" s="6" t="str">
        <f>IFERROR(__xludf.DUMMYFUNCTION("""COMPUTED_VALUE"""),"")</f>
        <v/>
      </c>
      <c r="AB199" s="6" t="str">
        <f>IFERROR(__xludf.DUMMYFUNCTION("""COMPUTED_VALUE"""),"")</f>
        <v/>
      </c>
      <c r="AC199" s="6" t="str">
        <f>IFERROR(__xludf.DUMMYFUNCTION("""COMPUTED_VALUE"""),"")</f>
        <v/>
      </c>
      <c r="AD199" s="6" t="str">
        <f>IFERROR(__xludf.DUMMYFUNCTION("""COMPUTED_VALUE"""),"")</f>
        <v/>
      </c>
      <c r="AE199" s="6" t="str">
        <f>IFERROR(__xludf.DUMMYFUNCTION("""COMPUTED_VALUE"""),"")</f>
        <v/>
      </c>
      <c r="AF199" s="6" t="str">
        <f>IFERROR(__xludf.DUMMYFUNCTION("""COMPUTED_VALUE"""),"Не подтверждено")</f>
        <v>Не подтверждено</v>
      </c>
      <c r="AG199" s="6" t="str">
        <f>IFERROR(__xludf.DUMMYFUNCTION("""COMPUTED_VALUE"""),"")</f>
        <v/>
      </c>
      <c r="AH199" s="6" t="str">
        <f>IFERROR(__xludf.DUMMYFUNCTION("""COMPUTED_VALUE"""),"2026-09-11T11:47:34.275826+00:00")</f>
        <v>2026-09-11T11:47:34.275826+00:00</v>
      </c>
      <c r="AI199" s="6" t="str">
        <f>IFERROR(__xludf.DUMMYFUNCTION("""COMPUTED_VALUE"""),"raw/ProdAnalysis/page_000.html")</f>
        <v>raw/ProdAnalysis/page_000.html</v>
      </c>
      <c r="AJ199" s="9" t="s">
        <v>224</v>
      </c>
      <c r="AL199" s="9" t="s">
        <v>248</v>
      </c>
      <c r="AM199" s="9" t="s">
        <v>228</v>
      </c>
      <c r="AN199" s="4" t="str">
        <f>IFERROR(__xludf.DUMMYFUNCTION("IF(OR(AJ199=""general_brand"",AJ199=""external"",AJ199=""unknown""),"""",IF(AJ199=""product_line"",IF(AK199=""START"",""Аналитика старт | Алгоритмы старт | Backend старт | ML старт"",IF(AK199=""PRO"",""AI-агенты про | Алгоритмы про | Аналитика про | ML пр"&amp;"о | Backend про"",IF(AK199=""START | PRO"",""Аналитика старт | Алгоритмы старт | Backend старт | ML старт | AI-агенты про | Алгоритмы про | Аналитика про | ML про | Backend про"",""""))),TEXTJOIN("" | "",TRUE,IF(REGEXMATCH(LOWER(AL199&amp;"" | ""&amp;E199),""анал"&amp;"итика старт""),""Аналитика старт"",""""),IF(REGEXMATCH(LOWER(AL199&amp;"" | ""&amp;E199),""алгоритмы старт""),""Алгоритмы старт"",""""),IF(REGEXMATCH(LOWER(AL199&amp;"" | ""&amp;E199),""backend старт""),""Backend старт"",""""),IF(REGEXMATCH(LOWER(AL199&amp;"" | ""&amp;E199),""ml"&amp;" старт""),""ML старт"",""""),IF(REGEXMATCH(LOWER(AL199&amp;"" | ""&amp;E199),""ai[ -]?агент""),""AI-агенты про"",""""),IF(REGEXMATCH(LOWER(AL199&amp;"" | ""&amp;E199),""алгоритмы про""),""Алгоритмы про"",""""),IF(REGEXMATCH(LOWER(AL199&amp;"" | ""&amp;E199),""аналитика про""),"""&amp;"Аналитика про"",""""),IF(REGEXMATCH(LOWER(AL199&amp;"" | ""&amp;E199),""ml про""),""ML про"",""""),IF(REGEXMATCH(LOWER(AL199&amp;"" | ""&amp;E199),""backend про""),""Backend про"",""""),IF(REGEXMATCH(LOWER(AL199&amp;"" | ""&amp;E199),""(а/в|ав|а в|ab)[ -]?тест""),""А/В-тесты"","&amp;"""""),IF(REGEXMATCH(LOWER(AL199&amp;"" | ""&amp;E199),""data science""),""Data science"",""""),IF(REGEXMATCH(LOWER(AL199&amp;"" | ""&amp;E199),""data[- ]?инжен""),""Data-инженер"",""""),IF(REGEXMATCH(LOWER(AL199&amp;"" | ""&amp;E199),""frontend""),""Frontend"",""""))))"),"")</f>
        <v/>
      </c>
    </row>
    <row r="200">
      <c r="A200" s="6" t="str">
        <f>IFERROR(__xludf.DUMMYFUNCTION("""COMPUTED_VALUE"""),"EXT-100")</f>
        <v>EXT-100</v>
      </c>
      <c r="B200" s="6" t="str">
        <f>IFERROR(__xludf.DUMMYFUNCTION("""COMPUTED_VALUE"""),"2026-09-07 18:52:26")</f>
        <v>2026-09-07 18:52:26</v>
      </c>
      <c r="C200" s="6" t="str">
        <f>IFERROR(__xludf.DUMMYFUNCTION("""COMPUTED_VALUE"""),"@ProdAnalysis")</f>
        <v>@ProdAnalysis</v>
      </c>
      <c r="D200" s="4" t="str">
        <f>IFERROR(__xludf.DUMMYFUNCTION("""COMPUTED_VALUE"""),"Бесплатное событие / лид-магнит")</f>
        <v>Бесплатное событие / лид-магнит</v>
      </c>
      <c r="E200" s="6" t="str">
        <f>IFERROR(__xludf.DUMMYFUNCTION("""COMPUTED_VALUE"""),"")</f>
        <v/>
      </c>
      <c r="F200" s="6" t="str">
        <f>IFERROR(__xludf.DUMMYFUNCTION("""COMPUTED_VALUE"""),"")</f>
        <v/>
      </c>
      <c r="G200" s="10" t="str">
        <f>IFERROR(__xludf.DUMMYFUNCTION("""COMPUTED_VALUE"""),"https://t.me/ProdAnalysis/172")</f>
        <v>https://t.me/ProdAnalysis/172</v>
      </c>
      <c r="H200" s="6" t="str">
        <f>IFERROR(__xludf.DUMMYFUNCTION("""COMPUTED_VALUE"""),"Товарищи, ждем вас в 19:00 на нашем первом занятии на курсе Аналитика вне SQL
Будем обсуждать, как бизнес и аналитика связаны между собой, а также решим продуктовый кейс
Личное приглашение от куратора курса ниже 👇🏻 
Ссылка на встречу в канале курса")</f>
        <v>Товарищи, ждем вас в 19:00 на нашем первом занятии на курсе Аналитика вне SQL
Будем обсуждать, как бизнес и аналитика связаны между собой, а также решим продуктовый кейс
Личное приглашение от куратора курса ниже 👇🏻 
Ссылка на встречу в канале курса</v>
      </c>
      <c r="I200" s="6" t="str">
        <f>IFERROR(__xludf.DUMMYFUNCTION("""COMPUTED_VALUE"""),"external")</f>
        <v>external</v>
      </c>
      <c r="J200" s="10" t="str">
        <f>IFERROR(__xludf.DUMMYFUNCTION("""COMPUTED_VALUE"""),"https://t.me/ProdAnalysis/172")</f>
        <v>https://t.me/ProdAnalysis/172</v>
      </c>
      <c r="K200" s="6">
        <f>IFERROR(__xludf.DUMMYFUNCTION("""COMPUTED_VALUE"""),646.0)</f>
        <v>646</v>
      </c>
      <c r="L200" s="6"/>
      <c r="M200" s="6"/>
      <c r="N200" s="6" t="str">
        <f>IFERROR(__xludf.DUMMYFUNCTION("""COMPUTED_VALUE"""),"Telegram")</f>
        <v>Telegram</v>
      </c>
      <c r="O200" s="6" t="str">
        <f>IFERROR(__xludf.DUMMYFUNCTION("""COMPUTED_VALUE"""),"raw")</f>
        <v>raw</v>
      </c>
      <c r="P200" s="6" t="str">
        <f>IFERROR(__xludf.DUMMYFUNCTION("""COMPUTED_VALUE"""),"Codex")</f>
        <v>Codex</v>
      </c>
      <c r="Q200" s="6" t="str">
        <f>IFERROR(__xludf.DUMMYFUNCTION("""COMPUTED_VALUE"""),"Общий контакт @vice22821; признак связи с проектом")</f>
        <v>Общий контакт @vice22821; признак связи с проектом</v>
      </c>
      <c r="R200" s="6" t="str">
        <f>IFERROR(__xludf.DUMMYFUNCTION("""COMPUTED_VALUE"""),"unknown")</f>
        <v>unknown</v>
      </c>
      <c r="S200" s="6" t="str">
        <f>IFERROR(__xludf.DUMMYFUNCTION("""COMPUTED_VALUE"""),"unknown")</f>
        <v>unknown</v>
      </c>
      <c r="T200" s="6" t="str">
        <f>IFERROR(__xludf.DUMMYFUNCTION("""COMPUTED_VALUE"""),"telegram_external")</f>
        <v>telegram_external</v>
      </c>
      <c r="U200" s="6" t="str">
        <f>IFERROR(__xludf.DUMMYFUNCTION("""COMPUTED_VALUE"""),"Бесплатное событие / лид-магнит")</f>
        <v>Бесплатное событие / лид-магнит</v>
      </c>
      <c r="V200" s="6" t="str">
        <f>IFERROR(__xludf.DUMMYFUNCTION("""COMPUTED_VALUE"""),"")</f>
        <v/>
      </c>
      <c r="W200" s="6" t="str">
        <f>IFERROR(__xludf.DUMMYFUNCTION("""COMPUTED_VALUE"""),"")</f>
        <v/>
      </c>
      <c r="X200" s="6"/>
      <c r="Y200" s="10" t="str">
        <f>IFERROR(__xludf.DUMMYFUNCTION("""COMPUTED_VALUE"""),"https://t.me/postypashki_old/1887")</f>
        <v>https://t.me/postypashki_old/1887</v>
      </c>
      <c r="Z200" s="6" t="b">
        <f>IFERROR(__xludf.DUMMYFUNCTION("""COMPUTED_VALUE"""),FALSE)</f>
        <v>0</v>
      </c>
      <c r="AA200" s="6" t="str">
        <f>IFERROR(__xludf.DUMMYFUNCTION("""COMPUTED_VALUE"""),"")</f>
        <v/>
      </c>
      <c r="AB200" s="6" t="str">
        <f>IFERROR(__xludf.DUMMYFUNCTION("""COMPUTED_VALUE"""),"")</f>
        <v/>
      </c>
      <c r="AC200" s="6" t="str">
        <f>IFERROR(__xludf.DUMMYFUNCTION("""COMPUTED_VALUE"""),"")</f>
        <v/>
      </c>
      <c r="AD200" s="6" t="str">
        <f>IFERROR(__xludf.DUMMYFUNCTION("""COMPUTED_VALUE"""),"")</f>
        <v/>
      </c>
      <c r="AE200" s="6" t="str">
        <f>IFERROR(__xludf.DUMMYFUNCTION("""COMPUTED_VALUE"""),"")</f>
        <v/>
      </c>
      <c r="AF200" s="6" t="str">
        <f>IFERROR(__xludf.DUMMYFUNCTION("""COMPUTED_VALUE"""),"Не подтверждено")</f>
        <v>Не подтверждено</v>
      </c>
      <c r="AG200" s="6" t="str">
        <f>IFERROR(__xludf.DUMMYFUNCTION("""COMPUTED_VALUE"""),"")</f>
        <v/>
      </c>
      <c r="AH200" s="6" t="str">
        <f>IFERROR(__xludf.DUMMYFUNCTION("""COMPUTED_VALUE"""),"2026-09-11T11:47:34.275826+00:00")</f>
        <v>2026-09-11T11:47:34.275826+00:00</v>
      </c>
      <c r="AI200" s="6" t="str">
        <f>IFERROR(__xludf.DUMMYFUNCTION("""COMPUTED_VALUE"""),"raw/ProdAnalysis/page_000.html")</f>
        <v>raw/ProdAnalysis/page_000.html</v>
      </c>
      <c r="AJ200" s="9" t="s">
        <v>224</v>
      </c>
      <c r="AL200" s="9" t="s">
        <v>248</v>
      </c>
      <c r="AM200" s="9" t="s">
        <v>228</v>
      </c>
      <c r="AN200" s="4" t="str">
        <f>IFERROR(__xludf.DUMMYFUNCTION("IF(OR(AJ200=""general_brand"",AJ200=""external"",AJ200=""unknown""),"""",IF(AJ200=""product_line"",IF(AK200=""START"",""Аналитика старт | Алгоритмы старт | Backend старт | ML старт"",IF(AK200=""PRO"",""AI-агенты про | Алгоритмы про | Аналитика про | ML пр"&amp;"о | Backend про"",IF(AK200=""START | PRO"",""Аналитика старт | Алгоритмы старт | Backend старт | ML старт | AI-агенты про | Алгоритмы про | Аналитика про | ML про | Backend про"",""""))),TEXTJOIN("" | "",TRUE,IF(REGEXMATCH(LOWER(AL200&amp;"" | ""&amp;E200),""анал"&amp;"итика старт""),""Аналитика старт"",""""),IF(REGEXMATCH(LOWER(AL200&amp;"" | ""&amp;E200),""алгоритмы старт""),""Алгоритмы старт"",""""),IF(REGEXMATCH(LOWER(AL200&amp;"" | ""&amp;E200),""backend старт""),""Backend старт"",""""),IF(REGEXMATCH(LOWER(AL200&amp;"" | ""&amp;E200),""ml"&amp;" старт""),""ML старт"",""""),IF(REGEXMATCH(LOWER(AL200&amp;"" | ""&amp;E200),""ai[ -]?агент""),""AI-агенты про"",""""),IF(REGEXMATCH(LOWER(AL200&amp;"" | ""&amp;E200),""алгоритмы про""),""Алгоритмы про"",""""),IF(REGEXMATCH(LOWER(AL200&amp;"" | ""&amp;E200),""аналитика про""),"""&amp;"Аналитика про"",""""),IF(REGEXMATCH(LOWER(AL200&amp;"" | ""&amp;E200),""ml про""),""ML про"",""""),IF(REGEXMATCH(LOWER(AL200&amp;"" | ""&amp;E200),""backend про""),""Backend про"",""""),IF(REGEXMATCH(LOWER(AL200&amp;"" | ""&amp;E200),""(а/в|ав|а в|ab)[ -]?тест""),""А/В-тесты"","&amp;"""""),IF(REGEXMATCH(LOWER(AL200&amp;"" | ""&amp;E200),""data science""),""Data science"",""""),IF(REGEXMATCH(LOWER(AL200&amp;"" | ""&amp;E200),""data[- ]?инжен""),""Data-инженер"",""""),IF(REGEXMATCH(LOWER(AL200&amp;"" | ""&amp;E200),""frontend""),""Frontend"",""""))))"),"")</f>
        <v/>
      </c>
    </row>
    <row r="201">
      <c r="A201" s="6" t="str">
        <f>IFERROR(__xludf.DUMMYFUNCTION("""COMPUTED_VALUE"""),"EXT-101")</f>
        <v>EXT-101</v>
      </c>
      <c r="B201" s="6" t="str">
        <f>IFERROR(__xludf.DUMMYFUNCTION("""COMPUTED_VALUE"""),"2026-09-07 21:04:34")</f>
        <v>2026-09-07 21:04:34</v>
      </c>
      <c r="C201" s="6" t="str">
        <f>IFERROR(__xludf.DUMMYFUNCTION("""COMPUTED_VALUE"""),"@ProdAnalysis")</f>
        <v>@ProdAnalysis</v>
      </c>
      <c r="D201" s="4" t="str">
        <f>IFERROR(__xludf.DUMMYFUNCTION("""COMPUTED_VALUE"""),"Контент с предложением курсов")</f>
        <v>Контент с предложением курсов</v>
      </c>
      <c r="E201" s="6" t="str">
        <f>IFERROR(__xludf.DUMMYFUNCTION("""COMPUTED_VALUE"""),"")</f>
        <v/>
      </c>
      <c r="F201" s="6" t="str">
        <f>IFERROR(__xludf.DUMMYFUNCTION("""COMPUTED_VALUE"""),"")</f>
        <v/>
      </c>
      <c r="G201" s="10" t="str">
        <f>IFERROR(__xludf.DUMMYFUNCTION("""COMPUTED_VALUE"""),"https://t.me/ProdAnalysis/174")</f>
        <v>https://t.me/ProdAnalysis/174</v>
      </c>
      <c r="H201" s="6" t="str">
        <f>IFERROR(__xludf.DUMMYFUNCTION("""COMPUTED_VALUE"""),"Стажировка в Яндексе одна из лучших возможностей для старта в аналитике: 
• МНОГО КРАСИВЫХ СВОБОДНЫХ ЖЕНЩИН 
• специалисты высокого класса
• зарплаты в среднем выше рынка 
• современный стек и проекты 
• хорошо выстроены процессы 
• корпоративная культур"&amp;"а
Для участия нужно подать анкету заполнить анкету и зарешать контест. Разбор контеста уже выложен на нашем курсе аналитика про. 
➡ Записаться. 
Как заполнять анкеты смотрим этот ролик. После контеста вас ждет собес на код (sql, python, алгосы) и бизнес"&amp;"с кейс, задачи по математике, статистике. Формат немного поменялся, отдельного собеса по алгосам ""больше нет"". И наконец собеседования с командами. На моем опыте максимально, сколько может быть собесов с командой - 9.
Финальные собесы
Если команда точн"&amp;"о понимает, что им нужен стажёр закрыть пару дыр и после он не нужен, то собес больше про твой опыт, почему Яндекс, как планируешь совмещать с учебой, а что будешь делать, если стажку не продлим/не возьмём в штат. Такие больше на метч с командой и посмотр"&amp;"еть не будешь ли ты ныть, что на стажке будешь заниматься скучной фигней, расскажут какой есть пул задач и спросят, что из этого интересно.
Если команде нужен специалист, которого они хотят растить, то собес посерьезней из разряда: продуктовый кейс, мате"&amp;"матические задачи, лайвкодинг и тд. Пример нашего выпускника можно посмотреть здесь.  
Конкретнее все зависит от того, кто собесит: chill guy или факер. Выбирайте команду с умом, ее можно поменять.
По итогу еще раз многое зависит от команды и кто собес"&amp;"ит. Выбирайте команду с умом, ее можно поменять. 
Штат 
Можно сразу на финале спросить, а будут ли места в штате. Конечно обмануть могут, но за вопрос денег не берут и пусть сила вам подскажет. 
После стажировки есть несколько вариантов: 
1. Если плохой"&amp;" отзыв от команды и говорят «уходи», то нужно заново проходить все собесы на стажера 
2. Могут сказать, что ты не очень и иди на стажировку снова (без собесов, только финалы) 
3. Можешь пойти в штат:
а) ты классный - можешь пойти к нам на миддла (но нужно"&amp;" опять пройти АА, потом финалы), если не пройдешь, то возьмут на джуна
б) ты не дотягиваешь до миддла - ты джун и если команда не готова взять джуна, то нужно идти искать, кто может взять к себе джуна самому 
в) можно искать, кто готов взять к себе миддла"&amp;"/джуна и врубать свои навыки социальной инженерии на максимум 
При идеальном мэтче, вы в Яндексе - поздравляю! 
Подписаться: @ProdAnalysis")</f>
        <v>Стажировка в Яндексе одна из лучших возможностей для старта в аналитике: 
• МНОГО КРАСИВЫХ СВОБОДНЫХ ЖЕНЩИН 
• специалисты высокого класса
• зарплаты в среднем выше рынка 
• современный стек и проекты 
• хорошо выстроены процессы 
• корпоративная культура
Для участия нужно подать анкету заполнить анкету и зарешать контест. Разбор контеста уже выложен на нашем курсе аналитика про. 
➡ Записаться. 
Как заполнять анкеты смотрим этот ролик. После контеста вас ждет собес на код (sql, python, алгосы) и бизнесс кейс, задачи по математике, статистике. Формат немного поменялся, отдельного собеса по алгосам "больше нет". И наконец собеседования с командами. На моем опыте максимально, сколько может быть собесов с командой - 9.
Финальные собесы
Если команда точно понимает, что им нужен стажёр закрыть пару дыр и после он не нужен, то собес больше про твой опыт, почему Яндекс, как планируешь совмещать с учебой, а что будешь делать, если стажку не продлим/не возьмём в штат. Такие больше на метч с командой и посмотреть не будешь ли ты ныть, что на стажке будешь заниматься скучной фигней, расскажут какой есть пул задач и спросят, что из этого интересно.
Если команде нужен специалист, которого они хотят растить, то собес посерьезней из разряда: продуктовый кейс, математические задачи, лайвкодинг и тд. Пример нашего выпускника можно посмотреть здесь.  
Конкретнее все зависит от того, кто собесит: chill guy или факер. Выбирайте команду с умом, ее можно поменять.
По итогу еще раз многое зависит от команды и кто собесит. Выбирайте команду с умом, ее можно поменять. 
Штат 
Можно сразу на финале спросить, а будут ли места в штате. Конечно обмануть могут, но за вопрос денег не берут и пусть сила вам подскажет. 
После стажировки есть несколько вариантов: 
1. Если плохой отзыв от команды и говорят «уходи», то нужно заново проходить все собесы на стажера 
2. Могут сказать, что ты не очень и иди на стажировку снова (без собесов, только финалы) 
3. Можешь пойти в штат:
а) ты классный - можешь пойти к нам на миддла (но нужно опять пройти АА, потом финалы), если не пройдешь, то возьмут на джуна
б) ты не дотягиваешь до миддла - ты джун и если команда не готова взять джуна, то нужно идти искать, кто может взять к себе джуна самому 
в) можно искать, кто готов взять к себе миддла/джуна и врубать свои навыки социальной инженерии на максимум 
При идеальном мэтче, вы в Яндексе - поздравляю! 
Подписаться: @ProdAnalysis</v>
      </c>
      <c r="I201" s="6" t="str">
        <f>IFERROR(__xludf.DUMMYFUNCTION("""COMPUTED_VALUE"""),"external")</f>
        <v>external</v>
      </c>
      <c r="J201" s="10" t="str">
        <f>IFERROR(__xludf.DUMMYFUNCTION("""COMPUTED_VALUE"""),"https://t.me/ProdAnalysis/174")</f>
        <v>https://t.me/ProdAnalysis/174</v>
      </c>
      <c r="K201" s="6">
        <f>IFERROR(__xludf.DUMMYFUNCTION("""COMPUTED_VALUE"""),3430.0)</f>
        <v>3430</v>
      </c>
      <c r="L201" s="6">
        <f>IFERROR(__xludf.DUMMYFUNCTION("""COMPUTED_VALUE"""),12.0)</f>
        <v>12</v>
      </c>
      <c r="M201" s="6"/>
      <c r="N201" s="6" t="str">
        <f>IFERROR(__xludf.DUMMYFUNCTION("""COMPUTED_VALUE"""),"Telegram")</f>
        <v>Telegram</v>
      </c>
      <c r="O201" s="6" t="str">
        <f>IFERROR(__xludf.DUMMYFUNCTION("""COMPUTED_VALUE"""),"raw")</f>
        <v>raw</v>
      </c>
      <c r="P201" s="6" t="str">
        <f>IFERROR(__xludf.DUMMYFUNCTION("""COMPUTED_VALUE"""),"Codex")</f>
        <v>Codex</v>
      </c>
      <c r="Q201" s="6" t="str">
        <f>IFERROR(__xludf.DUMMYFUNCTION("""COMPUTED_VALUE"""),"Общий контакт @vice22821; признак связи с проектом")</f>
        <v>Общий контакт @vice22821; признак связи с проектом</v>
      </c>
      <c r="R201" s="6" t="str">
        <f>IFERROR(__xludf.DUMMYFUNCTION("""COMPUTED_VALUE"""),"unknown")</f>
        <v>unknown</v>
      </c>
      <c r="S201" s="6" t="str">
        <f>IFERROR(__xludf.DUMMYFUNCTION("""COMPUTED_VALUE"""),"unknown")</f>
        <v>unknown</v>
      </c>
      <c r="T201" s="6" t="str">
        <f>IFERROR(__xludf.DUMMYFUNCTION("""COMPUTED_VALUE"""),"telegram_external")</f>
        <v>telegram_external</v>
      </c>
      <c r="U201" s="6" t="str">
        <f>IFERROR(__xludf.DUMMYFUNCTION("""COMPUTED_VALUE"""),"Контент с предложением курсов")</f>
        <v>Контент с предложением курсов</v>
      </c>
      <c r="V201" s="6" t="str">
        <f>IFERROR(__xludf.DUMMYFUNCTION("""COMPUTED_VALUE"""),"")</f>
        <v/>
      </c>
      <c r="W201" s="6" t="str">
        <f>IFERROR(__xludf.DUMMYFUNCTION("""COMPUTED_VALUE"""),"")</f>
        <v/>
      </c>
      <c r="X201" s="6"/>
      <c r="Y201" s="6" t="str">
        <f>IFERROR(__xludf.DUMMYFUNCTION("""COMPUTED_VALUE"""),"https://t.me/postypashki_old/1872
https://t.me/postypashki_old/1859
https://t.me/m/p94YcePXNjcy
https://t.me/postypashki_old/1316")</f>
        <v>https://t.me/postypashki_old/1872
https://t.me/postypashki_old/1859
https://t.me/m/p94YcePXNjcy
https://t.me/postypashki_old/1316</v>
      </c>
      <c r="Z201" s="6" t="b">
        <f>IFERROR(__xludf.DUMMYFUNCTION("""COMPUTED_VALUE"""),TRUE)</f>
        <v>1</v>
      </c>
      <c r="AA201" s="6" t="str">
        <f>IFERROR(__xludf.DUMMYFUNCTION("""COMPUTED_VALUE"""),"")</f>
        <v/>
      </c>
      <c r="AB201" s="6" t="str">
        <f>IFERROR(__xludf.DUMMYFUNCTION("""COMPUTED_VALUE"""),"")</f>
        <v/>
      </c>
      <c r="AC201" s="6" t="str">
        <f>IFERROR(__xludf.DUMMYFUNCTION("""COMPUTED_VALUE"""),"")</f>
        <v/>
      </c>
      <c r="AD201" s="6" t="str">
        <f>IFERROR(__xludf.DUMMYFUNCTION("""COMPUTED_VALUE"""),"")</f>
        <v/>
      </c>
      <c r="AE201" s="6" t="str">
        <f>IFERROR(__xludf.DUMMYFUNCTION("""COMPUTED_VALUE"""),"")</f>
        <v/>
      </c>
      <c r="AF201" s="6" t="str">
        <f>IFERROR(__xludf.DUMMYFUNCTION("""COMPUTED_VALUE"""),"Не подтверждено")</f>
        <v>Не подтверждено</v>
      </c>
      <c r="AG201" s="6" t="str">
        <f>IFERROR(__xludf.DUMMYFUNCTION("""COMPUTED_VALUE"""),"")</f>
        <v/>
      </c>
      <c r="AH201" s="6" t="str">
        <f>IFERROR(__xludf.DUMMYFUNCTION("""COMPUTED_VALUE"""),"2026-09-11T11:47:34.275826+00:00")</f>
        <v>2026-09-11T11:47:34.275826+00:00</v>
      </c>
      <c r="AI201" s="6" t="str">
        <f>IFERROR(__xludf.DUMMYFUNCTION("""COMPUTED_VALUE"""),"raw/ProdAnalysis/page_000.html")</f>
        <v>raw/ProdAnalysis/page_000.html</v>
      </c>
      <c r="AJ201" s="9" t="s">
        <v>224</v>
      </c>
      <c r="AK201" s="9" t="s">
        <v>242</v>
      </c>
      <c r="AL201" s="9" t="s">
        <v>243</v>
      </c>
      <c r="AM201" s="9" t="s">
        <v>228</v>
      </c>
      <c r="AN201" s="4" t="str">
        <f>IFERROR(__xludf.DUMMYFUNCTION("IF(OR(AJ201=""general_brand"",AJ201=""external"",AJ201=""unknown""),"""",IF(AJ201=""product_line"",IF(AK201=""START"",""Аналитика старт | Алгоритмы старт | Backend старт | ML старт"",IF(AK201=""PRO"",""AI-агенты про | Алгоритмы про | Аналитика про | ML пр"&amp;"о | Backend про"",IF(AK201=""START | PRO"",""Аналитика старт | Алгоритмы старт | Backend старт | ML старт | AI-агенты про | Алгоритмы про | Аналитика про | ML про | Backend про"",""""))),TEXTJOIN("" | "",TRUE,IF(REGEXMATCH(LOWER(AL201&amp;"" | ""&amp;E201),""анал"&amp;"итика старт""),""Аналитика старт"",""""),IF(REGEXMATCH(LOWER(AL201&amp;"" | ""&amp;E201),""алгоритмы старт""),""Алгоритмы старт"",""""),IF(REGEXMATCH(LOWER(AL201&amp;"" | ""&amp;E201),""backend старт""),""Backend старт"",""""),IF(REGEXMATCH(LOWER(AL201&amp;"" | ""&amp;E201),""ml"&amp;" старт""),""ML старт"",""""),IF(REGEXMATCH(LOWER(AL201&amp;"" | ""&amp;E201),""ai[ -]?агент""),""AI-агенты про"",""""),IF(REGEXMATCH(LOWER(AL201&amp;"" | ""&amp;E201),""алгоритмы про""),""Алгоритмы про"",""""),IF(REGEXMATCH(LOWER(AL201&amp;"" | ""&amp;E201),""аналитика про""),"""&amp;"Аналитика про"",""""),IF(REGEXMATCH(LOWER(AL201&amp;"" | ""&amp;E201),""ml про""),""ML про"",""""),IF(REGEXMATCH(LOWER(AL201&amp;"" | ""&amp;E201),""backend про""),""Backend про"",""""),IF(REGEXMATCH(LOWER(AL201&amp;"" | ""&amp;E201),""(а/в|ав|а в|ab)[ -]?тест""),""А/В-тесты"","&amp;"""""),IF(REGEXMATCH(LOWER(AL201&amp;"" | ""&amp;E201),""data science""),""Data science"",""""),IF(REGEXMATCH(LOWER(AL201&amp;"" | ""&amp;E201),""data[- ]?инжен""),""Data-инженер"",""""),IF(REGEXMATCH(LOWER(AL201&amp;"" | ""&amp;E201),""frontend""),""Frontend"",""""))))"),"Аналитика про")</f>
        <v>Аналитика про</v>
      </c>
    </row>
    <row r="202">
      <c r="A202" s="6" t="str">
        <f>IFERROR(__xludf.DUMMYFUNCTION("""COMPUTED_VALUE"""),"EXT-102")</f>
        <v>EXT-102</v>
      </c>
      <c r="B202" s="6" t="str">
        <f>IFERROR(__xludf.DUMMYFUNCTION("""COMPUTED_VALUE"""),"2026-09-07 14:55:52")</f>
        <v>2026-09-07 14:55:52</v>
      </c>
      <c r="C202" s="6" t="str">
        <f>IFERROR(__xludf.DUMMYFUNCTION("""COMPUTED_VALUE"""),"@chad_protocol")</f>
        <v>@chad_protocol</v>
      </c>
      <c r="D202" s="4" t="str">
        <f>IFERROR(__xludf.DUMMYFUNCTION("""COMPUTED_VALUE"""),"Бесплатное событие / лид-магнит")</f>
        <v>Бесплатное событие / лид-магнит</v>
      </c>
      <c r="E202" s="6" t="str">
        <f>IFERROR(__xludf.DUMMYFUNCTION("""COMPUTED_VALUE"""),"")</f>
        <v/>
      </c>
      <c r="F202" s="6" t="str">
        <f>IFERROR(__xludf.DUMMYFUNCTION("""COMPUTED_VALUE"""),"")</f>
        <v/>
      </c>
      <c r="G202" s="10" t="str">
        <f>IFERROR(__xludf.DUMMYFUNCTION("""COMPUTED_VALUE"""),"https://t.me/chad_protocol/537")</f>
        <v>https://t.me/chad_protocol/537</v>
      </c>
      <c r="H202" s="6" t="str">
        <f>IFERROR(__xludf.DUMMYFUNCTION("""COMPUTED_VALUE"""),"Уметь считать ≠ уметь анализировать
С 7 по 13 сентября проводим бесплатную неделю «Аналитика вне SQL» — мини-симулятор реальной работы аналитика.
Можно нормально знать SQL, статистику, Python, строить дашборды — и всё равно теряться, когда на собеседова"&amp;"нии или на работе тебя спрашивают:
«У нас упала выручка. Разберись, почему».
Потому что в реальной работе сначала нужно понять, что происходит с бизнесом, какой вопрос мы решаем и какое решение должно появиться на выходе.
За 7 дней вы:
⏩решите 3 проду"&amp;"ктовых кейса — от бизнес-задачи до решения
⏩ встретитесь с HR, который работал в X5 и Яндексе и нанимал людей от стажёров до топ-менеджеров
⏩ поговорите с senior-аналитиком Avito о том, как меняется работа аналитика по мере роста
⏩ поучаствуете в первом а"&amp;"налитическом хакатоне Поступашек
На хакатоне вы соберётесь в команды, получите реальный продуктовый кейс и за выходные пройдёте весь путь аналитика: разберётесь в проблеме, поработаете с данными, предложите решение и защитите его.
💰 Приз — 30 000 ₽
Ку"&amp;"рс подойдёт и новичкам, и действующим аналитикам, которые хотят лучше понимать продукт и бизнес, увереннее решать неструктурированные задачи и расти дальше.
Все кейсы, встречи, записи и материалы будут в отдельном закрытом канале.
Участие бесплатное. Пе"&amp;"рвое занятие уже сегодня в 19:00 
📌 Присоединиться на курс по ссылке https://t.me/+j_RdPEr7JudjNWM0")</f>
        <v>Уметь считать ≠ уметь анализировать
С 7 по 13 сентября проводим бесплатную неделю «Аналитика вне SQL» — мини-симулятор реальной работы аналитика.
Можно нормально знать SQL, статистику, Python, строить дашборды — и всё равно теряться, когда на собеседовании или на работе тебя спрашивают:
«У нас упала выручка. Разберись, почему».
Потому что в реальной работе сначала нужно понять, что происходит с бизнесом, какой вопрос мы решаем и какое решение должно появиться на выходе.
За 7 дней вы:
⏩решите 3 продуктовых кейса — от бизнес-задачи до решения
⏩ встретитесь с HR, который работал в X5 и Яндексе и нанимал людей от стажёров до топ-менеджеров
⏩ поговорите с senior-аналитиком Avito о том, как меняется работа аналитика по мере роста
⏩ поучаствуете в первом аналитическом хакатоне Поступашек
На хакатоне вы соберётесь в команды, получите реальный продуктовый кейс и за выходные пройдёте весь путь аналитика: разберётесь в проблеме, поработаете с данными, предложите решение и защитите его.
💰 Приз — 30 000 ₽
Курс подойдёт и новичкам, и действующим аналитикам, которые хотят лучше понимать продукт и бизнес, увереннее решать неструктурированные задачи и расти дальше.
Все кейсы, встречи, записи и материалы будут в отдельном закрытом канале.
Участие бесплатное. Первое занятие уже сегодня в 19:00 
📌 Присоединиться на курс по ссылке https://t.me/+j_RdPEr7JudjNWM0</v>
      </c>
      <c r="I202" s="6" t="str">
        <f>IFERROR(__xludf.DUMMYFUNCTION("""COMPUTED_VALUE"""),"external")</f>
        <v>external</v>
      </c>
      <c r="J202" s="10" t="str">
        <f>IFERROR(__xludf.DUMMYFUNCTION("""COMPUTED_VALUE"""),"https://t.me/chad_protocol/537")</f>
        <v>https://t.me/chad_protocol/537</v>
      </c>
      <c r="K202" s="6">
        <f>IFERROR(__xludf.DUMMYFUNCTION("""COMPUTED_VALUE"""),2110.0)</f>
        <v>2110</v>
      </c>
      <c r="L202" s="6">
        <f>IFERROR(__xludf.DUMMYFUNCTION("""COMPUTED_VALUE"""),3.0)</f>
        <v>3</v>
      </c>
      <c r="M202" s="6"/>
      <c r="N202" s="6" t="str">
        <f>IFERROR(__xludf.DUMMYFUNCTION("""COMPUTED_VALUE"""),"Telegram")</f>
        <v>Telegram</v>
      </c>
      <c r="O202" s="6" t="str">
        <f>IFERROR(__xludf.DUMMYFUNCTION("""COMPUTED_VALUE"""),"raw")</f>
        <v>raw</v>
      </c>
      <c r="P202" s="6" t="str">
        <f>IFERROR(__xludf.DUMMYFUNCTION("""COMPUTED_VALUE"""),"Codex")</f>
        <v>Codex</v>
      </c>
      <c r="Q202" s="6" t="str">
        <f>IFERROR(__xludf.DUMMYFUNCTION("""COMPUTED_VALUE"""),"Общий контакт @vice22821; признак связи с проектом")</f>
        <v>Общий контакт @vice22821; признак связи с проектом</v>
      </c>
      <c r="R202" s="6" t="str">
        <f>IFERROR(__xludf.DUMMYFUNCTION("""COMPUTED_VALUE"""),"unknown")</f>
        <v>unknown</v>
      </c>
      <c r="S202" s="6" t="str">
        <f>IFERROR(__xludf.DUMMYFUNCTION("""COMPUTED_VALUE"""),"unknown")</f>
        <v>unknown</v>
      </c>
      <c r="T202" s="6" t="str">
        <f>IFERROR(__xludf.DUMMYFUNCTION("""COMPUTED_VALUE"""),"telegram_external")</f>
        <v>telegram_external</v>
      </c>
      <c r="U202" s="6" t="str">
        <f>IFERROR(__xludf.DUMMYFUNCTION("""COMPUTED_VALUE"""),"Бесплатное событие / лид-магнит")</f>
        <v>Бесплатное событие / лид-магнит</v>
      </c>
      <c r="V202" s="6" t="str">
        <f>IFERROR(__xludf.DUMMYFUNCTION("""COMPUTED_VALUE"""),"")</f>
        <v/>
      </c>
      <c r="W202" s="6" t="str">
        <f>IFERROR(__xludf.DUMMYFUNCTION("""COMPUTED_VALUE"""),"")</f>
        <v/>
      </c>
      <c r="X202" s="6" t="str">
        <f>IFERROR(__xludf.DUMMYFUNCTION("""COMPUTED_VALUE"""),"Forwarded from Поступашки - ШАД, Стажировки и Магистратура")</f>
        <v>Forwarded from Поступашки - ШАД, Стажировки и Магистратура</v>
      </c>
      <c r="Y202" s="10" t="str">
        <f>IFERROR(__xludf.DUMMYFUNCTION("""COMPUTED_VALUE"""),"https://t.me/postypashki_old/1887")</f>
        <v>https://t.me/postypashki_old/1887</v>
      </c>
      <c r="Z202" s="6" t="b">
        <f>IFERROR(__xludf.DUMMYFUNCTION("""COMPUTED_VALUE"""),TRUE)</f>
        <v>1</v>
      </c>
      <c r="AA202" s="6" t="str">
        <f>IFERROR(__xludf.DUMMYFUNCTION("""COMPUTED_VALUE"""),"")</f>
        <v/>
      </c>
      <c r="AB202" s="6" t="str">
        <f>IFERROR(__xludf.DUMMYFUNCTION("""COMPUTED_VALUE"""),"")</f>
        <v/>
      </c>
      <c r="AC202" s="6" t="str">
        <f>IFERROR(__xludf.DUMMYFUNCTION("""COMPUTED_VALUE"""),"")</f>
        <v/>
      </c>
      <c r="AD202" s="6" t="str">
        <f>IFERROR(__xludf.DUMMYFUNCTION("""COMPUTED_VALUE"""),"")</f>
        <v/>
      </c>
      <c r="AE202" s="6" t="str">
        <f>IFERROR(__xludf.DUMMYFUNCTION("""COMPUTED_VALUE"""),"")</f>
        <v/>
      </c>
      <c r="AF202" s="6" t="str">
        <f>IFERROR(__xludf.DUMMYFUNCTION("""COMPUTED_VALUE"""),"Не подтверждено")</f>
        <v>Не подтверждено</v>
      </c>
      <c r="AG202" s="6" t="str">
        <f>IFERROR(__xludf.DUMMYFUNCTION("""COMPUTED_VALUE"""),"")</f>
        <v/>
      </c>
      <c r="AH202" s="6" t="str">
        <f>IFERROR(__xludf.DUMMYFUNCTION("""COMPUTED_VALUE"""),"2026-09-11T11:47:50.761841+00:00")</f>
        <v>2026-09-11T11:47:50.761841+00:00</v>
      </c>
      <c r="AI202" s="6" t="str">
        <f>IFERROR(__xludf.DUMMYFUNCTION("""COMPUTED_VALUE"""),"raw/chad_protocol/page_000.html")</f>
        <v>raw/chad_protocol/page_000.html</v>
      </c>
      <c r="AJ202" s="9" t="s">
        <v>224</v>
      </c>
      <c r="AL202" s="9" t="s">
        <v>248</v>
      </c>
      <c r="AM202" s="9" t="s">
        <v>228</v>
      </c>
      <c r="AN202" s="4" t="str">
        <f>IFERROR(__xludf.DUMMYFUNCTION("IF(OR(AJ202=""general_brand"",AJ202=""external"",AJ202=""unknown""),"""",IF(AJ202=""product_line"",IF(AK202=""START"",""Аналитика старт | Алгоритмы старт | Backend старт | ML старт"",IF(AK202=""PRO"",""AI-агенты про | Алгоритмы про | Аналитика про | ML пр"&amp;"о | Backend про"",IF(AK202=""START | PRO"",""Аналитика старт | Алгоритмы старт | Backend старт | ML старт | AI-агенты про | Алгоритмы про | Аналитика про | ML про | Backend про"",""""))),TEXTJOIN("" | "",TRUE,IF(REGEXMATCH(LOWER(AL202&amp;"" | ""&amp;E202),""анал"&amp;"итика старт""),""Аналитика старт"",""""),IF(REGEXMATCH(LOWER(AL202&amp;"" | ""&amp;E202),""алгоритмы старт""),""Алгоритмы старт"",""""),IF(REGEXMATCH(LOWER(AL202&amp;"" | ""&amp;E202),""backend старт""),""Backend старт"",""""),IF(REGEXMATCH(LOWER(AL202&amp;"" | ""&amp;E202),""ml"&amp;" старт""),""ML старт"",""""),IF(REGEXMATCH(LOWER(AL202&amp;"" | ""&amp;E202),""ai[ -]?агент""),""AI-агенты про"",""""),IF(REGEXMATCH(LOWER(AL202&amp;"" | ""&amp;E202),""алгоритмы про""),""Алгоритмы про"",""""),IF(REGEXMATCH(LOWER(AL202&amp;"" | ""&amp;E202),""аналитика про""),"""&amp;"Аналитика про"",""""),IF(REGEXMATCH(LOWER(AL202&amp;"" | ""&amp;E202),""ml про""),""ML про"",""""),IF(REGEXMATCH(LOWER(AL202&amp;"" | ""&amp;E202),""backend про""),""Backend про"",""""),IF(REGEXMATCH(LOWER(AL202&amp;"" | ""&amp;E202),""(а/в|ав|а в|ab)[ -]?тест""),""А/В-тесты"","&amp;"""""),IF(REGEXMATCH(LOWER(AL202&amp;"" | ""&amp;E202),""data science""),""Data science"",""""),IF(REGEXMATCH(LOWER(AL202&amp;"" | ""&amp;E202),""data[- ]?инжен""),""Data-инженер"",""""),IF(REGEXMATCH(LOWER(AL202&amp;"" | ""&amp;E202),""frontend""),""Frontend"",""""))))"),"")</f>
        <v/>
      </c>
    </row>
    <row r="203">
      <c r="A203" s="6" t="str">
        <f>IFERROR(__xludf.DUMMYFUNCTION("""COMPUTED_VALUE"""),"EXT-103")</f>
        <v>EXT-103</v>
      </c>
      <c r="B203" s="6" t="str">
        <f>IFERROR(__xludf.DUMMYFUNCTION("""COMPUTED_VALUE"""),"2026-09-07 17:22:35")</f>
        <v>2026-09-07 17:22:35</v>
      </c>
      <c r="C203" s="6" t="str">
        <f>IFERROR(__xludf.DUMMYFUNCTION("""COMPUTED_VALUE"""),"@codeof_art")</f>
        <v>@codeof_art</v>
      </c>
      <c r="D203" s="4" t="str">
        <f>IFERROR(__xludf.DUMMYFUNCTION("""COMPUTED_VALUE"""),"Контент с предложением курсов")</f>
        <v>Контент с предложением курсов</v>
      </c>
      <c r="E203" s="6" t="str">
        <f>IFERROR(__xludf.DUMMYFUNCTION("""COMPUTED_VALUE"""),"")</f>
        <v/>
      </c>
      <c r="F203" s="6" t="str">
        <f>IFERROR(__xludf.DUMMYFUNCTION("""COMPUTED_VALUE"""),"")</f>
        <v/>
      </c>
      <c r="G203" s="10" t="str">
        <f>IFERROR(__xludf.DUMMYFUNCTION("""COMPUTED_VALUE"""),"https://t.me/codeof_art/328")</f>
        <v>https://t.me/codeof_art/328</v>
      </c>
      <c r="H203" s="6" t="str">
        <f>IFERROR(__xludf.DUMMYFUNCTION("""COMPUTED_VALUE"""),"Как стать миддлом 
По стеку джуна и мидла сегодня спрашивают почти одно и то же. Открой любые вакансии - знание своего ЯП/фреймворка, SQL, Docker, Kafka/Redis, везде одно и то же. Так за что мидлу платят вдвое больше? Разбираемся на актуальных вакансиях "&amp;"Т-Банка и Ozon. 
Джуну дают задачу. Мидлу — проблему
Джуну пишут конкретно, например, написать API под новый микросервис для техподдержки. Задача с границами: понятно, что на входе, что на выходе, когда готово. Бери и делай.
Мидлу пишут абстрактные вещи"&amp;", для примера, рефакторить интеграционные решения и обеспечивать стабильность работы сервисов. Границ нет, не особо понятно, а какой конечный результат вообще и с чего начать-то. Тебе дают проблему, а задачу из неё ты достаёшь сам. И отвечаешь за результа"&amp;"т, если твои микросервисы упадут в разгар рабочего дня и заказчик потеряет деньги, тут уже другой уровень отвественности по сравнению с джуном.
Вот и вся граница: джуна берут за умение закрывать задачи, мидла — за умение отвечать за систему. Всё остально"&amp;"е — следствие.
Стек тот же — уровень владения разный
В вакансиях джуна и мидла — одни и те же технологии. Разница в том, что от тебя с ними ждут.
Джуну: «знать Python», «понимать архитектуру ETL». Знать и понимать.
Мидлу: «проектировать микросервисы», "&amp;"«оптимизировать запросы», «самому работать с Docker». Не слышал про Kubernetes, а крутил руками.
Что конкретно учить, чтобы стать мидлом
«Бери больше ответственности и качай харды» - совет ни о чём. Ниже дам несколько конкертных советов, они не зависят о"&amp;"т языка - работают хоть на Go, хоть на Python, хоть на Java.
System design. Главный навык мидла. Спроектировать сервис с нуля: где узкое место, что реплицировать, где кэш, что будет под нагрузкой в 10 раз больше. Это спрашивают почти на каждом собесе на "&amp;"мидла — и именно тут валятся вчерашние джуны.
Базы на уровне оптимизации. Не «умею писать SELECT», а читать план запроса, ставить индексы, понимать, почему запрос тупит на проде под реальными данными.
Docker и Kubernetes. Не теория — собрать образ, напи"&amp;"сать манифест, задеплоить, разобраться, почему под падает и рестартится в цикле.
Событийная архитектура. Kafka, очереди, как сервисы общаются асинхронно и что происходит с системой, когда один из них отваливается.
CI/CD. Как код доезжает до прода и как "&amp;"сделать так, чтобы релиз не положил систему.
Освоишь эти пять — и на собесе тебе будет что показать. Не строчку в резюме, а умение собрать работающую систему.
Коротко
Джун сидит в своей зоне и пишет задачи внутри неё. Мидл смотрит на проект целиком: как"&amp;" деплоится, как сервисы общаются, что упадёт под нагрузкой, почему вчерашний релиз положил прод. Архитектура для него — не то, что понимаешь, а то, что строишь.
За это и платят: по медиане backend-вакансий 2026 года джун получает около 135 тысяч, мидл — "&amp;"порядка 225. Почти вдвое.
Хочешь дорасти до мидла — не гонись за очередным фреймворком. Учись проектировать системы и отвечать за них. Ровно этому мы учим на  нашем курсе бэкенд про. 
➡️ Записаться. 
Подписаться: @codeof_art
Вступить в чатик: @code_of_a"&amp;"rt")</f>
        <v>Как стать миддлом 
По стеку джуна и мидла сегодня спрашивают почти одно и то же. Открой любые вакансии - знание своего ЯП/фреймворка, SQL, Docker, Kafka/Redis, везде одно и то же. Так за что мидлу платят вдвое больше? Разбираемся на актуальных вакансиях Т-Банка и Ozon. 
Джуну дают задачу. Мидлу — проблему
Джуну пишут конкретно, например, написать API под новый микросервис для техподдержки. Задача с границами: понятно, что на входе, что на выходе, когда готово. Бери и делай.
Мидлу пишут абстрактные вещи, для примера, рефакторить интеграционные решения и обеспечивать стабильность работы сервисов. Границ нет, не особо понятно, а какой конечный результат вообще и с чего начать-то. Тебе дают проблему, а задачу из неё ты достаёшь сам. И отвечаешь за результат, если твои микросервисы упадут в разгар рабочего дня и заказчик потеряет деньги, тут уже другой уровень отвественности по сравнению с джуном.
Вот и вся граница: джуна берут за умение закрывать задачи, мидла — за умение отвечать за систему. Всё остальное — следствие.
Стек тот же — уровень владения разный
В вакансиях джуна и мидла — одни и те же технологии. Разница в том, что от тебя с ними ждут.
Джуну: «знать Python», «понимать архитектуру ETL». Знать и понимать.
Мидлу: «проектировать микросервисы», «оптимизировать запросы», «самому работать с Docker». Не слышал про Kubernetes, а крутил руками.
Что конкретно учить, чтобы стать мидлом
«Бери больше ответственности и качай харды» - совет ни о чём. Ниже дам несколько конкертных советов, они не зависят от языка - работают хоть на Go, хоть на Python, хоть на Java.
System design. Главный навык мидла. Спроектировать сервис с нуля: где узкое место, что реплицировать, где кэш, что будет под нагрузкой в 10 раз больше. Это спрашивают почти на каждом собесе на мидла — и именно тут валятся вчерашние джуны.
Базы на уровне оптимизации. Не «умею писать SELECT», а читать план запроса, ставить индексы, понимать, почему запрос тупит на проде под реальными данными.
Docker и Kubernetes. Не теория — собрать образ, написать манифест, задеплоить, разобраться, почему под падает и рестартится в цикле.
Событийная архитектура. Kafka, очереди, как сервисы общаются асинхронно и что происходит с системой, когда один из них отваливается.
CI/CD. Как код доезжает до прода и как сделать так, чтобы релиз не положил систему.
Освоишь эти пять — и на собесе тебе будет что показать. Не строчку в резюме, а умение собрать работающую систему.
Коротко
Джун сидит в своей зоне и пишет задачи внутри неё. Мидл смотрит на проект целиком: как деплоится, как сервисы общаются, что упадёт под нагрузкой, почему вчерашний релиз положил прод. Архитектура для него — не то, что понимаешь, а то, что строишь.
За это и платят: по медиане backend-вакансий 2026 года джун получает около 135 тысяч, мидл — порядка 225. Почти вдвое.
Хочешь дорасти до мидла — не гонись за очередным фреймворком. Учись проектировать системы и отвечать за них. Ровно этому мы учим на  нашем курсе бэкенд про. 
➡️ Записаться. 
Подписаться: @codeof_art
Вступить в чатик: @code_of_art</v>
      </c>
      <c r="I203" s="6" t="str">
        <f>IFERROR(__xludf.DUMMYFUNCTION("""COMPUTED_VALUE"""),"external")</f>
        <v>external</v>
      </c>
      <c r="J203" s="10" t="str">
        <f>IFERROR(__xludf.DUMMYFUNCTION("""COMPUTED_VALUE"""),"https://t.me/codeof_art/328")</f>
        <v>https://t.me/codeof_art/328</v>
      </c>
      <c r="K203" s="6">
        <f>IFERROR(__xludf.DUMMYFUNCTION("""COMPUTED_VALUE"""),1310.0)</f>
        <v>1310</v>
      </c>
      <c r="L203" s="6">
        <f>IFERROR(__xludf.DUMMYFUNCTION("""COMPUTED_VALUE"""),5.0)</f>
        <v>5</v>
      </c>
      <c r="M203" s="6"/>
      <c r="N203" s="6" t="str">
        <f>IFERROR(__xludf.DUMMYFUNCTION("""COMPUTED_VALUE"""),"Telegram")</f>
        <v>Telegram</v>
      </c>
      <c r="O203" s="6" t="str">
        <f>IFERROR(__xludf.DUMMYFUNCTION("""COMPUTED_VALUE"""),"raw")</f>
        <v>raw</v>
      </c>
      <c r="P203" s="6" t="str">
        <f>IFERROR(__xludf.DUMMYFUNCTION("""COMPUTED_VALUE"""),"Codex")</f>
        <v>Codex</v>
      </c>
      <c r="Q203" s="6" t="str">
        <f>IFERROR(__xludf.DUMMYFUNCTION("""COMPUTED_VALUE"""),"Общий контакт @vice22821; признак связи с проектом")</f>
        <v>Общий контакт @vice22821; признак связи с проектом</v>
      </c>
      <c r="R203" s="6" t="str">
        <f>IFERROR(__xludf.DUMMYFUNCTION("""COMPUTED_VALUE"""),"unknown")</f>
        <v>unknown</v>
      </c>
      <c r="S203" s="6" t="str">
        <f>IFERROR(__xludf.DUMMYFUNCTION("""COMPUTED_VALUE"""),"unknown")</f>
        <v>unknown</v>
      </c>
      <c r="T203" s="6" t="str">
        <f>IFERROR(__xludf.DUMMYFUNCTION("""COMPUTED_VALUE"""),"telegram_external")</f>
        <v>telegram_external</v>
      </c>
      <c r="U203" s="6" t="str">
        <f>IFERROR(__xludf.DUMMYFUNCTION("""COMPUTED_VALUE"""),"Контент с предложением курсов")</f>
        <v>Контент с предложением курсов</v>
      </c>
      <c r="V203" s="6" t="str">
        <f>IFERROR(__xludf.DUMMYFUNCTION("""COMPUTED_VALUE"""),"")</f>
        <v/>
      </c>
      <c r="W203" s="6" t="str">
        <f>IFERROR(__xludf.DUMMYFUNCTION("""COMPUTED_VALUE"""),"")</f>
        <v/>
      </c>
      <c r="X203" s="6"/>
      <c r="Y203" s="6" t="str">
        <f>IFERROR(__xludf.DUMMYFUNCTION("""COMPUTED_VALUE"""),"https://t.me/postypashki_old/1859
https://t.me/m/p94YcePXNjcy")</f>
        <v>https://t.me/postypashki_old/1859
https://t.me/m/p94YcePXNjcy</v>
      </c>
      <c r="Z203" s="6" t="b">
        <f>IFERROR(__xludf.DUMMYFUNCTION("""COMPUTED_VALUE"""),TRUE)</f>
        <v>1</v>
      </c>
      <c r="AA203" s="6" t="str">
        <f>IFERROR(__xludf.DUMMYFUNCTION("""COMPUTED_VALUE"""),"")</f>
        <v/>
      </c>
      <c r="AB203" s="6" t="str">
        <f>IFERROR(__xludf.DUMMYFUNCTION("""COMPUTED_VALUE"""),"")</f>
        <v/>
      </c>
      <c r="AC203" s="6" t="str">
        <f>IFERROR(__xludf.DUMMYFUNCTION("""COMPUTED_VALUE"""),"")</f>
        <v/>
      </c>
      <c r="AD203" s="6" t="str">
        <f>IFERROR(__xludf.DUMMYFUNCTION("""COMPUTED_VALUE"""),"")</f>
        <v/>
      </c>
      <c r="AE203" s="6" t="str">
        <f>IFERROR(__xludf.DUMMYFUNCTION("""COMPUTED_VALUE"""),"")</f>
        <v/>
      </c>
      <c r="AF203" s="6" t="str">
        <f>IFERROR(__xludf.DUMMYFUNCTION("""COMPUTED_VALUE"""),"Не подтверждено")</f>
        <v>Не подтверждено</v>
      </c>
      <c r="AG203" s="6" t="str">
        <f>IFERROR(__xludf.DUMMYFUNCTION("""COMPUTED_VALUE"""),"")</f>
        <v/>
      </c>
      <c r="AH203" s="6" t="str">
        <f>IFERROR(__xludf.DUMMYFUNCTION("""COMPUTED_VALUE"""),"2026-09-11T11:47:36.835348+00:00")</f>
        <v>2026-09-11T11:47:36.835348+00:00</v>
      </c>
      <c r="AI203" s="6" t="str">
        <f>IFERROR(__xludf.DUMMYFUNCTION("""COMPUTED_VALUE"""),"raw/codeof_art/page_000.html")</f>
        <v>raw/codeof_art/page_000.html</v>
      </c>
      <c r="AJ203" s="9" t="s">
        <v>224</v>
      </c>
      <c r="AK203" s="9" t="s">
        <v>242</v>
      </c>
      <c r="AL203" s="9" t="s">
        <v>246</v>
      </c>
      <c r="AM203" s="9" t="s">
        <v>231</v>
      </c>
      <c r="AN203" s="4" t="str">
        <f>IFERROR(__xludf.DUMMYFUNCTION("IF(OR(AJ203=""general_brand"",AJ203=""external"",AJ203=""unknown""),"""",IF(AJ203=""product_line"",IF(AK203=""START"",""Аналитика старт | Алгоритмы старт | Backend старт | ML старт"",IF(AK203=""PRO"",""AI-агенты про | Алгоритмы про | Аналитика про | ML пр"&amp;"о | Backend про"",IF(AK203=""START | PRO"",""Аналитика старт | Алгоритмы старт | Backend старт | ML старт | AI-агенты про | Алгоритмы про | Аналитика про | ML про | Backend про"",""""))),TEXTJOIN("" | "",TRUE,IF(REGEXMATCH(LOWER(AL203&amp;"" | ""&amp;E203),""анал"&amp;"итика старт""),""Аналитика старт"",""""),IF(REGEXMATCH(LOWER(AL203&amp;"" | ""&amp;E203),""алгоритмы старт""),""Алгоритмы старт"",""""),IF(REGEXMATCH(LOWER(AL203&amp;"" | ""&amp;E203),""backend старт""),""Backend старт"",""""),IF(REGEXMATCH(LOWER(AL203&amp;"" | ""&amp;E203),""ml"&amp;" старт""),""ML старт"",""""),IF(REGEXMATCH(LOWER(AL203&amp;"" | ""&amp;E203),""ai[ -]?агент""),""AI-агенты про"",""""),IF(REGEXMATCH(LOWER(AL203&amp;"" | ""&amp;E203),""алгоритмы про""),""Алгоритмы про"",""""),IF(REGEXMATCH(LOWER(AL203&amp;"" | ""&amp;E203),""аналитика про""),"""&amp;"Аналитика про"",""""),IF(REGEXMATCH(LOWER(AL203&amp;"" | ""&amp;E203),""ml про""),""ML про"",""""),IF(REGEXMATCH(LOWER(AL203&amp;"" | ""&amp;E203),""backend про""),""Backend про"",""""),IF(REGEXMATCH(LOWER(AL203&amp;"" | ""&amp;E203),""(а/в|ав|а в|ab)[ -]?тест""),""А/В-тесты"","&amp;"""""),IF(REGEXMATCH(LOWER(AL203&amp;"" | ""&amp;E203),""data science""),""Data science"",""""),IF(REGEXMATCH(LOWER(AL203&amp;"" | ""&amp;E203),""data[- ]?инжен""),""Data-инженер"",""""),IF(REGEXMATCH(LOWER(AL203&amp;"" | ""&amp;E203),""frontend""),""Frontend"",""""))))"),"Backend про")</f>
        <v>Backend про</v>
      </c>
    </row>
    <row r="204">
      <c r="A204" s="6" t="str">
        <f>IFERROR(__xludf.DUMMYFUNCTION("""COMPUTED_VALUE"""),"EXT-104")</f>
        <v>EXT-104</v>
      </c>
      <c r="B204" s="6" t="str">
        <f>IFERROR(__xludf.DUMMYFUNCTION("""COMPUTED_VALUE"""),"2026-09-07 19:58:09")</f>
        <v>2026-09-07 19:58:09</v>
      </c>
      <c r="C204" s="6" t="str">
        <f>IFERROR(__xludf.DUMMYFUNCTION("""COMPUTED_VALUE"""),"@codeof_art")</f>
        <v>@codeof_art</v>
      </c>
      <c r="D204" s="4" t="str">
        <f>IFERROR(__xludf.DUMMYFUNCTION("""COMPUTED_VALUE"""),"Контент с предложением курсов")</f>
        <v>Контент с предложением курсов</v>
      </c>
      <c r="E204" s="6" t="str">
        <f>IFERROR(__xludf.DUMMYFUNCTION("""COMPUTED_VALUE"""),"")</f>
        <v/>
      </c>
      <c r="F204" s="6" t="str">
        <f>IFERROR(__xludf.DUMMYFUNCTION("""COMPUTED_VALUE"""),"")</f>
        <v/>
      </c>
      <c r="G204" s="10" t="str">
        <f>IFERROR(__xludf.DUMMYFUNCTION("""COMPUTED_VALUE"""),"https://t.me/codeof_art/329")</f>
        <v>https://t.me/codeof_art/329</v>
      </c>
      <c r="H204" s="6" t="str">
        <f>IFERROR(__xludf.DUMMYFUNCTION("""COMPUTED_VALUE"""),"Стажировка в Яндексе одна из лучших возможностей для старта в разработке: 
• МНОГО КРАСИВЫХ СВОБОДНЫХ ЖЕНЩИН 
• специалисты высокого класса
• зарплаты в среднем выше рынка 
• современный стек и проекты 
• хорошо выстроены процессы 
• корпоративная культу"&amp;"ра
Для участия нужно подать анкету заполнить анкету и зарешать контест. Разбор контеста уже выложен на нашем курсе бэкенд про, алгоритмы про. 
➡ Записаться. 
Как заполнять анкеты смотрим этот ролик. После контеста вас ждет два алгособеса на 2 литкод зад"&amp;"ачи medium + вопросы по языке и возможно серверам. И наконец собеседования с командами. На моем опыте максимально, сколько может быть собесов с командой - 9.
Финальные собесы
Если команда точно понимает, что им нужен стажёр закрыть пару дыр и после он не"&amp;" нужен, то собес больше про твой опыт, почему Яндекс, как планируешь совмещать с учебой, а что будешь делать, если стажку не продлим/не возьмём в штат. Такие больше на метч с командой и посмотреть не будешь ли ты ныть, что на стажке будешь заниматься скуч"&amp;"ной фигней, расскажут какой есть пул задач и спросят, что из этого интересно. Обычно такое в продуктовые команды. 
Или, например наш студент, собесился в команду Поиска, которая занимается инфраструктурой. Устроили настоящий собес по систем дизайну, прос"&amp;"или спроектировать калькулятор, который вот выдаётся после запроса в поисковой строке, как накрутить серверный рендеринг, гоняли по сетям, по знанию тулов реакта (линтер, сборщик кода как работает, как то-то настроить). И после этого другой интервьюер дав"&amp;"ил, что вот нам нужны гении, ты явно не такой, а вот чем ты занимаешься, а почему учишься в залупинске, а не в мск, говорил, что на удаленку никого не берём и тд.
Или другой наш студент собесился в другую команду Яндекс 360 календарь, там максимально чил"&amp;"ово было, поспрашивал за опыт, так вышло что они выпускники одного факультета, пообсуждали преподов, хобби, и всё.
По итогу еще раз многое зависит от команды и кто собесит. Выбирайте команду с умом, ее можно поменять. 
Штат 
Можно сразу на финале спроси"&amp;"ть, а будут ли места в штате. Конечно обмануть могут, но за вопрос денег не берут и пусть сила вам подскажет. 
После стажировки есть несколько вариантов: 
1. Если плохой отзыв от команды и говорят «уходи», то нужно заново проходить все собесы на стажера "&amp;"
2. Могут сказать, что ты не очень и иди на стажировку снова (без собесов, только финалы) 
3. Можешь пойти в штат:
а) ты классный - можешь пойти к нам на миддла (но нужно опять пройти АА, потом финалы), если не пройдешь, то возьмут на джуна
б) ты не дотяг"&amp;"иваешь до миддла - ты джун и если команда не готова взять джуна, то нужно идти искать, кто может взять к себе джуна самому 
в) можно искать, кто готов взять к себе миддла/джуна и врубать свои навыки социальной инженерии на максимум 
При идеальном мэтче, "&amp;"вы в Яндексе - поздравляю! 
Подписаться: @codeof_art")</f>
        <v>Стажировка в Яндексе одна из лучших возможностей для старта в разработке: 
• МНОГО КРАСИВЫХ СВОБОДНЫХ ЖЕНЩИН 
• специалисты высокого класса
• зарплаты в среднем выше рынка 
• современный стек и проекты 
• хорошо выстроены процессы 
• корпоративная культура
Для участия нужно подать анкету заполнить анкету и зарешать контест. Разбор контеста уже выложен на нашем курсе бэкенд про, алгоритмы про. 
➡ Записаться. 
Как заполнять анкеты смотрим этот ролик. После контеста вас ждет два алгособеса на 2 литкод задачи medium + вопросы по языке и возможно серверам. И наконец собеседования с командами. На моем опыте максимально, сколько может быть собесов с командой - 9.
Финальные собесы
Если команда точно понимает, что им нужен стажёр закрыть пару дыр и после он не нужен, то собес больше про твой опыт, почему Яндекс, как планируешь совмещать с учебой, а что будешь делать, если стажку не продлим/не возьмём в штат. Такие больше на метч с командой и посмотреть не будешь ли ты ныть, что на стажке будешь заниматься скучной фигней, расскажут какой есть пул задач и спросят, что из этого интересно. Обычно такое в продуктовые команды. 
Или, например наш студент, собесился в команду Поиска, которая занимается инфраструктурой. Устроили настоящий собес по систем дизайну, просили спроектировать калькулятор, который вот выдаётся после запроса в поисковой строке, как накрутить серверный рендеринг, гоняли по сетям, по знанию тулов реакта (линтер, сборщик кода как работает, как то-то настроить). И после этого другой интервьюер давил, что вот нам нужны гении, ты явно не такой, а вот чем ты занимаешься, а почему учишься в залупинске, а не в мск, говорил, что на удаленку никого не берём и тд.
Или другой наш студент собесился в другую команду Яндекс 360 календарь, там максимально чилово было, поспрашивал за опыт, так вышло что они выпускники одного факультета, пообсуждали преподов, хобби, и всё.
По итогу еще раз многое зависит от команды и кто собесит. Выбирайте команду с умом, ее можно поменять. 
Штат 
Можно сразу на финале спросить, а будут ли места в штате. Конечно обмануть могут, но за вопрос денег не берут и пусть сила вам подскажет. 
После стажировки есть несколько вариантов: 
1. Если плохой отзыв от команды и говорят «уходи», то нужно заново проходить все собесы на стажера 
2. Могут сказать, что ты не очень и иди на стажировку снова (без собесов, только финалы) 
3. Можешь пойти в штат:
а) ты классный - можешь пойти к нам на миддла (но нужно опять пройти АА, потом финалы), если не пройдешь, то возьмут на джуна
б) ты не дотягиваешь до миддла - ты джун и если команда не готова взять джуна, то нужно идти искать, кто может взять к себе джуна самому 
в) можно искать, кто готов взять к себе миддла/джуна и врубать свои навыки социальной инженерии на максимум 
При идеальном мэтче, вы в Яндексе - поздравляю! 
Подписаться: @codeof_art</v>
      </c>
      <c r="I204" s="6" t="str">
        <f>IFERROR(__xludf.DUMMYFUNCTION("""COMPUTED_VALUE"""),"external")</f>
        <v>external</v>
      </c>
      <c r="J204" s="10" t="str">
        <f>IFERROR(__xludf.DUMMYFUNCTION("""COMPUTED_VALUE"""),"https://t.me/codeof_art/329")</f>
        <v>https://t.me/codeof_art/329</v>
      </c>
      <c r="K204" s="6">
        <f>IFERROR(__xludf.DUMMYFUNCTION("""COMPUTED_VALUE"""),1600.0)</f>
        <v>1600</v>
      </c>
      <c r="L204" s="6">
        <f>IFERROR(__xludf.DUMMYFUNCTION("""COMPUTED_VALUE"""),4.0)</f>
        <v>4</v>
      </c>
      <c r="M204" s="6"/>
      <c r="N204" s="6" t="str">
        <f>IFERROR(__xludf.DUMMYFUNCTION("""COMPUTED_VALUE"""),"Telegram")</f>
        <v>Telegram</v>
      </c>
      <c r="O204" s="6" t="str">
        <f>IFERROR(__xludf.DUMMYFUNCTION("""COMPUTED_VALUE"""),"raw")</f>
        <v>raw</v>
      </c>
      <c r="P204" s="6" t="str">
        <f>IFERROR(__xludf.DUMMYFUNCTION("""COMPUTED_VALUE"""),"Codex")</f>
        <v>Codex</v>
      </c>
      <c r="Q204" s="6" t="str">
        <f>IFERROR(__xludf.DUMMYFUNCTION("""COMPUTED_VALUE"""),"Общий контакт @vice22821; признак связи с проектом")</f>
        <v>Общий контакт @vice22821; признак связи с проектом</v>
      </c>
      <c r="R204" s="6" t="str">
        <f>IFERROR(__xludf.DUMMYFUNCTION("""COMPUTED_VALUE"""),"unknown")</f>
        <v>unknown</v>
      </c>
      <c r="S204" s="6" t="str">
        <f>IFERROR(__xludf.DUMMYFUNCTION("""COMPUTED_VALUE"""),"unknown")</f>
        <v>unknown</v>
      </c>
      <c r="T204" s="6" t="str">
        <f>IFERROR(__xludf.DUMMYFUNCTION("""COMPUTED_VALUE"""),"telegram_external")</f>
        <v>telegram_external</v>
      </c>
      <c r="U204" s="6" t="str">
        <f>IFERROR(__xludf.DUMMYFUNCTION("""COMPUTED_VALUE"""),"Контент с предложением курсов")</f>
        <v>Контент с предложением курсов</v>
      </c>
      <c r="V204" s="6" t="str">
        <f>IFERROR(__xludf.DUMMYFUNCTION("""COMPUTED_VALUE"""),"")</f>
        <v/>
      </c>
      <c r="W204" s="6" t="str">
        <f>IFERROR(__xludf.DUMMYFUNCTION("""COMPUTED_VALUE"""),"")</f>
        <v/>
      </c>
      <c r="X204" s="6"/>
      <c r="Y204" s="6" t="str">
        <f>IFERROR(__xludf.DUMMYFUNCTION("""COMPUTED_VALUE"""),"https://t.me/postypashki_old/1872
https://t.me/postypashki_old/1859
https://t.me/m/p94YcePXNjcy
https://old.postypashki.ru/%D0%B0%D0%BB%D0%B3%D0%BE%D1%80%D0%B8%D1%82%D0%BC%D1%8B/
https://old.postypashki.ru/%D0%BA%D0%B0%D1%80%D1%8C%D0%B5%D1%80%D0%BD%D1%8B%"&amp;"D0%B5-%D0%BA%D1%83%D1%80%D1%81%D1%8B/backend-%D1%85%D0%B0%D1%80%D0%B4/")</f>
        <v>https://t.me/postypashki_old/1872
https://t.me/postypashki_old/1859
https://t.me/m/p94YcePXNjcy
https://old.postypashki.ru/%D0%B0%D0%BB%D0%B3%D0%BE%D1%80%D0%B8%D1%82%D0%BC%D1%8B/
https://old.postypashki.ru/%D0%BA%D0%B0%D1%80%D1%8C%D0%B5%D1%80%D0%BD%D1%8B%D0%B5-%D0%BA%D1%83%D1%80%D1%81%D1%8B/backend-%D1%85%D0%B0%D1%80%D0%B4/</v>
      </c>
      <c r="Z204" s="6" t="b">
        <f>IFERROR(__xludf.DUMMYFUNCTION("""COMPUTED_VALUE"""),TRUE)</f>
        <v>1</v>
      </c>
      <c r="AA204" s="6" t="str">
        <f>IFERROR(__xludf.DUMMYFUNCTION("""COMPUTED_VALUE"""),"")</f>
        <v/>
      </c>
      <c r="AB204" s="6" t="str">
        <f>IFERROR(__xludf.DUMMYFUNCTION("""COMPUTED_VALUE"""),"")</f>
        <v/>
      </c>
      <c r="AC204" s="6" t="str">
        <f>IFERROR(__xludf.DUMMYFUNCTION("""COMPUTED_VALUE"""),"")</f>
        <v/>
      </c>
      <c r="AD204" s="6" t="str">
        <f>IFERROR(__xludf.DUMMYFUNCTION("""COMPUTED_VALUE"""),"")</f>
        <v/>
      </c>
      <c r="AE204" s="6" t="str">
        <f>IFERROR(__xludf.DUMMYFUNCTION("""COMPUTED_VALUE"""),"")</f>
        <v/>
      </c>
      <c r="AF204" s="6" t="str">
        <f>IFERROR(__xludf.DUMMYFUNCTION("""COMPUTED_VALUE"""),"Не подтверждено")</f>
        <v>Не подтверждено</v>
      </c>
      <c r="AG204" s="6" t="str">
        <f>IFERROR(__xludf.DUMMYFUNCTION("""COMPUTED_VALUE"""),"")</f>
        <v/>
      </c>
      <c r="AH204" s="6" t="str">
        <f>IFERROR(__xludf.DUMMYFUNCTION("""COMPUTED_VALUE"""),"2026-09-11T11:47:36.835348+00:00")</f>
        <v>2026-09-11T11:47:36.835348+00:00</v>
      </c>
      <c r="AI204" s="6" t="str">
        <f>IFERROR(__xludf.DUMMYFUNCTION("""COMPUTED_VALUE"""),"raw/codeof_art/page_000.html")</f>
        <v>raw/codeof_art/page_000.html</v>
      </c>
      <c r="AJ204" s="9" t="s">
        <v>223</v>
      </c>
      <c r="AK204" s="9" t="s">
        <v>242</v>
      </c>
      <c r="AL204" s="9" t="s">
        <v>263</v>
      </c>
      <c r="AM204" s="9" t="s">
        <v>231</v>
      </c>
      <c r="AN204" s="4" t="str">
        <f>IFERROR(__xludf.DUMMYFUNCTION("IF(OR(AJ204=""general_brand"",AJ204=""external"",AJ204=""unknown""),"""",IF(AJ204=""product_line"",IF(AK204=""START"",""Аналитика старт | Алгоритмы старт | Backend старт | ML старт"",IF(AK204=""PRO"",""AI-агенты про | Алгоритмы про | Аналитика про | ML пр"&amp;"о | Backend про"",IF(AK204=""START | PRO"",""Аналитика старт | Алгоритмы старт | Backend старт | ML старт | AI-агенты про | Алгоритмы про | Аналитика про | ML про | Backend про"",""""))),TEXTJOIN("" | "",TRUE,IF(REGEXMATCH(LOWER(AL204&amp;"" | ""&amp;E204),""анал"&amp;"итика старт""),""Аналитика старт"",""""),IF(REGEXMATCH(LOWER(AL204&amp;"" | ""&amp;E204),""алгоритмы старт""),""Алгоритмы старт"",""""),IF(REGEXMATCH(LOWER(AL204&amp;"" | ""&amp;E204),""backend старт""),""Backend старт"",""""),IF(REGEXMATCH(LOWER(AL204&amp;"" | ""&amp;E204),""ml"&amp;" старт""),""ML старт"",""""),IF(REGEXMATCH(LOWER(AL204&amp;"" | ""&amp;E204),""ai[ -]?агент""),""AI-агенты про"",""""),IF(REGEXMATCH(LOWER(AL204&amp;"" | ""&amp;E204),""алгоритмы про""),""Алгоритмы про"",""""),IF(REGEXMATCH(LOWER(AL204&amp;"" | ""&amp;E204),""аналитика про""),"""&amp;"Аналитика про"",""""),IF(REGEXMATCH(LOWER(AL204&amp;"" | ""&amp;E204),""ml про""),""ML про"",""""),IF(REGEXMATCH(LOWER(AL204&amp;"" | ""&amp;E204),""backend про""),""Backend про"",""""),IF(REGEXMATCH(LOWER(AL204&amp;"" | ""&amp;E204),""(а/в|ав|а в|ab)[ -]?тест""),""А/В-тесты"","&amp;"""""),IF(REGEXMATCH(LOWER(AL204&amp;"" | ""&amp;E204),""data science""),""Data science"",""""),IF(REGEXMATCH(LOWER(AL204&amp;"" | ""&amp;E204),""data[- ]?инжен""),""Data-инженер"",""""),IF(REGEXMATCH(LOWER(AL204&amp;"" | ""&amp;E204),""frontend""),""Frontend"",""""))))"),"Алгоритмы про | Backend про")</f>
        <v>Алгоритмы про | Backend про</v>
      </c>
    </row>
    <row r="205">
      <c r="A205" s="6" t="str">
        <f>IFERROR(__xludf.DUMMYFUNCTION("""COMPUTED_VALUE"""),"EXT-105")</f>
        <v>EXT-105</v>
      </c>
      <c r="B205" s="6" t="str">
        <f>IFERROR(__xludf.DUMMYFUNCTION("""COMPUTED_VALUE"""),"2026-09-07 18:17:39")</f>
        <v>2026-09-07 18:17:39</v>
      </c>
      <c r="C205" s="6" t="str">
        <f>IFERROR(__xludf.DUMMYFUNCTION("""COMPUTED_VALUE"""),"@matesha_shad")</f>
        <v>@matesha_shad</v>
      </c>
      <c r="D205" s="4" t="str">
        <f>IFERROR(__xludf.DUMMYFUNCTION("""COMPUTED_VALUE"""),"Контент с предложением курсов")</f>
        <v>Контент с предложением курсов</v>
      </c>
      <c r="E205" s="6" t="str">
        <f>IFERROR(__xludf.DUMMYFUNCTION("""COMPUTED_VALUE"""),"")</f>
        <v/>
      </c>
      <c r="F205" s="6" t="str">
        <f>IFERROR(__xludf.DUMMYFUNCTION("""COMPUTED_VALUE"""),"")</f>
        <v/>
      </c>
      <c r="G205" s="10" t="str">
        <f>IFERROR(__xludf.DUMMYFUNCTION("""COMPUTED_VALUE"""),"https://t.me/matesha_shad/388")</f>
        <v>https://t.me/matesha_shad/388</v>
      </c>
      <c r="H205" s="6" t="str">
        <f>IFERROR(__xludf.DUMMYFUNCTION("""COMPUTED_VALUE"""),"Задачи по математике с собеседований в Яндекс, которые спрашивают сейчас аналитиков и мл специалистов и иногда даже по приколу разрабов. Эти задачи - базовый минимум, их должен уметь решать каждый закончивший 3 курса высшего учебного заведения вне зависим"&amp;"ости от того идете вы в Яндекс или в другую контору. Поэтому сохраняем себе, делимся с друзьями такой годнотой! 
Еще больше закрытых материалов и инсайдов на наших курсах ПРО, на которых уже выложен разбор обновленного контеста в Яндекс. 
➡️ Записаться. "&amp;"
Также не забываем про наши банки задач с собесов: 
— Аналитика 
— ML &amp; DS
— Бэкенд 
— Фронтенд 
— Алгоритмы
— Swift 
Подписаться: @matesha_shad")</f>
        <v>Задачи по математике с собеседований в Яндекс, которые спрашивают сейчас аналитиков и мл специалистов и иногда даже по приколу разрабов. Эти задачи - базовый минимум, их должен уметь решать каждый закончивший 3 курса высшего учебного заведения вне зависимости от того идете вы в Яндекс или в другую контору. Поэтому сохраняем себе, делимся с друзьями такой годнотой! 
Еще больше закрытых материалов и инсайдов на наших курсах ПРО, на которых уже выложен разбор обновленного контеста в Яндекс. 
➡️ Записаться. 
Также не забываем про наши банки задач с собесов: 
— Аналитика 
— ML &amp; DS
— Бэкенд 
— Фронтенд 
— Алгоритмы
— Swift 
Подписаться: @matesha_shad</v>
      </c>
      <c r="I205" s="6" t="str">
        <f>IFERROR(__xludf.DUMMYFUNCTION("""COMPUTED_VALUE"""),"external")</f>
        <v>external</v>
      </c>
      <c r="J205" s="10" t="str">
        <f>IFERROR(__xludf.DUMMYFUNCTION("""COMPUTED_VALUE"""),"https://t.me/matesha_shad/388")</f>
        <v>https://t.me/matesha_shad/388</v>
      </c>
      <c r="K205" s="6">
        <f>IFERROR(__xludf.DUMMYFUNCTION("""COMPUTED_VALUE"""),3770.0)</f>
        <v>3770</v>
      </c>
      <c r="L205" s="6">
        <f>IFERROR(__xludf.DUMMYFUNCTION("""COMPUTED_VALUE"""),6.0)</f>
        <v>6</v>
      </c>
      <c r="M205" s="6"/>
      <c r="N205" s="6" t="str">
        <f>IFERROR(__xludf.DUMMYFUNCTION("""COMPUTED_VALUE"""),"Telegram")</f>
        <v>Telegram</v>
      </c>
      <c r="O205" s="6" t="str">
        <f>IFERROR(__xludf.DUMMYFUNCTION("""COMPUTED_VALUE"""),"raw")</f>
        <v>raw</v>
      </c>
      <c r="P205" s="6" t="str">
        <f>IFERROR(__xludf.DUMMYFUNCTION("""COMPUTED_VALUE"""),"Codex")</f>
        <v>Codex</v>
      </c>
      <c r="Q205" s="6" t="str">
        <f>IFERROR(__xludf.DUMMYFUNCTION("""COMPUTED_VALUE"""),"Общий контакт @vice22821; признак связи с проектом")</f>
        <v>Общий контакт @vice22821; признак связи с проектом</v>
      </c>
      <c r="R205" s="6" t="str">
        <f>IFERROR(__xludf.DUMMYFUNCTION("""COMPUTED_VALUE"""),"unknown")</f>
        <v>unknown</v>
      </c>
      <c r="S205" s="6" t="str">
        <f>IFERROR(__xludf.DUMMYFUNCTION("""COMPUTED_VALUE"""),"unknown")</f>
        <v>unknown</v>
      </c>
      <c r="T205" s="6" t="str">
        <f>IFERROR(__xludf.DUMMYFUNCTION("""COMPUTED_VALUE"""),"telegram_external")</f>
        <v>telegram_external</v>
      </c>
      <c r="U205" s="6" t="str">
        <f>IFERROR(__xludf.DUMMYFUNCTION("""COMPUTED_VALUE"""),"Контент с предложением курсов")</f>
        <v>Контент с предложением курсов</v>
      </c>
      <c r="V205" s="6" t="str">
        <f>IFERROR(__xludf.DUMMYFUNCTION("""COMPUTED_VALUE"""),"")</f>
        <v/>
      </c>
      <c r="W205" s="6" t="str">
        <f>IFERROR(__xludf.DUMMYFUNCTION("""COMPUTED_VALUE"""),"")</f>
        <v/>
      </c>
      <c r="X205" s="6"/>
      <c r="Y205" s="10" t="str">
        <f>IFERROR(__xludf.DUMMYFUNCTION("""COMPUTED_VALUE"""),"https://t.me/m/p94YcePXNjcy")</f>
        <v>https://t.me/m/p94YcePXNjcy</v>
      </c>
      <c r="Z205" s="6" t="b">
        <f>IFERROR(__xludf.DUMMYFUNCTION("""COMPUTED_VALUE"""),TRUE)</f>
        <v>1</v>
      </c>
      <c r="AA205" s="6" t="str">
        <f>IFERROR(__xludf.DUMMYFUNCTION("""COMPUTED_VALUE"""),"")</f>
        <v/>
      </c>
      <c r="AB205" s="6" t="str">
        <f>IFERROR(__xludf.DUMMYFUNCTION("""COMPUTED_VALUE"""),"")</f>
        <v/>
      </c>
      <c r="AC205" s="6" t="str">
        <f>IFERROR(__xludf.DUMMYFUNCTION("""COMPUTED_VALUE"""),"")</f>
        <v/>
      </c>
      <c r="AD205" s="6" t="str">
        <f>IFERROR(__xludf.DUMMYFUNCTION("""COMPUTED_VALUE"""),"")</f>
        <v/>
      </c>
      <c r="AE205" s="6" t="str">
        <f>IFERROR(__xludf.DUMMYFUNCTION("""COMPUTED_VALUE"""),"")</f>
        <v/>
      </c>
      <c r="AF205" s="6" t="str">
        <f>IFERROR(__xludf.DUMMYFUNCTION("""COMPUTED_VALUE"""),"Не подтверждено")</f>
        <v>Не подтверждено</v>
      </c>
      <c r="AG205" s="6" t="str">
        <f>IFERROR(__xludf.DUMMYFUNCTION("""COMPUTED_VALUE"""),"")</f>
        <v/>
      </c>
      <c r="AH205" s="6" t="str">
        <f>IFERROR(__xludf.DUMMYFUNCTION("""COMPUTED_VALUE"""),"2026-09-11T11:47:48.120400+00:00")</f>
        <v>2026-09-11T11:47:48.120400+00:00</v>
      </c>
      <c r="AI205" s="6" t="str">
        <f>IFERROR(__xludf.DUMMYFUNCTION("""COMPUTED_VALUE"""),"raw/matesha_shad/page_000.html")</f>
        <v>raw/matesha_shad/page_000.html</v>
      </c>
      <c r="AJ205" s="9" t="s">
        <v>167</v>
      </c>
      <c r="AK205" s="9" t="s">
        <v>242</v>
      </c>
      <c r="AM205" s="9" t="s">
        <v>228</v>
      </c>
      <c r="AN205" s="4" t="str">
        <f>IFERROR(__xludf.DUMMYFUNCTION("IF(OR(AJ205=""general_brand"",AJ205=""external"",AJ205=""unknown""),"""",IF(AJ205=""product_line"",IF(AK205=""START"",""Аналитика старт | Алгоритмы старт | Backend старт | ML старт"",IF(AK205=""PRO"",""AI-агенты про | Алгоритмы про | Аналитика про | ML пр"&amp;"о | Backend про"",IF(AK205=""START | PRO"",""Аналитика старт | Алгоритмы старт | Backend старт | ML старт | AI-агенты про | Алгоритмы про | Аналитика про | ML про | Backend про"",""""))),TEXTJOIN("" | "",TRUE,IF(REGEXMATCH(LOWER(AL205&amp;"" | ""&amp;E205),""анал"&amp;"итика старт""),""Аналитика старт"",""""),IF(REGEXMATCH(LOWER(AL205&amp;"" | ""&amp;E205),""алгоритмы старт""),""Алгоритмы старт"",""""),IF(REGEXMATCH(LOWER(AL205&amp;"" | ""&amp;E205),""backend старт""),""Backend старт"",""""),IF(REGEXMATCH(LOWER(AL205&amp;"" | ""&amp;E205),""ml"&amp;" старт""),""ML старт"",""""),IF(REGEXMATCH(LOWER(AL205&amp;"" | ""&amp;E205),""ai[ -]?агент""),""AI-агенты про"",""""),IF(REGEXMATCH(LOWER(AL205&amp;"" | ""&amp;E205),""алгоритмы про""),""Алгоритмы про"",""""),IF(REGEXMATCH(LOWER(AL205&amp;"" | ""&amp;E205),""аналитика про""),"""&amp;"Аналитика про"",""""),IF(REGEXMATCH(LOWER(AL205&amp;"" | ""&amp;E205),""ml про""),""ML про"",""""),IF(REGEXMATCH(LOWER(AL205&amp;"" | ""&amp;E205),""backend про""),""Backend про"",""""),IF(REGEXMATCH(LOWER(AL205&amp;"" | ""&amp;E205),""(а/в|ав|а в|ab)[ -]?тест""),""А/В-тесты"","&amp;"""""),IF(REGEXMATCH(LOWER(AL205&amp;"" | ""&amp;E205),""data science""),""Data science"",""""),IF(REGEXMATCH(LOWER(AL205&amp;"" | ""&amp;E205),""data[- ]?инжен""),""Data-инженер"",""""),IF(REGEXMATCH(LOWER(AL205&amp;"" | ""&amp;E205),""frontend""),""Frontend"",""""))))"),"AI-агенты про | Алгоритмы про | Аналитика про | ML про | Backend про")</f>
        <v>AI-агенты про | Алгоритмы про | Аналитика про | ML про | Backend про</v>
      </c>
    </row>
    <row r="206">
      <c r="A206" s="6" t="str">
        <f>IFERROR(__xludf.DUMMYFUNCTION("""COMPUTED_VALUE"""),"EXT-106")</f>
        <v>EXT-106</v>
      </c>
      <c r="B206" s="6" t="str">
        <f>IFERROR(__xludf.DUMMYFUNCTION("""COMPUTED_VALUE"""),"2026-09-07 17:03:15")</f>
        <v>2026-09-07 17:03:15</v>
      </c>
      <c r="C206" s="6" t="str">
        <f>IFERROR(__xludf.DUMMYFUNCTION("""COMPUTED_VALUE"""),"@postypashki_mems")</f>
        <v>@postypashki_mems</v>
      </c>
      <c r="D206" s="4" t="str">
        <f>IFERROR(__xludf.DUMMYFUNCTION("""COMPUTED_VALUE"""),"Бесплатное событие / лид-магнит")</f>
        <v>Бесплатное событие / лид-магнит</v>
      </c>
      <c r="E206" s="6" t="str">
        <f>IFERROR(__xludf.DUMMYFUNCTION("""COMPUTED_VALUE"""),"")</f>
        <v/>
      </c>
      <c r="F206" s="6" t="str">
        <f>IFERROR(__xludf.DUMMYFUNCTION("""COMPUTED_VALUE"""),"")</f>
        <v/>
      </c>
      <c r="G206" s="10" t="str">
        <f>IFERROR(__xludf.DUMMYFUNCTION("""COMPUTED_VALUE"""),"https://t.me/postypashki_mems/1416")</f>
        <v>https://t.me/postypashki_mems/1416</v>
      </c>
      <c r="H206" s="6" t="str">
        <f>IFERROR(__xludf.DUMMYFUNCTION("""COMPUTED_VALUE"""),"Уметь считать ≠ уметь анализировать
С 7 по 13 сентября проводим бесплатную неделю «Аналитика вне SQL» — мини-симулятор реальной работы аналитика.
Можно нормально знать SQL, статистику, Python, строить дашборды — и всё равно теряться, когда на собеседова"&amp;"нии или на работе тебя спрашивают:
«У нас упала выручка. Разберись, почему».
Потому что в реальной работе сначала нужно понять, что происходит с бизнесом, какой вопрос мы решаем и какое решение должно появиться на выходе.
За 7 дней вы:
⏩решите 3 проду"&amp;"ктовых кейса — от бизнес-задачи до решения
⏩ встретитесь с HR, который работал в X5 и Яндексе и нанимал людей от стажёров до топ-менеджеров
⏩ поговорите с senior-аналитиком Avito о том, как меняется работа аналитика по мере роста
⏩ поучаствуете в первом а"&amp;"налитическом хакатоне Поступашек
На хакатоне вы соберётесь в команды, получите реальный продуктовый кейс и за выходные пройдёте весь путь аналитика: разберётесь в проблеме, поработаете с данными, предложите решение и защитите его.
💰 Приз — 30 000 ₽
Ку"&amp;"рс подойдёт и новичкам, и действующим аналитикам, которые хотят лучше понимать продукт и бизнес, увереннее решать неструктурированные задачи и расти дальше.
Все кейсы, встречи, записи и материалы будут в отдельном закрытом канале.
Участие бесплатное. Пе"&amp;"рвое занятие уже сегодня в 19:00 
📌 Присоединиться на курс по ссылке https://t.me/+j_RdPEr7JudjNWM0")</f>
        <v>Уметь считать ≠ уметь анализировать
С 7 по 13 сентября проводим бесплатную неделю «Аналитика вне SQL» — мини-симулятор реальной работы аналитика.
Можно нормально знать SQL, статистику, Python, строить дашборды — и всё равно теряться, когда на собеседовании или на работе тебя спрашивают:
«У нас упала выручка. Разберись, почему».
Потому что в реальной работе сначала нужно понять, что происходит с бизнесом, какой вопрос мы решаем и какое решение должно появиться на выходе.
За 7 дней вы:
⏩решите 3 продуктовых кейса — от бизнес-задачи до решения
⏩ встретитесь с HR, который работал в X5 и Яндексе и нанимал людей от стажёров до топ-менеджеров
⏩ поговорите с senior-аналитиком Avito о том, как меняется работа аналитика по мере роста
⏩ поучаствуете в первом аналитическом хакатоне Поступашек
На хакатоне вы соберётесь в команды, получите реальный продуктовый кейс и за выходные пройдёте весь путь аналитика: разберётесь в проблеме, поработаете с данными, предложите решение и защитите его.
💰 Приз — 30 000 ₽
Курс подойдёт и новичкам, и действующим аналитикам, которые хотят лучше понимать продукт и бизнес, увереннее решать неструктурированные задачи и расти дальше.
Все кейсы, встречи, записи и материалы будут в отдельном закрытом канале.
Участие бесплатное. Первое занятие уже сегодня в 19:00 
📌 Присоединиться на курс по ссылке https://t.me/+j_RdPEr7JudjNWM0</v>
      </c>
      <c r="I206" s="6" t="str">
        <f>IFERROR(__xludf.DUMMYFUNCTION("""COMPUTED_VALUE"""),"external")</f>
        <v>external</v>
      </c>
      <c r="J206" s="10" t="str">
        <f>IFERROR(__xludf.DUMMYFUNCTION("""COMPUTED_VALUE"""),"https://t.me/postypashki_mems/1416")</f>
        <v>https://t.me/postypashki_mems/1416</v>
      </c>
      <c r="K206" s="6">
        <f>IFERROR(__xludf.DUMMYFUNCTION("""COMPUTED_VALUE"""),965.0)</f>
        <v>965</v>
      </c>
      <c r="L206" s="6">
        <f>IFERROR(__xludf.DUMMYFUNCTION("""COMPUTED_VALUE"""),2.0)</f>
        <v>2</v>
      </c>
      <c r="M206" s="6"/>
      <c r="N206" s="6" t="str">
        <f>IFERROR(__xludf.DUMMYFUNCTION("""COMPUTED_VALUE"""),"Telegram")</f>
        <v>Telegram</v>
      </c>
      <c r="O206" s="6" t="str">
        <f>IFERROR(__xludf.DUMMYFUNCTION("""COMPUTED_VALUE"""),"raw")</f>
        <v>raw</v>
      </c>
      <c r="P206" s="6" t="str">
        <f>IFERROR(__xludf.DUMMYFUNCTION("""COMPUTED_VALUE"""),"Codex")</f>
        <v>Codex</v>
      </c>
      <c r="Q206" s="6" t="str">
        <f>IFERROR(__xludf.DUMMYFUNCTION("""COMPUTED_VALUE"""),"Общий контакт @vice22821; признак связи с проектом")</f>
        <v>Общий контакт @vice22821; признак связи с проектом</v>
      </c>
      <c r="R206" s="6" t="str">
        <f>IFERROR(__xludf.DUMMYFUNCTION("""COMPUTED_VALUE"""),"unknown")</f>
        <v>unknown</v>
      </c>
      <c r="S206" s="6" t="str">
        <f>IFERROR(__xludf.DUMMYFUNCTION("""COMPUTED_VALUE"""),"unknown")</f>
        <v>unknown</v>
      </c>
      <c r="T206" s="6" t="str">
        <f>IFERROR(__xludf.DUMMYFUNCTION("""COMPUTED_VALUE"""),"telegram_external")</f>
        <v>telegram_external</v>
      </c>
      <c r="U206" s="6" t="str">
        <f>IFERROR(__xludf.DUMMYFUNCTION("""COMPUTED_VALUE"""),"Бесплатное событие / лид-магнит")</f>
        <v>Бесплатное событие / лид-магнит</v>
      </c>
      <c r="V206" s="6" t="str">
        <f>IFERROR(__xludf.DUMMYFUNCTION("""COMPUTED_VALUE"""),"")</f>
        <v/>
      </c>
      <c r="W206" s="6" t="str">
        <f>IFERROR(__xludf.DUMMYFUNCTION("""COMPUTED_VALUE"""),"")</f>
        <v/>
      </c>
      <c r="X206" s="6" t="str">
        <f>IFERROR(__xludf.DUMMYFUNCTION("""COMPUTED_VALUE"""),"Forwarded from Поступашки - ШАД, Стажировки и Магистратура")</f>
        <v>Forwarded from Поступашки - ШАД, Стажировки и Магистратура</v>
      </c>
      <c r="Y206" s="10" t="str">
        <f>IFERROR(__xludf.DUMMYFUNCTION("""COMPUTED_VALUE"""),"https://t.me/postypashki_old/1887")</f>
        <v>https://t.me/postypashki_old/1887</v>
      </c>
      <c r="Z206" s="6" t="b">
        <f>IFERROR(__xludf.DUMMYFUNCTION("""COMPUTED_VALUE"""),TRUE)</f>
        <v>1</v>
      </c>
      <c r="AA206" s="6" t="str">
        <f>IFERROR(__xludf.DUMMYFUNCTION("""COMPUTED_VALUE"""),"")</f>
        <v/>
      </c>
      <c r="AB206" s="6" t="str">
        <f>IFERROR(__xludf.DUMMYFUNCTION("""COMPUTED_VALUE"""),"")</f>
        <v/>
      </c>
      <c r="AC206" s="6" t="str">
        <f>IFERROR(__xludf.DUMMYFUNCTION("""COMPUTED_VALUE"""),"")</f>
        <v/>
      </c>
      <c r="AD206" s="6" t="str">
        <f>IFERROR(__xludf.DUMMYFUNCTION("""COMPUTED_VALUE"""),"")</f>
        <v/>
      </c>
      <c r="AE206" s="6" t="str">
        <f>IFERROR(__xludf.DUMMYFUNCTION("""COMPUTED_VALUE"""),"")</f>
        <v/>
      </c>
      <c r="AF206" s="6" t="str">
        <f>IFERROR(__xludf.DUMMYFUNCTION("""COMPUTED_VALUE"""),"Не подтверждено")</f>
        <v>Не подтверждено</v>
      </c>
      <c r="AG206" s="6" t="str">
        <f>IFERROR(__xludf.DUMMYFUNCTION("""COMPUTED_VALUE"""),"")</f>
        <v/>
      </c>
      <c r="AH206" s="6" t="str">
        <f>IFERROR(__xludf.DUMMYFUNCTION("""COMPUTED_VALUE"""),"2026-09-11T11:47:56.350687+00:00")</f>
        <v>2026-09-11T11:47:56.350687+00:00</v>
      </c>
      <c r="AI206" s="6" t="str">
        <f>IFERROR(__xludf.DUMMYFUNCTION("""COMPUTED_VALUE"""),"raw/postypashki_mems/page_000.html")</f>
        <v>raw/postypashki_mems/page_000.html</v>
      </c>
      <c r="AJ206" s="9" t="s">
        <v>224</v>
      </c>
      <c r="AL206" s="9" t="s">
        <v>248</v>
      </c>
      <c r="AM206" s="9" t="s">
        <v>228</v>
      </c>
      <c r="AN206" s="4" t="str">
        <f>IFERROR(__xludf.DUMMYFUNCTION("IF(OR(AJ206=""general_brand"",AJ206=""external"",AJ206=""unknown""),"""",IF(AJ206=""product_line"",IF(AK206=""START"",""Аналитика старт | Алгоритмы старт | Backend старт | ML старт"",IF(AK206=""PRO"",""AI-агенты про | Алгоритмы про | Аналитика про | ML пр"&amp;"о | Backend про"",IF(AK206=""START | PRO"",""Аналитика старт | Алгоритмы старт | Backend старт | ML старт | AI-агенты про | Алгоритмы про | Аналитика про | ML про | Backend про"",""""))),TEXTJOIN("" | "",TRUE,IF(REGEXMATCH(LOWER(AL206&amp;"" | ""&amp;E206),""анал"&amp;"итика старт""),""Аналитика старт"",""""),IF(REGEXMATCH(LOWER(AL206&amp;"" | ""&amp;E206),""алгоритмы старт""),""Алгоритмы старт"",""""),IF(REGEXMATCH(LOWER(AL206&amp;"" | ""&amp;E206),""backend старт""),""Backend старт"",""""),IF(REGEXMATCH(LOWER(AL206&amp;"" | ""&amp;E206),""ml"&amp;" старт""),""ML старт"",""""),IF(REGEXMATCH(LOWER(AL206&amp;"" | ""&amp;E206),""ai[ -]?агент""),""AI-агенты про"",""""),IF(REGEXMATCH(LOWER(AL206&amp;"" | ""&amp;E206),""алгоритмы про""),""Алгоритмы про"",""""),IF(REGEXMATCH(LOWER(AL206&amp;"" | ""&amp;E206),""аналитика про""),"""&amp;"Аналитика про"",""""),IF(REGEXMATCH(LOWER(AL206&amp;"" | ""&amp;E206),""ml про""),""ML про"",""""),IF(REGEXMATCH(LOWER(AL206&amp;"" | ""&amp;E206),""backend про""),""Backend про"",""""),IF(REGEXMATCH(LOWER(AL206&amp;"" | ""&amp;E206),""(а/в|ав|а в|ab)[ -]?тест""),""А/В-тесты"","&amp;"""""),IF(REGEXMATCH(LOWER(AL206&amp;"" | ""&amp;E206),""data science""),""Data science"",""""),IF(REGEXMATCH(LOWER(AL206&amp;"" | ""&amp;E206),""data[- ]?инжен""),""Data-инженер"",""""),IF(REGEXMATCH(LOWER(AL206&amp;"" | ""&amp;E206),""frontend""),""Frontend"",""""))))"),"")</f>
        <v/>
      </c>
    </row>
    <row r="207">
      <c r="A207" s="6" t="str">
        <f>IFERROR(__xludf.DUMMYFUNCTION("""COMPUTED_VALUE"""),"EXT-107")</f>
        <v>EXT-107</v>
      </c>
      <c r="B207" s="6" t="str">
        <f>IFERROR(__xludf.DUMMYFUNCTION("""COMPUTED_VALUE"""),"2026-09-07 19:34:12")</f>
        <v>2026-09-07 19:34:12</v>
      </c>
      <c r="C207" s="6" t="str">
        <f>IFERROR(__xludf.DUMMYFUNCTION("""COMPUTED_VALUE"""),"@zadachi_ds")</f>
        <v>@zadachi_ds</v>
      </c>
      <c r="D207" s="4" t="str">
        <f>IFERROR(__xludf.DUMMYFUNCTION("""COMPUTED_VALUE"""),"Контент с предложением курсов")</f>
        <v>Контент с предложением курсов</v>
      </c>
      <c r="E207" s="6" t="str">
        <f>IFERROR(__xludf.DUMMYFUNCTION("""COMPUTED_VALUE"""),"")</f>
        <v/>
      </c>
      <c r="F207" s="6" t="str">
        <f>IFERROR(__xludf.DUMMYFUNCTION("""COMPUTED_VALUE"""),"")</f>
        <v/>
      </c>
      <c r="G207" s="10" t="str">
        <f>IFERROR(__xludf.DUMMYFUNCTION("""COMPUTED_VALUE"""),"https://t.me/zadachi_ds/422")</f>
        <v>https://t.me/zadachi_ds/422</v>
      </c>
      <c r="H207" s="6" t="str">
        <f>IFERROR(__xludf.DUMMYFUNCTION("""COMPUTED_VALUE"""),"Стажировка в Яндексе одна из лучших возможностей для старта в МЛ:
• МНОГО СВОБОДНЫХ ЖЕНЩИН 
• специалисты высокого класса
• зарплаты в среднем выше рынка 
• современный стек и проекты 
• хорошо выстроены процессы 
• корпоративная культура
Для участия ну"&amp;"жно подать анкету заполнить анкету и зарешать контест. Разбор контеста уже выложен на нашем курсе мл про, аи агенты про. 
➡ Записаться. 
Как заполнять анкеты смотрим этот ролик. После контеста вас ждет один алгособес на 2 литкод задачи medium и один техн"&amp;"ический собес: алгосы + ML. И наконец собеседования с командами. На моем опыте максимально, сколько может быть собесов с командой - 9.
Финальные собесы
Если команда точно понимает, что им нужен стажёр закрыть пару дыр и после он не нужен, то собес больше"&amp;" про твой опыт, почему Яндекс, как планируешь совмещать с учебой, а что будешь делать, если стажку не продлим/не возьмём в штат. Такие больше на метч с командой и посмотреть не будешь ли ты ныть, что на стажке будешь заниматься скучной фигней, расскажут к"&amp;"акой есть пул задач и спросят, что из этого интересно. Обычно такое в продуктовые команды. 
Если команде нужен специалист, которого они хотят растить, то собес посерьезней из разряда: МЛ систем дизайн, ML special и тд. Пример нашего выпускника можно посм"&amp;"отреть здесь.  
Конкретнее все зависит от того, кто собесит: chill guy или факер. Выбирайте команду с умом, ее можно поменять.
Штат 
Можно сразу на финале спросить, а будут ли места в штате. Конечно обмануть могут, но за вопрос денег не берут и пусть с"&amp;"ила вам подскажет. 
После стажировки есть несколько вариантов: 
1. Если плохой отзыв от команды и говорят «уходи», то нужно заново проходить все собесы на стажера 
2. Могут сказать, что ты не очень и иди на стажировку снова (без собесов, только финалы) 
"&amp;"3. Можешь пойти в штат:
а) ты классный - можешь пойти к нам на миддла (но нужно опять пройти АА, потом финалы), если не пройдешь, то возьмут на джуна
б) ты не дотягиваешь до миддла - ты джун и если команда не готова взять джуна, то нужно идти искать, кто "&amp;"может взять к себе джуна самому 
в) можно искать, кто готов взять к себе миддла/джуна и врубать свои навыки социальной инженерии на максимум 
При идеальном мэтче, вы в Яндексе - поздравляю! 
Подписаться: @zadachi_ds")</f>
        <v>Стажировка в Яндексе одна из лучших возможностей для старта в МЛ:
• МНОГО СВОБОДНЫХ ЖЕНЩИН 
• специалисты высокого класса
• зарплаты в среднем выше рынка 
• современный стек и проекты 
• хорошо выстроены процессы 
• корпоративная культура
Для участия нужно подать анкету заполнить анкету и зарешать контест. Разбор контеста уже выложен на нашем курсе мл про, аи агенты про. 
➡ Записаться. 
Как заполнять анкеты смотрим этот ролик. После контеста вас ждет один алгособес на 2 литкод задачи medium и один технический собес: алгосы + ML. И наконец собеседования с командами. На моем опыте максимально, сколько может быть собесов с командой - 9.
Финальные собесы
Если команда точно понимает, что им нужен стажёр закрыть пару дыр и после он не нужен, то собес больше про твой опыт, почему Яндекс, как планируешь совмещать с учебой, а что будешь делать, если стажку не продлим/не возьмём в штат. Такие больше на метч с командой и посмотреть не будешь ли ты ныть, что на стажке будешь заниматься скучной фигней, расскажут какой есть пул задач и спросят, что из этого интересно. Обычно такое в продуктовые команды. 
Если команде нужен специалист, которого они хотят растить, то собес посерьезней из разряда: МЛ систем дизайн, ML special и тд. Пример нашего выпускника можно посмотреть здесь.  
Конкретнее все зависит от того, кто собесит: chill guy или факер. Выбирайте команду с умом, ее можно поменять.
Штат 
Можно сразу на финале спросить, а будут ли места в штате. Конечно обмануть могут, но за вопрос денег не берут и пусть сила вам подскажет. 
После стажировки есть несколько вариантов: 
1. Если плохой отзыв от команды и говорят «уходи», то нужно заново проходить все собесы на стажера 
2. Могут сказать, что ты не очень и иди на стажировку снова (без собесов, только финалы) 
3. Можешь пойти в штат:
а) ты классный - можешь пойти к нам на миддла (но нужно опять пройти АА, потом финалы), если не пройдешь, то возьмут на джуна
б) ты не дотягиваешь до миддла - ты джун и если команда не готова взять джуна, то нужно идти искать, кто может взять к себе джуна самому 
в) можно искать, кто готов взять к себе миддла/джуна и врубать свои навыки социальной инженерии на максимум 
При идеальном мэтче, вы в Яндексе - поздравляю! 
Подписаться: @zadachi_ds</v>
      </c>
      <c r="I207" s="6" t="str">
        <f>IFERROR(__xludf.DUMMYFUNCTION("""COMPUTED_VALUE"""),"external")</f>
        <v>external</v>
      </c>
      <c r="J207" s="10" t="str">
        <f>IFERROR(__xludf.DUMMYFUNCTION("""COMPUTED_VALUE"""),"https://t.me/zadachi_ds/422")</f>
        <v>https://t.me/zadachi_ds/422</v>
      </c>
      <c r="K207" s="6">
        <f>IFERROR(__xludf.DUMMYFUNCTION("""COMPUTED_VALUE"""),2260.0)</f>
        <v>2260</v>
      </c>
      <c r="L207" s="6">
        <f>IFERROR(__xludf.DUMMYFUNCTION("""COMPUTED_VALUE"""),22.0)</f>
        <v>22</v>
      </c>
      <c r="M207" s="6"/>
      <c r="N207" s="6" t="str">
        <f>IFERROR(__xludf.DUMMYFUNCTION("""COMPUTED_VALUE"""),"Telegram")</f>
        <v>Telegram</v>
      </c>
      <c r="O207" s="6" t="str">
        <f>IFERROR(__xludf.DUMMYFUNCTION("""COMPUTED_VALUE"""),"raw")</f>
        <v>raw</v>
      </c>
      <c r="P207" s="6" t="str">
        <f>IFERROR(__xludf.DUMMYFUNCTION("""COMPUTED_VALUE"""),"Codex")</f>
        <v>Codex</v>
      </c>
      <c r="Q207" s="6" t="str">
        <f>IFERROR(__xludf.DUMMYFUNCTION("""COMPUTED_VALUE"""),"Общий контакт @vice22821; признак связи с проектом")</f>
        <v>Общий контакт @vice22821; признак связи с проектом</v>
      </c>
      <c r="R207" s="6" t="str">
        <f>IFERROR(__xludf.DUMMYFUNCTION("""COMPUTED_VALUE"""),"unknown")</f>
        <v>unknown</v>
      </c>
      <c r="S207" s="6" t="str">
        <f>IFERROR(__xludf.DUMMYFUNCTION("""COMPUTED_VALUE"""),"unknown")</f>
        <v>unknown</v>
      </c>
      <c r="T207" s="6" t="str">
        <f>IFERROR(__xludf.DUMMYFUNCTION("""COMPUTED_VALUE"""),"telegram_external")</f>
        <v>telegram_external</v>
      </c>
      <c r="U207" s="6" t="str">
        <f>IFERROR(__xludf.DUMMYFUNCTION("""COMPUTED_VALUE"""),"Контент с предложением курсов")</f>
        <v>Контент с предложением курсов</v>
      </c>
      <c r="V207" s="6" t="str">
        <f>IFERROR(__xludf.DUMMYFUNCTION("""COMPUTED_VALUE"""),"")</f>
        <v/>
      </c>
      <c r="W207" s="6" t="str">
        <f>IFERROR(__xludf.DUMMYFUNCTION("""COMPUTED_VALUE"""),"")</f>
        <v/>
      </c>
      <c r="X207" s="6"/>
      <c r="Y207" s="6" t="str">
        <f>IFERROR(__xludf.DUMMYFUNCTION("""COMPUTED_VALUE"""),"https://t.me/postypashki_old/1872
https://t.me/postypashki_old/1859
https://t.me/m/p94YcePXNjcy
https://old.postypashki.ru/%D0%B0%D0%BB%D0%B3%D0%BE%D1%80%D0%B8%D1%82%D0%BC%D1%8B/
https://t.me/postypashki_old/1869
https://t.me/postypashki_old/1106")</f>
        <v>https://t.me/postypashki_old/1872
https://t.me/postypashki_old/1859
https://t.me/m/p94YcePXNjcy
https://old.postypashki.ru/%D0%B0%D0%BB%D0%B3%D0%BE%D1%80%D0%B8%D1%82%D0%BC%D1%8B/
https://t.me/postypashki_old/1869
https://t.me/postypashki_old/1106</v>
      </c>
      <c r="Z207" s="6" t="b">
        <f>IFERROR(__xludf.DUMMYFUNCTION("""COMPUTED_VALUE"""),TRUE)</f>
        <v>1</v>
      </c>
      <c r="AA207" s="6" t="str">
        <f>IFERROR(__xludf.DUMMYFUNCTION("""COMPUTED_VALUE"""),"")</f>
        <v/>
      </c>
      <c r="AB207" s="6" t="str">
        <f>IFERROR(__xludf.DUMMYFUNCTION("""COMPUTED_VALUE"""),"")</f>
        <v/>
      </c>
      <c r="AC207" s="6" t="str">
        <f>IFERROR(__xludf.DUMMYFUNCTION("""COMPUTED_VALUE"""),"")</f>
        <v/>
      </c>
      <c r="AD207" s="6" t="str">
        <f>IFERROR(__xludf.DUMMYFUNCTION("""COMPUTED_VALUE"""),"")</f>
        <v/>
      </c>
      <c r="AE207" s="6" t="str">
        <f>IFERROR(__xludf.DUMMYFUNCTION("""COMPUTED_VALUE"""),"")</f>
        <v/>
      </c>
      <c r="AF207" s="6" t="str">
        <f>IFERROR(__xludf.DUMMYFUNCTION("""COMPUTED_VALUE"""),"Не подтверждено")</f>
        <v>Не подтверждено</v>
      </c>
      <c r="AG207" s="6" t="str">
        <f>IFERROR(__xludf.DUMMYFUNCTION("""COMPUTED_VALUE"""),"")</f>
        <v/>
      </c>
      <c r="AH207" s="6" t="str">
        <f>IFERROR(__xludf.DUMMYFUNCTION("""COMPUTED_VALUE"""),"2026-09-11T11:47:39.365425+00:00")</f>
        <v>2026-09-11T11:47:39.365425+00:00</v>
      </c>
      <c r="AI207" s="6" t="str">
        <f>IFERROR(__xludf.DUMMYFUNCTION("""COMPUTED_VALUE"""),"raw/zadachi_ds/page_000.html")</f>
        <v>raw/zadachi_ds/page_000.html</v>
      </c>
      <c r="AJ207" s="9" t="s">
        <v>223</v>
      </c>
      <c r="AK207" s="9" t="s">
        <v>242</v>
      </c>
      <c r="AL207" s="9" t="s">
        <v>255</v>
      </c>
      <c r="AM207" s="9" t="s">
        <v>226</v>
      </c>
      <c r="AN207" s="4" t="str">
        <f>IFERROR(__xludf.DUMMYFUNCTION("IF(OR(AJ207=""general_brand"",AJ207=""external"",AJ207=""unknown""),"""",IF(AJ207=""product_line"",IF(AK207=""START"",""Аналитика старт | Алгоритмы старт | Backend старт | ML старт"",IF(AK207=""PRO"",""AI-агенты про | Алгоритмы про | Аналитика про | ML пр"&amp;"о | Backend про"",IF(AK207=""START | PRO"",""Аналитика старт | Алгоритмы старт | Backend старт | ML старт | AI-агенты про | Алгоритмы про | Аналитика про | ML про | Backend про"",""""))),TEXTJOIN("" | "",TRUE,IF(REGEXMATCH(LOWER(AL207&amp;"" | ""&amp;E207),""анал"&amp;"итика старт""),""Аналитика старт"",""""),IF(REGEXMATCH(LOWER(AL207&amp;"" | ""&amp;E207),""алгоритмы старт""),""Алгоритмы старт"",""""),IF(REGEXMATCH(LOWER(AL207&amp;"" | ""&amp;E207),""backend старт""),""Backend старт"",""""),IF(REGEXMATCH(LOWER(AL207&amp;"" | ""&amp;E207),""ml"&amp;" старт""),""ML старт"",""""),IF(REGEXMATCH(LOWER(AL207&amp;"" | ""&amp;E207),""ai[ -]?агент""),""AI-агенты про"",""""),IF(REGEXMATCH(LOWER(AL207&amp;"" | ""&amp;E207),""алгоритмы про""),""Алгоритмы про"",""""),IF(REGEXMATCH(LOWER(AL207&amp;"" | ""&amp;E207),""аналитика про""),"""&amp;"Аналитика про"",""""),IF(REGEXMATCH(LOWER(AL207&amp;"" | ""&amp;E207),""ml про""),""ML про"",""""),IF(REGEXMATCH(LOWER(AL207&amp;"" | ""&amp;E207),""backend про""),""Backend про"",""""),IF(REGEXMATCH(LOWER(AL207&amp;"" | ""&amp;E207),""(а/в|ав|а в|ab)[ -]?тест""),""А/В-тесты"","&amp;"""""),IF(REGEXMATCH(LOWER(AL207&amp;"" | ""&amp;E207),""data science""),""Data science"",""""),IF(REGEXMATCH(LOWER(AL207&amp;"" | ""&amp;E207),""data[- ]?инжен""),""Data-инженер"",""""),IF(REGEXMATCH(LOWER(AL207&amp;"" | ""&amp;E207),""frontend""),""Frontend"",""""))))"),"AI-агенты про | ML про")</f>
        <v>AI-агенты про | ML про</v>
      </c>
    </row>
    <row r="208">
      <c r="A208" s="6" t="str">
        <f>IFERROR(__xludf.DUMMYFUNCTION("""COMPUTED_VALUE"""),"EXT-108")</f>
        <v>EXT-108</v>
      </c>
      <c r="B208" s="6" t="str">
        <f>IFERROR(__xludf.DUMMYFUNCTION("""COMPUTED_VALUE"""),"2026-09-08 17:55:21")</f>
        <v>2026-09-08 17:55:21</v>
      </c>
      <c r="C208" s="6" t="str">
        <f>IFERROR(__xludf.DUMMYFUNCTION("""COMPUTED_VALUE"""),"@ProdAnalysis")</f>
        <v>@ProdAnalysis</v>
      </c>
      <c r="D208" s="4" t="str">
        <f>IFERROR(__xludf.DUMMYFUNCTION("""COMPUTED_VALUE"""),"Бесплатное событие / лид-магнит")</f>
        <v>Бесплатное событие / лид-магнит</v>
      </c>
      <c r="E208" s="6" t="str">
        <f>IFERROR(__xludf.DUMMYFUNCTION("""COMPUTED_VALUE"""),"")</f>
        <v/>
      </c>
      <c r="F208" s="6" t="str">
        <f>IFERROR(__xludf.DUMMYFUNCTION("""COMPUTED_VALUE"""),"")</f>
        <v/>
      </c>
      <c r="G208" s="10" t="str">
        <f>IFERROR(__xludf.DUMMYFUNCTION("""COMPUTED_VALUE"""),"https://t.me/ProdAnalysis/175")</f>
        <v>https://t.me/ProdAnalysis/175</v>
      </c>
      <c r="H208" s="6" t="str">
        <f>IFERROR(__xludf.DUMMYFUNCTION("""COMPUTED_VALUE"""),"Слив протоколов АВ тестирования для кейс-интервью X5
Наши выпускники не только сейчас активно проходят собесы, но и уже давно закрепились в штате и проводят собесы. 
В честь нашей открытой недели по аналитике, которое стартует уже сегодня, делимся гайдо"&amp;"м по проведению АВ тестирования в Х5 на основе внутренних методичек, публичных выступлений и протоколов проведения собеседований. Делитесь с друзьями такой годной! 
Присоединиться к открытой недели можно по ссылке: https://t.me/+j_RdPEr7JudjNWM0
Подписа"&amp;"ться: @ProdAnalysis")</f>
        <v>Слив протоколов АВ тестирования для кейс-интервью X5
Наши выпускники не только сейчас активно проходят собесы, но и уже давно закрепились в штате и проводят собесы. 
В честь нашей открытой недели по аналитике, которое стартует уже сегодня, делимся гайдом по проведению АВ тестирования в Х5 на основе внутренних методичек, публичных выступлений и протоколов проведения собеседований. Делитесь с друзьями такой годной! 
Присоединиться к открытой недели можно по ссылке: https://t.me/+j_RdPEr7JudjNWM0
Подписаться: @ProdAnalysis</v>
      </c>
      <c r="I208" s="6" t="str">
        <f>IFERROR(__xludf.DUMMYFUNCTION("""COMPUTED_VALUE"""),"external")</f>
        <v>external</v>
      </c>
      <c r="J208" s="10" t="str">
        <f>IFERROR(__xludf.DUMMYFUNCTION("""COMPUTED_VALUE"""),"https://t.me/ProdAnalysis/175")</f>
        <v>https://t.me/ProdAnalysis/175</v>
      </c>
      <c r="K208" s="6">
        <f>IFERROR(__xludf.DUMMYFUNCTION("""COMPUTED_VALUE"""),627.0)</f>
        <v>627</v>
      </c>
      <c r="L208" s="6">
        <f>IFERROR(__xludf.DUMMYFUNCTION("""COMPUTED_VALUE"""),4.0)</f>
        <v>4</v>
      </c>
      <c r="M208" s="6"/>
      <c r="N208" s="6" t="str">
        <f>IFERROR(__xludf.DUMMYFUNCTION("""COMPUTED_VALUE"""),"Telegram")</f>
        <v>Telegram</v>
      </c>
      <c r="O208" s="6" t="str">
        <f>IFERROR(__xludf.DUMMYFUNCTION("""COMPUTED_VALUE"""),"raw")</f>
        <v>raw</v>
      </c>
      <c r="P208" s="6" t="str">
        <f>IFERROR(__xludf.DUMMYFUNCTION("""COMPUTED_VALUE"""),"Codex")</f>
        <v>Codex</v>
      </c>
      <c r="Q208" s="6" t="str">
        <f>IFERROR(__xludf.DUMMYFUNCTION("""COMPUTED_VALUE"""),"Общий контакт @vice22821; признак связи с проектом")</f>
        <v>Общий контакт @vice22821; признак связи с проектом</v>
      </c>
      <c r="R208" s="6" t="str">
        <f>IFERROR(__xludf.DUMMYFUNCTION("""COMPUTED_VALUE"""),"unknown")</f>
        <v>unknown</v>
      </c>
      <c r="S208" s="6" t="str">
        <f>IFERROR(__xludf.DUMMYFUNCTION("""COMPUTED_VALUE"""),"unknown")</f>
        <v>unknown</v>
      </c>
      <c r="T208" s="6" t="str">
        <f>IFERROR(__xludf.DUMMYFUNCTION("""COMPUTED_VALUE"""),"telegram_external")</f>
        <v>telegram_external</v>
      </c>
      <c r="U208" s="6" t="str">
        <f>IFERROR(__xludf.DUMMYFUNCTION("""COMPUTED_VALUE"""),"Бесплатное событие / лид-магнит")</f>
        <v>Бесплатное событие / лид-магнит</v>
      </c>
      <c r="V208" s="6" t="str">
        <f>IFERROR(__xludf.DUMMYFUNCTION("""COMPUTED_VALUE"""),"")</f>
        <v/>
      </c>
      <c r="W208" s="6" t="str">
        <f>IFERROR(__xludf.DUMMYFUNCTION("""COMPUTED_VALUE"""),"")</f>
        <v/>
      </c>
      <c r="X208" s="6"/>
      <c r="Y208" s="6" t="str">
        <f>IFERROR(__xludf.DUMMYFUNCTION("""COMPUTED_VALUE"""),"https://t.me/postypashki_old/1859
https://t.me/postypashki_old/1887")</f>
        <v>https://t.me/postypashki_old/1859
https://t.me/postypashki_old/1887</v>
      </c>
      <c r="Z208" s="6" t="b">
        <f>IFERROR(__xludf.DUMMYFUNCTION("""COMPUTED_VALUE"""),FALSE)</f>
        <v>0</v>
      </c>
      <c r="AA208" s="6" t="str">
        <f>IFERROR(__xludf.DUMMYFUNCTION("""COMPUTED_VALUE"""),"")</f>
        <v/>
      </c>
      <c r="AB208" s="6" t="str">
        <f>IFERROR(__xludf.DUMMYFUNCTION("""COMPUTED_VALUE"""),"")</f>
        <v/>
      </c>
      <c r="AC208" s="6" t="str">
        <f>IFERROR(__xludf.DUMMYFUNCTION("""COMPUTED_VALUE"""),"")</f>
        <v/>
      </c>
      <c r="AD208" s="6" t="str">
        <f>IFERROR(__xludf.DUMMYFUNCTION("""COMPUTED_VALUE"""),"")</f>
        <v/>
      </c>
      <c r="AE208" s="6" t="str">
        <f>IFERROR(__xludf.DUMMYFUNCTION("""COMPUTED_VALUE"""),"")</f>
        <v/>
      </c>
      <c r="AF208" s="6" t="str">
        <f>IFERROR(__xludf.DUMMYFUNCTION("""COMPUTED_VALUE"""),"Не подтверждено")</f>
        <v>Не подтверждено</v>
      </c>
      <c r="AG208" s="6" t="str">
        <f>IFERROR(__xludf.DUMMYFUNCTION("""COMPUTED_VALUE"""),"")</f>
        <v/>
      </c>
      <c r="AH208" s="6" t="str">
        <f>IFERROR(__xludf.DUMMYFUNCTION("""COMPUTED_VALUE"""),"2026-09-11T11:47:34.275826+00:00")</f>
        <v>2026-09-11T11:47:34.275826+00:00</v>
      </c>
      <c r="AI208" s="6" t="str">
        <f>IFERROR(__xludf.DUMMYFUNCTION("""COMPUTED_VALUE"""),"raw/ProdAnalysis/page_000.html")</f>
        <v>raw/ProdAnalysis/page_000.html</v>
      </c>
      <c r="AJ208" s="9" t="s">
        <v>224</v>
      </c>
      <c r="AL208" s="9" t="s">
        <v>248</v>
      </c>
      <c r="AM208" s="9" t="s">
        <v>228</v>
      </c>
      <c r="AN208" s="4" t="str">
        <f>IFERROR(__xludf.DUMMYFUNCTION("IF(OR(AJ208=""general_brand"",AJ208=""external"",AJ208=""unknown""),"""",IF(AJ208=""product_line"",IF(AK208=""START"",""Аналитика старт | Алгоритмы старт | Backend старт | ML старт"",IF(AK208=""PRO"",""AI-агенты про | Алгоритмы про | Аналитика про | ML пр"&amp;"о | Backend про"",IF(AK208=""START | PRO"",""Аналитика старт | Алгоритмы старт | Backend старт | ML старт | AI-агенты про | Алгоритмы про | Аналитика про | ML про | Backend про"",""""))),TEXTJOIN("" | "",TRUE,IF(REGEXMATCH(LOWER(AL208&amp;"" | ""&amp;E208),""анал"&amp;"итика старт""),""Аналитика старт"",""""),IF(REGEXMATCH(LOWER(AL208&amp;"" | ""&amp;E208),""алгоритмы старт""),""Алгоритмы старт"",""""),IF(REGEXMATCH(LOWER(AL208&amp;"" | ""&amp;E208),""backend старт""),""Backend старт"",""""),IF(REGEXMATCH(LOWER(AL208&amp;"" | ""&amp;E208),""ml"&amp;" старт""),""ML старт"",""""),IF(REGEXMATCH(LOWER(AL208&amp;"" | ""&amp;E208),""ai[ -]?агент""),""AI-агенты про"",""""),IF(REGEXMATCH(LOWER(AL208&amp;"" | ""&amp;E208),""алгоритмы про""),""Алгоритмы про"",""""),IF(REGEXMATCH(LOWER(AL208&amp;"" | ""&amp;E208),""аналитика про""),"""&amp;"Аналитика про"",""""),IF(REGEXMATCH(LOWER(AL208&amp;"" | ""&amp;E208),""ml про""),""ML про"",""""),IF(REGEXMATCH(LOWER(AL208&amp;"" | ""&amp;E208),""backend про""),""Backend про"",""""),IF(REGEXMATCH(LOWER(AL208&amp;"" | ""&amp;E208),""(а/в|ав|а в|ab)[ -]?тест""),""А/В-тесты"","&amp;"""""),IF(REGEXMATCH(LOWER(AL208&amp;"" | ""&amp;E208),""data science""),""Data science"",""""),IF(REGEXMATCH(LOWER(AL208&amp;"" | ""&amp;E208),""data[- ]?инжен""),""Data-инженер"",""""),IF(REGEXMATCH(LOWER(AL208&amp;"" | ""&amp;E208),""frontend""),""Frontend"",""""))))"),"")</f>
        <v/>
      </c>
    </row>
    <row r="209">
      <c r="A209" s="6" t="str">
        <f>IFERROR(__xludf.DUMMYFUNCTION("""COMPUTED_VALUE"""),"EXT-109")</f>
        <v>EXT-109</v>
      </c>
      <c r="B209" s="6" t="str">
        <f>IFERROR(__xludf.DUMMYFUNCTION("""COMPUTED_VALUE"""),"2026-09-08 17:10:56")</f>
        <v>2026-09-08 17:10:56</v>
      </c>
      <c r="C209" s="6" t="str">
        <f>IFERROR(__xludf.DUMMYFUNCTION("""COMPUTED_VALUE"""),"@postypashki_mems")</f>
        <v>@postypashki_mems</v>
      </c>
      <c r="D209" s="4" t="str">
        <f>IFERROR(__xludf.DUMMYFUNCTION("""COMPUTED_VALUE"""),"Контент с предложением курсов")</f>
        <v>Контент с предложением курсов</v>
      </c>
      <c r="E209" s="6" t="str">
        <f>IFERROR(__xludf.DUMMYFUNCTION("""COMPUTED_VALUE"""),"")</f>
        <v/>
      </c>
      <c r="F209" s="6" t="str">
        <f>IFERROR(__xludf.DUMMYFUNCTION("""COMPUTED_VALUE"""),"")</f>
        <v/>
      </c>
      <c r="G209" s="10" t="str">
        <f>IFERROR(__xludf.DUMMYFUNCTION("""COMPUTED_VALUE"""),"https://t.me/postypashki_mems/1423")</f>
        <v>https://t.me/postypashki_mems/1423</v>
      </c>
      <c r="H209" s="6" t="str">
        <f>IFERROR(__xludf.DUMMYFUNCTION("""COMPUTED_VALUE"""),"Стажировка в Яндексе одна из лучших возможностей для старта в аналитике: 
• МНОГО КРАСИВЫХ СВОБОДНЫХ ЖЕНЩИН 
• специалисты высокого класса
• зарплаты в среднем выше рынка 
• современный стек и проекты 
• хорошо выстроены процессы 
• корпоративная культур"&amp;"а
Для участия нужно подать анкету заполнить анкету и зарешать контест. Разбор контеста уже выложен на нашем курсе аналитика про. 
➡ Записаться. 
Как заполнять анкеты смотрим этот ролик. После контеста вас ждет собес на код (sql, python, алгосы) и бизнес"&amp;"с кейс, задачи по математике, статистике. Формат немного поменялся, отдельного собеса по алгосам ""больше нет"". И наконец собеседования с командами. На моем опыте максимально, сколько может быть собесов с командой - 9.
Финальные собесы
Если команда точн"&amp;"о понимает, что им нужен стажёр закрыть пару дыр и после он не нужен, то собес больше про твой опыт, почему Яндекс, как планируешь совмещать с учебой, а что будешь делать, если стажку не продлим/не возьмём в штат. Такие больше на метч с командой и посмотр"&amp;"еть не будешь ли ты ныть, что на стажке будешь заниматься скучной фигней, расскажут какой есть пул задач и спросят, что из этого интересно.
Если команде нужен специалист, которого они хотят растить, то собес посерьезней из разряда: продуктовый кейс, мате"&amp;"матические задачи, лайвкодинг и тд. Пример нашего выпускника можно посмотреть здесь.  
Конкретнее все зависит от того, кто собесит: chill guy или факер. Выбирайте команду с умом, ее можно поменять.
По итогу еще раз многое зависит от команды и кто собес"&amp;"ит. Выбирайте команду с умом, ее можно поменять. 
Штат 
Можно сразу на финале спросить, а будут ли места в штате. Конечно обмануть могут, но за вопрос денег не берут и пусть сила вам подскажет. 
После стажировки есть несколько вариантов: 
1. Если плохой"&amp;" отзыв от команды и говорят «уходи», то нужно заново проходить все собесы на стажера 
2. Могут сказать, что ты не очень и иди на стажировку снова (без собесов, только финалы) 
3. Можешь пойти в штат:
а) ты классный - можешь пойти к нам на миддла (но нужно"&amp;" опять пройти АА, потом финалы), если не пройдешь, то возьмут на джуна
б) ты не дотягиваешь до миддла - ты джун и если команда не готова взять джуна, то нужно идти искать, кто может взять к себе джуна самому 
в) можно искать, кто готов взять к себе миддла"&amp;"/джуна и врубать свои навыки социальной инженерии на максимум 
При идеальном мэтче, вы в Яндексе - поздравляю! 
Подписаться: @ProdAnalysis")</f>
        <v>Стажировка в Яндексе одна из лучших возможностей для старта в аналитике: 
• МНОГО КРАСИВЫХ СВОБОДНЫХ ЖЕНЩИН 
• специалисты высокого класса
• зарплаты в среднем выше рынка 
• современный стек и проекты 
• хорошо выстроены процессы 
• корпоративная культура
Для участия нужно подать анкету заполнить анкету и зарешать контест. Разбор контеста уже выложен на нашем курсе аналитика про. 
➡ Записаться. 
Как заполнять анкеты смотрим этот ролик. После контеста вас ждет собес на код (sql, python, алгосы) и бизнесс кейс, задачи по математике, статистике. Формат немного поменялся, отдельного собеса по алгосам "больше нет". И наконец собеседования с командами. На моем опыте максимально, сколько может быть собесов с командой - 9.
Финальные собесы
Если команда точно понимает, что им нужен стажёр закрыть пару дыр и после он не нужен, то собес больше про твой опыт, почему Яндекс, как планируешь совмещать с учебой, а что будешь делать, если стажку не продлим/не возьмём в штат. Такие больше на метч с командой и посмотреть не будешь ли ты ныть, что на стажке будешь заниматься скучной фигней, расскажут какой есть пул задач и спросят, что из этого интересно.
Если команде нужен специалист, которого они хотят растить, то собес посерьезней из разряда: продуктовый кейс, математические задачи, лайвкодинг и тд. Пример нашего выпускника можно посмотреть здесь.  
Конкретнее все зависит от того, кто собесит: chill guy или факер. Выбирайте команду с умом, ее можно поменять.
По итогу еще раз многое зависит от команды и кто собесит. Выбирайте команду с умом, ее можно поменять. 
Штат 
Можно сразу на финале спросить, а будут ли места в штате. Конечно обмануть могут, но за вопрос денег не берут и пусть сила вам подскажет. 
После стажировки есть несколько вариантов: 
1. Если плохой отзыв от команды и говорят «уходи», то нужно заново проходить все собесы на стажера 
2. Могут сказать, что ты не очень и иди на стажировку снова (без собесов, только финалы) 
3. Можешь пойти в штат:
а) ты классный - можешь пойти к нам на миддла (но нужно опять пройти АА, потом финалы), если не пройдешь, то возьмут на джуна
б) ты не дотягиваешь до миддла - ты джун и если команда не готова взять джуна, то нужно идти искать, кто может взять к себе джуна самому 
в) можно искать, кто готов взять к себе миддла/джуна и врубать свои навыки социальной инженерии на максимум 
При идеальном мэтче, вы в Яндексе - поздравляю! 
Подписаться: @ProdAnalysis</v>
      </c>
      <c r="I209" s="6" t="str">
        <f>IFERROR(__xludf.DUMMYFUNCTION("""COMPUTED_VALUE"""),"external")</f>
        <v>external</v>
      </c>
      <c r="J209" s="10" t="str">
        <f>IFERROR(__xludf.DUMMYFUNCTION("""COMPUTED_VALUE"""),"https://t.me/postypashki_mems/1423")</f>
        <v>https://t.me/postypashki_mems/1423</v>
      </c>
      <c r="K209" s="6">
        <f>IFERROR(__xludf.DUMMYFUNCTION("""COMPUTED_VALUE"""),1360.0)</f>
        <v>1360</v>
      </c>
      <c r="L209" s="6">
        <f>IFERROR(__xludf.DUMMYFUNCTION("""COMPUTED_VALUE"""),1.0)</f>
        <v>1</v>
      </c>
      <c r="M209" s="6"/>
      <c r="N209" s="6" t="str">
        <f>IFERROR(__xludf.DUMMYFUNCTION("""COMPUTED_VALUE"""),"Telegram")</f>
        <v>Telegram</v>
      </c>
      <c r="O209" s="6" t="str">
        <f>IFERROR(__xludf.DUMMYFUNCTION("""COMPUTED_VALUE"""),"raw")</f>
        <v>raw</v>
      </c>
      <c r="P209" s="6" t="str">
        <f>IFERROR(__xludf.DUMMYFUNCTION("""COMPUTED_VALUE"""),"Codex")</f>
        <v>Codex</v>
      </c>
      <c r="Q209" s="6" t="str">
        <f>IFERROR(__xludf.DUMMYFUNCTION("""COMPUTED_VALUE"""),"Общий контакт @vice22821; признак связи с проектом")</f>
        <v>Общий контакт @vice22821; признак связи с проектом</v>
      </c>
      <c r="R209" s="6" t="str">
        <f>IFERROR(__xludf.DUMMYFUNCTION("""COMPUTED_VALUE"""),"unknown")</f>
        <v>unknown</v>
      </c>
      <c r="S209" s="6" t="str">
        <f>IFERROR(__xludf.DUMMYFUNCTION("""COMPUTED_VALUE"""),"unknown")</f>
        <v>unknown</v>
      </c>
      <c r="T209" s="6" t="str">
        <f>IFERROR(__xludf.DUMMYFUNCTION("""COMPUTED_VALUE"""),"telegram_external")</f>
        <v>telegram_external</v>
      </c>
      <c r="U209" s="6" t="str">
        <f>IFERROR(__xludf.DUMMYFUNCTION("""COMPUTED_VALUE"""),"Контент с предложением курсов")</f>
        <v>Контент с предложением курсов</v>
      </c>
      <c r="V209" s="6" t="str">
        <f>IFERROR(__xludf.DUMMYFUNCTION("""COMPUTED_VALUE"""),"")</f>
        <v/>
      </c>
      <c r="W209" s="6" t="str">
        <f>IFERROR(__xludf.DUMMYFUNCTION("""COMPUTED_VALUE"""),"")</f>
        <v/>
      </c>
      <c r="X209" s="6" t="str">
        <f>IFERROR(__xludf.DUMMYFUNCTION("""COMPUTED_VALUE"""),"Forwarded from Продуктовый взгляд | Аналитика данных")</f>
        <v>Forwarded from Продуктовый взгляд | Аналитика данных</v>
      </c>
      <c r="Y209" s="6" t="str">
        <f>IFERROR(__xludf.DUMMYFUNCTION("""COMPUTED_VALUE"""),"https://t.me/postypashki_old/1872
https://t.me/postypashki_old/1859
https://t.me/m/p94YcePXNjcy
https://t.me/postypashki_old/1316")</f>
        <v>https://t.me/postypashki_old/1872
https://t.me/postypashki_old/1859
https://t.me/m/p94YcePXNjcy
https://t.me/postypashki_old/1316</v>
      </c>
      <c r="Z209" s="6" t="b">
        <f>IFERROR(__xludf.DUMMYFUNCTION("""COMPUTED_VALUE"""),TRUE)</f>
        <v>1</v>
      </c>
      <c r="AA209" s="6" t="str">
        <f>IFERROR(__xludf.DUMMYFUNCTION("""COMPUTED_VALUE"""),"")</f>
        <v/>
      </c>
      <c r="AB209" s="6" t="str">
        <f>IFERROR(__xludf.DUMMYFUNCTION("""COMPUTED_VALUE"""),"")</f>
        <v/>
      </c>
      <c r="AC209" s="6" t="str">
        <f>IFERROR(__xludf.DUMMYFUNCTION("""COMPUTED_VALUE"""),"")</f>
        <v/>
      </c>
      <c r="AD209" s="6" t="str">
        <f>IFERROR(__xludf.DUMMYFUNCTION("""COMPUTED_VALUE"""),"")</f>
        <v/>
      </c>
      <c r="AE209" s="6" t="str">
        <f>IFERROR(__xludf.DUMMYFUNCTION("""COMPUTED_VALUE"""),"")</f>
        <v/>
      </c>
      <c r="AF209" s="6" t="str">
        <f>IFERROR(__xludf.DUMMYFUNCTION("""COMPUTED_VALUE"""),"Не подтверждено")</f>
        <v>Не подтверждено</v>
      </c>
      <c r="AG209" s="6" t="str">
        <f>IFERROR(__xludf.DUMMYFUNCTION("""COMPUTED_VALUE"""),"")</f>
        <v/>
      </c>
      <c r="AH209" s="6" t="str">
        <f>IFERROR(__xludf.DUMMYFUNCTION("""COMPUTED_VALUE"""),"2026-09-11T11:47:56.350687+00:00")</f>
        <v>2026-09-11T11:47:56.350687+00:00</v>
      </c>
      <c r="AI209" s="6" t="str">
        <f>IFERROR(__xludf.DUMMYFUNCTION("""COMPUTED_VALUE"""),"raw/postypashki_mems/page_000.html")</f>
        <v>raw/postypashki_mems/page_000.html</v>
      </c>
      <c r="AJ209" s="9" t="s">
        <v>224</v>
      </c>
      <c r="AK209" s="9" t="s">
        <v>242</v>
      </c>
      <c r="AL209" s="9" t="s">
        <v>243</v>
      </c>
      <c r="AM209" s="9" t="s">
        <v>228</v>
      </c>
      <c r="AN209" s="4" t="str">
        <f>IFERROR(__xludf.DUMMYFUNCTION("IF(OR(AJ209=""general_brand"",AJ209=""external"",AJ209=""unknown""),"""",IF(AJ209=""product_line"",IF(AK209=""START"",""Аналитика старт | Алгоритмы старт | Backend старт | ML старт"",IF(AK209=""PRO"",""AI-агенты про | Алгоритмы про | Аналитика про | ML пр"&amp;"о | Backend про"",IF(AK209=""START | PRO"",""Аналитика старт | Алгоритмы старт | Backend старт | ML старт | AI-агенты про | Алгоритмы про | Аналитика про | ML про | Backend про"",""""))),TEXTJOIN("" | "",TRUE,IF(REGEXMATCH(LOWER(AL209&amp;"" | ""&amp;E209),""анал"&amp;"итика старт""),""Аналитика старт"",""""),IF(REGEXMATCH(LOWER(AL209&amp;"" | ""&amp;E209),""алгоритмы старт""),""Алгоритмы старт"",""""),IF(REGEXMATCH(LOWER(AL209&amp;"" | ""&amp;E209),""backend старт""),""Backend старт"",""""),IF(REGEXMATCH(LOWER(AL209&amp;"" | ""&amp;E209),""ml"&amp;" старт""),""ML старт"",""""),IF(REGEXMATCH(LOWER(AL209&amp;"" | ""&amp;E209),""ai[ -]?агент""),""AI-агенты про"",""""),IF(REGEXMATCH(LOWER(AL209&amp;"" | ""&amp;E209),""алгоритмы про""),""Алгоритмы про"",""""),IF(REGEXMATCH(LOWER(AL209&amp;"" | ""&amp;E209),""аналитика про""),"""&amp;"Аналитика про"",""""),IF(REGEXMATCH(LOWER(AL209&amp;"" | ""&amp;E209),""ml про""),""ML про"",""""),IF(REGEXMATCH(LOWER(AL209&amp;"" | ""&amp;E209),""backend про""),""Backend про"",""""),IF(REGEXMATCH(LOWER(AL209&amp;"" | ""&amp;E209),""(а/в|ав|а в|ab)[ -]?тест""),""А/В-тесты"","&amp;"""""),IF(REGEXMATCH(LOWER(AL209&amp;"" | ""&amp;E209),""data science""),""Data science"",""""),IF(REGEXMATCH(LOWER(AL209&amp;"" | ""&amp;E209),""data[- ]?инжен""),""Data-инженер"",""""),IF(REGEXMATCH(LOWER(AL209&amp;"" | ""&amp;E209),""frontend""),""Frontend"",""""))))"),"Аналитика про")</f>
        <v>Аналитика про</v>
      </c>
    </row>
    <row r="210">
      <c r="A210" s="6" t="str">
        <f>IFERROR(__xludf.DUMMYFUNCTION("""COMPUTED_VALUE"""),"EXT-110")</f>
        <v>EXT-110</v>
      </c>
      <c r="B210" s="6" t="str">
        <f>IFERROR(__xludf.DUMMYFUNCTION("""COMPUTED_VALUE"""),"2026-09-09 19:35:27")</f>
        <v>2026-09-09 19:35:27</v>
      </c>
      <c r="C210" s="6" t="str">
        <f>IFERROR(__xludf.DUMMYFUNCTION("""COMPUTED_VALUE"""),"@algoses")</f>
        <v>@algoses</v>
      </c>
      <c r="D210" s="4" t="str">
        <f>IFERROR(__xludf.DUMMYFUNCTION("""COMPUTED_VALUE"""),"Контент с предложением курсов")</f>
        <v>Контент с предложением курсов</v>
      </c>
      <c r="E210" s="6" t="str">
        <f>IFERROR(__xludf.DUMMYFUNCTION("""COMPUTED_VALUE"""),"")</f>
        <v/>
      </c>
      <c r="F210" s="6" t="str">
        <f>IFERROR(__xludf.DUMMYFUNCTION("""COMPUTED_VALUE"""),"")</f>
        <v/>
      </c>
      <c r="G210" s="10" t="str">
        <f>IFERROR(__xludf.DUMMYFUNCTION("""COMPUTED_VALUE"""),"https://t.me/algoses/626")</f>
        <v>https://t.me/algoses/626</v>
      </c>
      <c r="H210" s="6" t="str">
        <f>IFERROR(__xludf.DUMMYFUNCTION("""COMPUTED_VALUE"""),"Собрали все задачи с алгосекции в Яндексе в одном файле с разбором частых ошибок, все это закрывают наши курсы по алгоритмам. Сохраняй и делись с друзьями такой годнотой! 🔥
Кстати а контест со стажировки уже разобран на соответствующих наших курсах ПРО."&amp;" 
➡ Записаться. 
Подписаться: @algoses")</f>
        <v>Собрали все задачи с алгосекции в Яндексе в одном файле с разбором частых ошибок, все это закрывают наши курсы по алгоритмам. Сохраняй и делись с друзьями такой годнотой! 🔥
Кстати а контест со стажировки уже разобран на соответствующих наших курсах ПРО. 
➡ Записаться. 
Подписаться: @algoses</v>
      </c>
      <c r="I210" s="6" t="str">
        <f>IFERROR(__xludf.DUMMYFUNCTION("""COMPUTED_VALUE"""),"external")</f>
        <v>external</v>
      </c>
      <c r="J210" s="10" t="str">
        <f>IFERROR(__xludf.DUMMYFUNCTION("""COMPUTED_VALUE"""),"https://t.me/algoses/626")</f>
        <v>https://t.me/algoses/626</v>
      </c>
      <c r="K210" s="6">
        <f>IFERROR(__xludf.DUMMYFUNCTION("""COMPUTED_VALUE"""),1210.0)</f>
        <v>1210</v>
      </c>
      <c r="L210" s="6">
        <f>IFERROR(__xludf.DUMMYFUNCTION("""COMPUTED_VALUE"""),4.0)</f>
        <v>4</v>
      </c>
      <c r="M210" s="6"/>
      <c r="N210" s="6" t="str">
        <f>IFERROR(__xludf.DUMMYFUNCTION("""COMPUTED_VALUE"""),"Telegram")</f>
        <v>Telegram</v>
      </c>
      <c r="O210" s="6" t="str">
        <f>IFERROR(__xludf.DUMMYFUNCTION("""COMPUTED_VALUE"""),"raw")</f>
        <v>raw</v>
      </c>
      <c r="P210" s="6" t="str">
        <f>IFERROR(__xludf.DUMMYFUNCTION("""COMPUTED_VALUE"""),"Codex")</f>
        <v>Codex</v>
      </c>
      <c r="Q210" s="6" t="str">
        <f>IFERROR(__xludf.DUMMYFUNCTION("""COMPUTED_VALUE"""),"Общий контакт @vice22821; признак связи с проектом")</f>
        <v>Общий контакт @vice22821; признак связи с проектом</v>
      </c>
      <c r="R210" s="6" t="str">
        <f>IFERROR(__xludf.DUMMYFUNCTION("""COMPUTED_VALUE"""),"unknown")</f>
        <v>unknown</v>
      </c>
      <c r="S210" s="6" t="str">
        <f>IFERROR(__xludf.DUMMYFUNCTION("""COMPUTED_VALUE"""),"unknown")</f>
        <v>unknown</v>
      </c>
      <c r="T210" s="6" t="str">
        <f>IFERROR(__xludf.DUMMYFUNCTION("""COMPUTED_VALUE"""),"telegram_external")</f>
        <v>telegram_external</v>
      </c>
      <c r="U210" s="6" t="str">
        <f>IFERROR(__xludf.DUMMYFUNCTION("""COMPUTED_VALUE"""),"Контент с предложением курсов")</f>
        <v>Контент с предложением курсов</v>
      </c>
      <c r="V210" s="6" t="str">
        <f>IFERROR(__xludf.DUMMYFUNCTION("""COMPUTED_VALUE"""),"")</f>
        <v/>
      </c>
      <c r="W210" s="6" t="str">
        <f>IFERROR(__xludf.DUMMYFUNCTION("""COMPUTED_VALUE"""),"")</f>
        <v/>
      </c>
      <c r="X210" s="6"/>
      <c r="Y210" s="6" t="str">
        <f>IFERROR(__xludf.DUMMYFUNCTION("""COMPUTED_VALUE"""),"https://t.me/postypashki_old/1872
https://t.me/postypashki_old/1859
https://t.me/m/p94YcePXNjcy")</f>
        <v>https://t.me/postypashki_old/1872
https://t.me/postypashki_old/1859
https://t.me/m/p94YcePXNjcy</v>
      </c>
      <c r="Z210" s="6" t="b">
        <f>IFERROR(__xludf.DUMMYFUNCTION("""COMPUTED_VALUE"""),TRUE)</f>
        <v>1</v>
      </c>
      <c r="AA210" s="6" t="str">
        <f>IFERROR(__xludf.DUMMYFUNCTION("""COMPUTED_VALUE"""),"")</f>
        <v/>
      </c>
      <c r="AB210" s="6" t="str">
        <f>IFERROR(__xludf.DUMMYFUNCTION("""COMPUTED_VALUE"""),"")</f>
        <v/>
      </c>
      <c r="AC210" s="6" t="str">
        <f>IFERROR(__xludf.DUMMYFUNCTION("""COMPUTED_VALUE"""),"")</f>
        <v/>
      </c>
      <c r="AD210" s="6" t="str">
        <f>IFERROR(__xludf.DUMMYFUNCTION("""COMPUTED_VALUE"""),"")</f>
        <v/>
      </c>
      <c r="AE210" s="6" t="str">
        <f>IFERROR(__xludf.DUMMYFUNCTION("""COMPUTED_VALUE"""),"")</f>
        <v/>
      </c>
      <c r="AF210" s="6" t="str">
        <f>IFERROR(__xludf.DUMMYFUNCTION("""COMPUTED_VALUE"""),"Не подтверждено")</f>
        <v>Не подтверждено</v>
      </c>
      <c r="AG210" s="6" t="str">
        <f>IFERROR(__xludf.DUMMYFUNCTION("""COMPUTED_VALUE"""),"")</f>
        <v/>
      </c>
      <c r="AH210" s="6" t="str">
        <f>IFERROR(__xludf.DUMMYFUNCTION("""COMPUTED_VALUE"""),"2026-09-11T11:47:43.784081+00:00")</f>
        <v>2026-09-11T11:47:43.784081+00:00</v>
      </c>
      <c r="AI210" s="6" t="str">
        <f>IFERROR(__xludf.DUMMYFUNCTION("""COMPUTED_VALUE"""),"raw/algoses/page_000.html")</f>
        <v>raw/algoses/page_000.html</v>
      </c>
      <c r="AJ210" s="9" t="s">
        <v>224</v>
      </c>
      <c r="AL210" s="9" t="s">
        <v>236</v>
      </c>
      <c r="AM210" s="9" t="s">
        <v>235</v>
      </c>
      <c r="AN210" s="4" t="str">
        <f>IFERROR(__xludf.DUMMYFUNCTION("IF(OR(AJ210=""general_brand"",AJ210=""external"",AJ210=""unknown""),"""",IF(AJ210=""product_line"",IF(AK210=""START"",""Аналитика старт | Алгоритмы старт | Backend старт | ML старт"",IF(AK210=""PRO"",""AI-агенты про | Алгоритмы про | Аналитика про | ML пр"&amp;"о | Backend про"",IF(AK210=""START | PRO"",""Аналитика старт | Алгоритмы старт | Backend старт | ML старт | AI-агенты про | Алгоритмы про | Аналитика про | ML про | Backend про"",""""))),TEXTJOIN("" | "",TRUE,IF(REGEXMATCH(LOWER(AL210&amp;"" | ""&amp;E210),""анал"&amp;"итика старт""),""Аналитика старт"",""""),IF(REGEXMATCH(LOWER(AL210&amp;"" | ""&amp;E210),""алгоритмы старт""),""Алгоритмы старт"",""""),IF(REGEXMATCH(LOWER(AL210&amp;"" | ""&amp;E210),""backend старт""),""Backend старт"",""""),IF(REGEXMATCH(LOWER(AL210&amp;"" | ""&amp;E210),""ml"&amp;" старт""),""ML старт"",""""),IF(REGEXMATCH(LOWER(AL210&amp;"" | ""&amp;E210),""ai[ -]?агент""),""AI-агенты про"",""""),IF(REGEXMATCH(LOWER(AL210&amp;"" | ""&amp;E210),""алгоритмы про""),""Алгоритмы про"",""""),IF(REGEXMATCH(LOWER(AL210&amp;"" | ""&amp;E210),""аналитика про""),"""&amp;"Аналитика про"",""""),IF(REGEXMATCH(LOWER(AL210&amp;"" | ""&amp;E210),""ml про""),""ML про"",""""),IF(REGEXMATCH(LOWER(AL210&amp;"" | ""&amp;E210),""backend про""),""Backend про"",""""),IF(REGEXMATCH(LOWER(AL210&amp;"" | ""&amp;E210),""(а/в|ав|а в|ab)[ -]?тест""),""А/В-тесты"","&amp;"""""),IF(REGEXMATCH(LOWER(AL210&amp;"" | ""&amp;E210),""data science""),""Data science"",""""),IF(REGEXMATCH(LOWER(AL210&amp;"" | ""&amp;E210),""data[- ]?инжен""),""Data-инженер"",""""),IF(REGEXMATCH(LOWER(AL210&amp;"" | ""&amp;E210),""frontend""),""Frontend"",""""))))"),"")</f>
        <v/>
      </c>
    </row>
    <row r="211">
      <c r="A211" s="6" t="str">
        <f>IFERROR(__xludf.DUMMYFUNCTION("""COMPUTED_VALUE"""),"EXT-111")</f>
        <v>EXT-111</v>
      </c>
      <c r="B211" s="6" t="str">
        <f>IFERROR(__xludf.DUMMYFUNCTION("""COMPUTED_VALUE"""),"2026-09-09 20:04:50")</f>
        <v>2026-09-09 20:04:50</v>
      </c>
      <c r="C211" s="6" t="str">
        <f>IFERROR(__xludf.DUMMYFUNCTION("""COMPUTED_VALUE"""),"@chad_protocol")</f>
        <v>@chad_protocol</v>
      </c>
      <c r="D211" s="4" t="str">
        <f>IFERROR(__xludf.DUMMYFUNCTION("""COMPUTED_VALUE"""),"Контент с предложением курсов")</f>
        <v>Контент с предложением курсов</v>
      </c>
      <c r="E211" s="6" t="str">
        <f>IFERROR(__xludf.DUMMYFUNCTION("""COMPUTED_VALUE"""),"")</f>
        <v/>
      </c>
      <c r="F211" s="6" t="str">
        <f>IFERROR(__xludf.DUMMYFUNCTION("""COMPUTED_VALUE"""),"")</f>
        <v/>
      </c>
      <c r="G211" s="10" t="str">
        <f>IFERROR(__xludf.DUMMYFUNCTION("""COMPUTED_VALUE"""),"https://t.me/chad_protocol/543")</f>
        <v>https://t.me/chad_protocol/543</v>
      </c>
      <c r="H211" s="6" t="str">
        <f>IFERROR(__xludf.DUMMYFUNCTION("""COMPUTED_VALUE"""),"Как попасть в HFT компанию
HFT компании зарабатывают на небольших изменениях цен, осуществляя тысячи или даже миллионы транзакций в день. В этих компаниях работают не только разработчики, но и много других специалистов с разной квалификацией. Один из вып"&amp;"ускников наших курсов не первый год работает в этой сфере на позициях Quantitative Researcher и ML Researcher, специально для вас, товарищи, попросил его поделиться своим опытом. Далее идет оригинальный текст.
Существует два вида HFT компаний. Одни зараб"&amp;"атывают много, а другие по меркам HFT достаточно мало, например это может быть компании, которые зарабатывают на крипте. В основном HFT компаний, которые находятся на территории РФ считаются не такими сильными, и платят там мало в рамках HFT, но сильно бо"&amp;"льше чем остальным на рынке it. Большинство топовых компаний находятся в штатах и Европе. В топовые компании отобраться конечно же сложнее. Также вам нужно помнить, что в большинстве HFT компаниях сильные переработки, сотрудники там надолго не задерживают"&amp;"ся, отбор кандидатов может быть как и очень жестким, так и на уровне остальных IT компаний. 
Перечислим парочку HFT компаниям, в которые весьма реально попасть гражданину РФ. 
1. Pinely: Активно спонсирует разные олимпиады в духе ICPC. Очень много русско"&amp;"говорящих сотрудников, по моим наблюдениям их большинство. Там работают такие легенды как Михаил Тихомиров, Михаил Ипатов (чемпионы мира по ICPC и не только). Компания определенно считается хорошей и скажу так, что весьма реально туда устроиться, например"&amp;" через стажировки. Кстати там много выпускников ШАДа, потому можно и рефералку пробить через знакомых.
2. Teza: Вообще компания американская, но есть филиал в Ереване, компания в целом неплохая, платят достойные деньги, переработок сильных нет, собесы аде"&amp;"кватные. Но скорее всего вы там реально большие деньги зарабатывать не будете.  
3. Àlber Blanc: Пожалуй самая успешная русскоговорящая компания, платят кстати достаточно хорошо, но отбор непростой и скорее всего придется переехать в Европу, но однозначно"&amp;" советую эту компанию. 
С остальными компаниями, где много русскоговорящих вы можете ознакомиться тут. 
Также есть Fast Forward и SPECTRAL в эти компании относительно легче попасть (собесы на русском).
Конечно, есть и всякие акулы рынка, куда тоже можно "&amp;"попробовать податься.  
Подготовка
Очень важно знать математику. Фундамент как всегда теор вер, статистика, линейная алгебра, матан, много задач на логику. Также к акулам понадобятся слупы, диффуры и вариационное исчисление. Поэтому для начала ботаем дис"&amp;"циплины в ВУЗе или на курсах. Потом, чтобы привыкнуть к формату, отдельно прорешиваем задачи с собесов, например, отсюда.
Простой поиск Quant Technical Interview Questions позволяет найти много задач по математике с разбором на форумах, которые попадалис"&amp;"ь на собесах. Но лично мне не хватало структуры и терпения во всем этом капаться, поэтому я просто взял курсы Поступашек и на своем примере могу сказать, что мне более чем всего хватило) 
Еще собесы могут быть на английском, нужно научиться решать на авто"&amp;"пилоте. 
Также необходимо знать алгоритмы. Обычно в HFT компаниях задачи по алгосам сложнее, чем в остальных компаниях. Здесь вам с легкостью может попасться задача на ДО, ДП и тд. В целом вы можете на литкоде купить подписку и посмотреть задачи от неско"&amp;"льких HFT компаний, чтобы сориентироваться в уровне. Немало таких задач с разбором выкладывается здесь. Еще советую для подготовки наш курс алгоритмы про.
➡ Записаться. 
Дальше по классике, хорошо бы знать жесткие плюсы, разбираться в МЛ и распределенных"&amp;" системах. Ждем 500 огоньков и пишем разбор по подготовке математике, С++, МЛ в HFT.  
Бонус для тех кто дочитал до конца. 
Открываем гит и вводим в поиск Quantitative и сможете увидеть потенциально большой список HFT компаний, которые как и нанимают сот"&amp;"рудников, так и проводят стажировка на 2027 год!
Подписаться: @chad_protocol")</f>
        <v>Как попасть в HFT компанию
HFT компании зарабатывают на небольших изменениях цен, осуществляя тысячи или даже миллионы транзакций в день. В этих компаниях работают не только разработчики, но и много других специалистов с разной квалификацией. Один из выпускников наших курсов не первый год работает в этой сфере на позициях Quantitative Researcher и ML Researcher, специально для вас, товарищи, попросил его поделиться своим опытом. Далее идет оригинальный текст.
Существует два вида HFT компаний. Одни зарабатывают много, а другие по меркам HFT достаточно мало, например это может быть компании, которые зарабатывают на крипте. В основном HFT компаний, которые находятся на территории РФ считаются не такими сильными, и платят там мало в рамках HFT, но сильно больше чем остальным на рынке it. Большинство топовых компаний находятся в штатах и Европе. В топовые компании отобраться конечно же сложнее. Также вам нужно помнить, что в большинстве HFT компаниях сильные переработки, сотрудники там надолго не задерживаются, отбор кандидатов может быть как и очень жестким, так и на уровне остальных IT компаний. 
Перечислим парочку HFT компаниям, в которые весьма реально попасть гражданину РФ. 
1. Pinely: Активно спонсирует разные олимпиады в духе ICPC. Очень много русскоговорящих сотрудников, по моим наблюдениям их большинство. Там работают такие легенды как Михаил Тихомиров, Михаил Ипатов (чемпионы мира по ICPC и не только). Компания определенно считается хорошей и скажу так, что весьма реально туда устроиться, например через стажировки. Кстати там много выпускников ШАДа, потому можно и рефералку пробить через знакомых.
2. Teza: Вообще компания американская, но есть филиал в Ереване, компания в целом неплохая, платят достойные деньги, переработок сильных нет, собесы адекватные. Но скорее всего вы там реально большие деньги зарабатывать не будете.  
3. Àlber Blanc: Пожалуй самая успешная русскоговорящая компания, платят кстати достаточно хорошо, но отбор непростой и скорее всего придется переехать в Европу, но однозначно советую эту компанию. 
С остальными компаниями, где много русскоговорящих вы можете ознакомиться тут. 
Также есть Fast Forward и SPECTRAL в эти компании относительно легче попасть (собесы на русском).
Конечно, есть и всякие акулы рынка, куда тоже можно попробовать податься.  
Подготовка
Очень важно знать математику. Фундамент как всегда теор вер, статистика, линейная алгебра, матан, много задач на логику. Также к акулам понадобятся слупы, диффуры и вариационное исчисление. Поэтому для начала ботаем дисциплины в ВУЗе или на курсах. Потом, чтобы привыкнуть к формату, отдельно прорешиваем задачи с собесов, например, отсюда.
Простой поиск Quant Technical Interview Questions позволяет найти много задач по математике с разбором на форумах, которые попадались на собесах. Но лично мне не хватало структуры и терпения во всем этом капаться, поэтому я просто взял курсы Поступашек и на своем примере могу сказать, что мне более чем всего хватило) 
Еще собесы могут быть на английском, нужно научиться решать на автопилоте. 
Также необходимо знать алгоритмы. Обычно в HFT компаниях задачи по алгосам сложнее, чем в остальных компаниях. Здесь вам с легкостью может попасться задача на ДО, ДП и тд. В целом вы можете на литкоде купить подписку и посмотреть задачи от нескольких HFT компаний, чтобы сориентироваться в уровне. Немало таких задач с разбором выкладывается здесь. Еще советую для подготовки наш курс алгоритмы про.
➡ Записаться. 
Дальше по классике, хорошо бы знать жесткие плюсы, разбираться в МЛ и распределенных системах. Ждем 500 огоньков и пишем разбор по подготовке математике, С++, МЛ в HFT.  
Бонус для тех кто дочитал до конца. 
Открываем гит и вводим в поиск Quantitative и сможете увидеть потенциально большой список HFT компаний, которые как и нанимают сотрудников, так и проводят стажировка на 2027 год!
Подписаться: @chad_protocol</v>
      </c>
      <c r="I211" s="6" t="str">
        <f>IFERROR(__xludf.DUMMYFUNCTION("""COMPUTED_VALUE"""),"external")</f>
        <v>external</v>
      </c>
      <c r="J211" s="10" t="str">
        <f>IFERROR(__xludf.DUMMYFUNCTION("""COMPUTED_VALUE"""),"https://t.me/chad_protocol/543")</f>
        <v>https://t.me/chad_protocol/543</v>
      </c>
      <c r="K211" s="6">
        <f>IFERROR(__xludf.DUMMYFUNCTION("""COMPUTED_VALUE"""),4070.0)</f>
        <v>4070</v>
      </c>
      <c r="L211" s="6">
        <f>IFERROR(__xludf.DUMMYFUNCTION("""COMPUTED_VALUE"""),77.0)</f>
        <v>77</v>
      </c>
      <c r="M211" s="6"/>
      <c r="N211" s="6" t="str">
        <f>IFERROR(__xludf.DUMMYFUNCTION("""COMPUTED_VALUE"""),"Telegram")</f>
        <v>Telegram</v>
      </c>
      <c r="O211" s="6" t="str">
        <f>IFERROR(__xludf.DUMMYFUNCTION("""COMPUTED_VALUE"""),"raw")</f>
        <v>raw</v>
      </c>
      <c r="P211" s="6" t="str">
        <f>IFERROR(__xludf.DUMMYFUNCTION("""COMPUTED_VALUE"""),"Codex")</f>
        <v>Codex</v>
      </c>
      <c r="Q211" s="6" t="str">
        <f>IFERROR(__xludf.DUMMYFUNCTION("""COMPUTED_VALUE"""),"Общий контакт @vice22821; признак связи с проектом")</f>
        <v>Общий контакт @vice22821; признак связи с проектом</v>
      </c>
      <c r="R211" s="6" t="str">
        <f>IFERROR(__xludf.DUMMYFUNCTION("""COMPUTED_VALUE"""),"unknown")</f>
        <v>unknown</v>
      </c>
      <c r="S211" s="6" t="str">
        <f>IFERROR(__xludf.DUMMYFUNCTION("""COMPUTED_VALUE"""),"unknown")</f>
        <v>unknown</v>
      </c>
      <c r="T211" s="6" t="str">
        <f>IFERROR(__xludf.DUMMYFUNCTION("""COMPUTED_VALUE"""),"telegram_external")</f>
        <v>telegram_external</v>
      </c>
      <c r="U211" s="6" t="str">
        <f>IFERROR(__xludf.DUMMYFUNCTION("""COMPUTED_VALUE"""),"Контент с предложением курсов")</f>
        <v>Контент с предложением курсов</v>
      </c>
      <c r="V211" s="6" t="str">
        <f>IFERROR(__xludf.DUMMYFUNCTION("""COMPUTED_VALUE"""),"")</f>
        <v/>
      </c>
      <c r="W211" s="6" t="str">
        <f>IFERROR(__xludf.DUMMYFUNCTION("""COMPUTED_VALUE"""),"")</f>
        <v/>
      </c>
      <c r="X211" s="6"/>
      <c r="Y211" s="6" t="str">
        <f>IFERROR(__xludf.DUMMYFUNCTION("""COMPUTED_VALUE"""),"https://t.me/postypashki_old/1859
https://t.me/m/p94YcePXNjcy")</f>
        <v>https://t.me/postypashki_old/1859
https://t.me/m/p94YcePXNjcy</v>
      </c>
      <c r="Z211" s="6" t="b">
        <f>IFERROR(__xludf.DUMMYFUNCTION("""COMPUTED_VALUE"""),TRUE)</f>
        <v>1</v>
      </c>
      <c r="AA211" s="6" t="str">
        <f>IFERROR(__xludf.DUMMYFUNCTION("""COMPUTED_VALUE"""),"")</f>
        <v/>
      </c>
      <c r="AB211" s="6" t="str">
        <f>IFERROR(__xludf.DUMMYFUNCTION("""COMPUTED_VALUE"""),"")</f>
        <v/>
      </c>
      <c r="AC211" s="6" t="str">
        <f>IFERROR(__xludf.DUMMYFUNCTION("""COMPUTED_VALUE"""),"")</f>
        <v/>
      </c>
      <c r="AD211" s="6" t="str">
        <f>IFERROR(__xludf.DUMMYFUNCTION("""COMPUTED_VALUE"""),"")</f>
        <v/>
      </c>
      <c r="AE211" s="6" t="str">
        <f>IFERROR(__xludf.DUMMYFUNCTION("""COMPUTED_VALUE"""),"")</f>
        <v/>
      </c>
      <c r="AF211" s="6" t="str">
        <f>IFERROR(__xludf.DUMMYFUNCTION("""COMPUTED_VALUE"""),"Не подтверждено")</f>
        <v>Не подтверждено</v>
      </c>
      <c r="AG211" s="6" t="str">
        <f>IFERROR(__xludf.DUMMYFUNCTION("""COMPUTED_VALUE"""),"")</f>
        <v/>
      </c>
      <c r="AH211" s="6" t="str">
        <f>IFERROR(__xludf.DUMMYFUNCTION("""COMPUTED_VALUE"""),"2026-09-11T11:47:50.761841+00:00")</f>
        <v>2026-09-11T11:47:50.761841+00:00</v>
      </c>
      <c r="AI211" s="6" t="str">
        <f>IFERROR(__xludf.DUMMYFUNCTION("""COMPUTED_VALUE"""),"raw/chad_protocol/page_000.html")</f>
        <v>raw/chad_protocol/page_000.html</v>
      </c>
      <c r="AJ211" s="9" t="s">
        <v>224</v>
      </c>
      <c r="AK211" s="9" t="s">
        <v>242</v>
      </c>
      <c r="AL211" s="9" t="s">
        <v>254</v>
      </c>
      <c r="AM211" s="9" t="s">
        <v>235</v>
      </c>
      <c r="AN211" s="4" t="str">
        <f>IFERROR(__xludf.DUMMYFUNCTION("IF(OR(AJ211=""general_brand"",AJ211=""external"",AJ211=""unknown""),"""",IF(AJ211=""product_line"",IF(AK211=""START"",""Аналитика старт | Алгоритмы старт | Backend старт | ML старт"",IF(AK211=""PRO"",""AI-агенты про | Алгоритмы про | Аналитика про | ML пр"&amp;"о | Backend про"",IF(AK211=""START | PRO"",""Аналитика старт | Алгоритмы старт | Backend старт | ML старт | AI-агенты про | Алгоритмы про | Аналитика про | ML про | Backend про"",""""))),TEXTJOIN("" | "",TRUE,IF(REGEXMATCH(LOWER(AL211&amp;"" | ""&amp;E211),""анал"&amp;"итика старт""),""Аналитика старт"",""""),IF(REGEXMATCH(LOWER(AL211&amp;"" | ""&amp;E211),""алгоритмы старт""),""Алгоритмы старт"",""""),IF(REGEXMATCH(LOWER(AL211&amp;"" | ""&amp;E211),""backend старт""),""Backend старт"",""""),IF(REGEXMATCH(LOWER(AL211&amp;"" | ""&amp;E211),""ml"&amp;" старт""),""ML старт"",""""),IF(REGEXMATCH(LOWER(AL211&amp;"" | ""&amp;E211),""ai[ -]?агент""),""AI-агенты про"",""""),IF(REGEXMATCH(LOWER(AL211&amp;"" | ""&amp;E211),""алгоритмы про""),""Алгоритмы про"",""""),IF(REGEXMATCH(LOWER(AL211&amp;"" | ""&amp;E211),""аналитика про""),"""&amp;"Аналитика про"",""""),IF(REGEXMATCH(LOWER(AL211&amp;"" | ""&amp;E211),""ml про""),""ML про"",""""),IF(REGEXMATCH(LOWER(AL211&amp;"" | ""&amp;E211),""backend про""),""Backend про"",""""),IF(REGEXMATCH(LOWER(AL211&amp;"" | ""&amp;E211),""(а/в|ав|а в|ab)[ -]?тест""),""А/В-тесты"","&amp;"""""),IF(REGEXMATCH(LOWER(AL211&amp;"" | ""&amp;E211),""data science""),""Data science"",""""),IF(REGEXMATCH(LOWER(AL211&amp;"" | ""&amp;E211),""data[- ]?инжен""),""Data-инженер"",""""),IF(REGEXMATCH(LOWER(AL211&amp;"" | ""&amp;E211),""frontend""),""Frontend"",""""))))"),"Алгоритмы про")</f>
        <v>Алгоритмы про</v>
      </c>
    </row>
    <row r="212">
      <c r="A212" s="6" t="str">
        <f>IFERROR(__xludf.DUMMYFUNCTION("""COMPUTED_VALUE"""),"EXT-112")</f>
        <v>EXT-112</v>
      </c>
      <c r="B212" s="6" t="str">
        <f>IFERROR(__xludf.DUMMYFUNCTION("""COMPUTED_VALUE"""),"2026-09-09 16:33:48")</f>
        <v>2026-09-09 16:33:48</v>
      </c>
      <c r="C212" s="6" t="str">
        <f>IFERROR(__xludf.DUMMYFUNCTION("""COMPUTED_VALUE"""),"@postypashki_mems")</f>
        <v>@postypashki_mems</v>
      </c>
      <c r="D212" s="4" t="str">
        <f>IFERROR(__xludf.DUMMYFUNCTION("""COMPUTED_VALUE"""),"Контент с упоминанием")</f>
        <v>Контент с упоминанием</v>
      </c>
      <c r="E212" s="6" t="str">
        <f>IFERROR(__xludf.DUMMYFUNCTION("""COMPUTED_VALUE"""),"")</f>
        <v/>
      </c>
      <c r="F212" s="6" t="str">
        <f>IFERROR(__xludf.DUMMYFUNCTION("""COMPUTED_VALUE"""),"")</f>
        <v/>
      </c>
      <c r="G212" s="10" t="str">
        <f>IFERROR(__xludf.DUMMYFUNCTION("""COMPUTED_VALUE"""),"https://t.me/postypashki_mems/1424")</f>
        <v>https://t.me/postypashki_mems/1424</v>
      </c>
      <c r="H212" s="6" t="str">
        <f>IFERROR(__xludf.DUMMYFUNCTION("""COMPUTED_VALUE"""),"Разбор контеста на стажировку Яндекс уже на наших курсах ПРО!
@postypashki_mems")</f>
        <v>Разбор контеста на стажировку Яндекс уже на наших курсах ПРО!
@postypashki_mems</v>
      </c>
      <c r="I212" s="6" t="str">
        <f>IFERROR(__xludf.DUMMYFUNCTION("""COMPUTED_VALUE"""),"external")</f>
        <v>external</v>
      </c>
      <c r="J212" s="10" t="str">
        <f>IFERROR(__xludf.DUMMYFUNCTION("""COMPUTED_VALUE"""),"https://t.me/postypashki_mems/1424")</f>
        <v>https://t.me/postypashki_mems/1424</v>
      </c>
      <c r="K212" s="6">
        <f>IFERROR(__xludf.DUMMYFUNCTION("""COMPUTED_VALUE"""),2420.0)</f>
        <v>2420</v>
      </c>
      <c r="L212" s="6">
        <f>IFERROR(__xludf.DUMMYFUNCTION("""COMPUTED_VALUE"""),14.0)</f>
        <v>14</v>
      </c>
      <c r="M212" s="6"/>
      <c r="N212" s="6" t="str">
        <f>IFERROR(__xludf.DUMMYFUNCTION("""COMPUTED_VALUE"""),"Telegram")</f>
        <v>Telegram</v>
      </c>
      <c r="O212" s="6" t="str">
        <f>IFERROR(__xludf.DUMMYFUNCTION("""COMPUTED_VALUE"""),"raw")</f>
        <v>raw</v>
      </c>
      <c r="P212" s="6" t="str">
        <f>IFERROR(__xludf.DUMMYFUNCTION("""COMPUTED_VALUE"""),"Codex")</f>
        <v>Codex</v>
      </c>
      <c r="Q212" s="6" t="str">
        <f>IFERROR(__xludf.DUMMYFUNCTION("""COMPUTED_VALUE"""),"Общий контакт @vice22821; признак связи с проектом")</f>
        <v>Общий контакт @vice22821; признак связи с проектом</v>
      </c>
      <c r="R212" s="6" t="str">
        <f>IFERROR(__xludf.DUMMYFUNCTION("""COMPUTED_VALUE"""),"unknown")</f>
        <v>unknown</v>
      </c>
      <c r="S212" s="6" t="str">
        <f>IFERROR(__xludf.DUMMYFUNCTION("""COMPUTED_VALUE"""),"unknown")</f>
        <v>unknown</v>
      </c>
      <c r="T212" s="6" t="str">
        <f>IFERROR(__xludf.DUMMYFUNCTION("""COMPUTED_VALUE"""),"telegram_external")</f>
        <v>telegram_external</v>
      </c>
      <c r="U212" s="6" t="str">
        <f>IFERROR(__xludf.DUMMYFUNCTION("""COMPUTED_VALUE"""),"Контент с упоминанием")</f>
        <v>Контент с упоминанием</v>
      </c>
      <c r="V212" s="6" t="str">
        <f>IFERROR(__xludf.DUMMYFUNCTION("""COMPUTED_VALUE"""),"")</f>
        <v/>
      </c>
      <c r="W212" s="6" t="str">
        <f>IFERROR(__xludf.DUMMYFUNCTION("""COMPUTED_VALUE"""),"")</f>
        <v/>
      </c>
      <c r="X212" s="6"/>
      <c r="Y212" s="10" t="str">
        <f>IFERROR(__xludf.DUMMYFUNCTION("""COMPUTED_VALUE"""),"https://t.me/postypashki_old/1859")</f>
        <v>https://t.me/postypashki_old/1859</v>
      </c>
      <c r="Z212" s="6" t="b">
        <f>IFERROR(__xludf.DUMMYFUNCTION("""COMPUTED_VALUE"""),FALSE)</f>
        <v>0</v>
      </c>
      <c r="AA212" s="6" t="str">
        <f>IFERROR(__xludf.DUMMYFUNCTION("""COMPUTED_VALUE"""),"")</f>
        <v/>
      </c>
      <c r="AB212" s="6" t="str">
        <f>IFERROR(__xludf.DUMMYFUNCTION("""COMPUTED_VALUE"""),"")</f>
        <v/>
      </c>
      <c r="AC212" s="6" t="str">
        <f>IFERROR(__xludf.DUMMYFUNCTION("""COMPUTED_VALUE"""),"")</f>
        <v/>
      </c>
      <c r="AD212" s="6" t="str">
        <f>IFERROR(__xludf.DUMMYFUNCTION("""COMPUTED_VALUE"""),"")</f>
        <v/>
      </c>
      <c r="AE212" s="6" t="str">
        <f>IFERROR(__xludf.DUMMYFUNCTION("""COMPUTED_VALUE"""),"")</f>
        <v/>
      </c>
      <c r="AF212" s="6" t="str">
        <f>IFERROR(__xludf.DUMMYFUNCTION("""COMPUTED_VALUE"""),"Не подтверждено")</f>
        <v>Не подтверждено</v>
      </c>
      <c r="AG212" s="6" t="str">
        <f>IFERROR(__xludf.DUMMYFUNCTION("""COMPUTED_VALUE"""),"")</f>
        <v/>
      </c>
      <c r="AH212" s="6" t="str">
        <f>IFERROR(__xludf.DUMMYFUNCTION("""COMPUTED_VALUE"""),"2026-09-11T11:47:56.350687+00:00")</f>
        <v>2026-09-11T11:47:56.350687+00:00</v>
      </c>
      <c r="AI212" s="6" t="str">
        <f>IFERROR(__xludf.DUMMYFUNCTION("""COMPUTED_VALUE"""),"raw/postypashki_mems/page_000.html")</f>
        <v>raw/postypashki_mems/page_000.html</v>
      </c>
      <c r="AJ212" s="9" t="s">
        <v>167</v>
      </c>
      <c r="AK212" s="9" t="s">
        <v>242</v>
      </c>
      <c r="AM212" s="9" t="s">
        <v>219</v>
      </c>
      <c r="AN212" s="4" t="str">
        <f>IFERROR(__xludf.DUMMYFUNCTION("IF(OR(AJ212=""general_brand"",AJ212=""external"",AJ212=""unknown""),"""",IF(AJ212=""product_line"",IF(AK212=""START"",""Аналитика старт | Алгоритмы старт | Backend старт | ML старт"",IF(AK212=""PRO"",""AI-агенты про | Алгоритмы про | Аналитика про | ML пр"&amp;"о | Backend про"",IF(AK212=""START | PRO"",""Аналитика старт | Алгоритмы старт | Backend старт | ML старт | AI-агенты про | Алгоритмы про | Аналитика про | ML про | Backend про"",""""))),TEXTJOIN("" | "",TRUE,IF(REGEXMATCH(LOWER(AL212&amp;"" | ""&amp;E212),""анал"&amp;"итика старт""),""Аналитика старт"",""""),IF(REGEXMATCH(LOWER(AL212&amp;"" | ""&amp;E212),""алгоритмы старт""),""Алгоритмы старт"",""""),IF(REGEXMATCH(LOWER(AL212&amp;"" | ""&amp;E212),""backend старт""),""Backend старт"",""""),IF(REGEXMATCH(LOWER(AL212&amp;"" | ""&amp;E212),""ml"&amp;" старт""),""ML старт"",""""),IF(REGEXMATCH(LOWER(AL212&amp;"" | ""&amp;E212),""ai[ -]?агент""),""AI-агенты про"",""""),IF(REGEXMATCH(LOWER(AL212&amp;"" | ""&amp;E212),""алгоритмы про""),""Алгоритмы про"",""""),IF(REGEXMATCH(LOWER(AL212&amp;"" | ""&amp;E212),""аналитика про""),"""&amp;"Аналитика про"",""""),IF(REGEXMATCH(LOWER(AL212&amp;"" | ""&amp;E212),""ml про""),""ML про"",""""),IF(REGEXMATCH(LOWER(AL212&amp;"" | ""&amp;E212),""backend про""),""Backend про"",""""),IF(REGEXMATCH(LOWER(AL212&amp;"" | ""&amp;E212),""(а/в|ав|а в|ab)[ -]?тест""),""А/В-тесты"","&amp;"""""),IF(REGEXMATCH(LOWER(AL212&amp;"" | ""&amp;E212),""data science""),""Data science"",""""),IF(REGEXMATCH(LOWER(AL212&amp;"" | ""&amp;E212),""data[- ]?инжен""),""Data-инженер"",""""),IF(REGEXMATCH(LOWER(AL212&amp;"" | ""&amp;E212),""frontend""),""Frontend"",""""))))"),"AI-агенты про | Алгоритмы про | Аналитика про | ML про | Backend про")</f>
        <v>AI-агенты про | Алгоритмы про | Аналитика про | ML про | Backend про</v>
      </c>
    </row>
    <row r="213">
      <c r="A213" s="6" t="str">
        <f>IFERROR(__xludf.DUMMYFUNCTION("""COMPUTED_VALUE"""),"EXT-113")</f>
        <v>EXT-113</v>
      </c>
      <c r="B213" s="6" t="str">
        <f>IFERROR(__xludf.DUMMYFUNCTION("""COMPUTED_VALUE"""),"2026-09-10 17:36:13")</f>
        <v>2026-09-10 17:36:13</v>
      </c>
      <c r="C213" s="6" t="str">
        <f>IFERROR(__xludf.DUMMYFUNCTION("""COMPUTED_VALUE"""),"@ProdAnalysis")</f>
        <v>@ProdAnalysis</v>
      </c>
      <c r="D213" s="4" t="str">
        <f>IFERROR(__xludf.DUMMYFUNCTION("""COMPUTED_VALUE"""),"Бесплатное событие / лид-магнит")</f>
        <v>Бесплатное событие / лид-магнит</v>
      </c>
      <c r="E213" s="6" t="str">
        <f>IFERROR(__xludf.DUMMYFUNCTION("""COMPUTED_VALUE"""),"")</f>
        <v/>
      </c>
      <c r="F213" s="6" t="str">
        <f>IFERROR(__xludf.DUMMYFUNCTION("""COMPUTED_VALUE"""),"")</f>
        <v/>
      </c>
      <c r="G213" s="10" t="str">
        <f>IFERROR(__xludf.DUMMYFUNCTION("""COMPUTED_VALUE"""),"https://t.me/ProdAnalysis/176")</f>
        <v>https://t.me/ProdAnalysis/176</v>
      </c>
      <c r="H213" s="6" t="str">
        <f>IFERROR(__xludf.DUMMYFUNCTION("""COMPUTED_VALUE"""),"Как хакнуть HR
В рамках открытой недели ""Аналитика вне SQL"" встретились с HR-экспертом, который нанимал IT-спецов от стажера до топ-менеджмента в X5 и Яндексе. Вместе разбирались, что вообще происходит по ту сторону отклика: почему хорошее резюме может"&amp;" получить отказ, как работает ATS, что смотрит HR и почему одних кандидатов зовут дальше, а других — нет.
Запись встречи уже лежит в канале. Но чтобы не пересматривать ее каждый раз перед собеседованием, мы собрали все самое важное в гайд «Как попасть на"&amp;" собеседование и пройти его». Сохраняйте и делитесь с друзьями!
А здесь отдельно вынесем несколько важных пунктов:
1. Увидели вакансию — лучше откликнуться сразу.
HR достаточно быстро собирает первую подборку подходящих кандидатов и дальше уже работает с"&amp;" ней вместе с нанимающим менеджером. Вакансия при этом может продолжать висеть.
Поэтому иногда кандидат на 10/10 просто пришёл позже и не успел попасть в папку кандидатов.
2. ATS помнит больше, чем одно ваше резюме.
Это не только фильтр по ключевым слова"&amp;"м. В системе может сохраняться история ваших откликов, этапов и контактов с компанией.
Поэтому нормально поддерживать адекватную коммуникацию с HR даже после интервью. Если они обещали ответ и пропали — можно написать follow-up. Сегодня вакансии для вас м"&amp;"ожет не оказаться, а через несколько месяцев HR вспомнит хорошего кандидата и вернётся уже с другой.
И да: если вам звонил HR и вы не успели взять трубку — перезвонить нормально. Не нужно ждать, пока вас попробуют поймать ещё три раза.
3. Холодный отклик"&amp;" — не единственный вход.
Если можете выйти напрямую на HR, нанимающего менеджера или получить рекомендацию сотрудника — используйте это.
Когда вас рекомендуют, за вами уже стоит первичный человеческий фильтр: «я знаю этого человека / посмотрел его опыт / "&amp;"с ним стоит поговорить». Это может помочь не потеряться среди сотен откликов.
Поэтому нетворкинг — самый рабочий канал поиска работы, особенно, чтобы быстро пройти верхний этап воронки.
4. Перед интервью можно немного посталкерить нанимающего менеджера.
"&amp;"Спросите у HR, кто будет вас собеседовать, и посмотрите человека в LinkedIn и открытых соцсетях: где работал, чем занимался, какие продукты делал.
Вы идёте не в абстрактный «Яндекс» или «X5», а к конкретному руководителю. Чем лучше понимаете его профессио"&amp;"нальный профиль, тем понятнее, какие темы ему будут близки и на чём строить разговор.
5. Soft skills ≠ «просто умею разговаривать».
И точно не строчка «коммуникабельный, стрессоустойчивый» в резюме.
На собеседовании смотрят, можете ли вы:
— понятно объяс"&amp;"нить решение
— нормально реагировать на вопросы
— признать, что чего-то не знаете
— уточнить задачу вместо того, чтобы сразу бежать решать
— аргументировать свою позицию
— в целом адекватно работать с другими людьми
Когда два кандидата похожи по хардам, "&amp;"вот это уже может стать решающим фактором при выборе.
6. Нет опыта — ищитев первую очередь не сертификаты, а доказательства, что вы умеете работать.
Pet-проекты, хакатоны, кейс-чемпионаты, исследования, университетские проекты — всё это можно использоват"&amp;"ь как опыт, если там была реальная задача и вы можете подробно рассказать, что сделали и к какому результату пришли.
То же самое с коммерческим опытом: в резюме важнее не «писал SQL и строил дашборды», а что изменилось благодаря вашей работе.
Например:
у"&amp;"величил показатель X на 12% за счёт анализа пользовательских сегментов и проверки продуктовых гипотез.
В самом гайде подробнее разобрали ATS, резюме, первый этап отбора, отсутствие опыта, HR-интервью, soft skills, нетворкинг и переход между ролями.
А се"&amp;"годня в 19:00 посмотрим на тот же путь уже глазами кандидата.
Встречаемся с senior-аналитиком Авито😎 и разберём, как он сам прошёл путь от поиска первой стажировки до senior: что писал в резюме, что реально помогало проходить отборы, что не работало и з"&amp;"а счёт чего получилось быстро расти дальше.
Если сейчас ищете стажировку, первую работу или хотите понять, как быстрее расти после входа в профессию, присоединяйтесь.")</f>
        <v>Как хакнуть HR
В рамках открытой недели "Аналитика вне SQL" встретились с HR-экспертом, который нанимал IT-спецов от стажера до топ-менеджмента в X5 и Яндексе. Вместе разбирались, что вообще происходит по ту сторону отклика: почему хорошее резюме может получить отказ, как работает ATS, что смотрит HR и почему одних кандидатов зовут дальше, а других — нет.
Запись встречи уже лежит в канале. Но чтобы не пересматривать ее каждый раз перед собеседованием, мы собрали все самое важное в гайд «Как попасть на собеседование и пройти его». Сохраняйте и делитесь с друзьями!
А здесь отдельно вынесем несколько важных пунктов:
1. Увидели вакансию — лучше откликнуться сразу.
HR достаточно быстро собирает первую подборку подходящих кандидатов и дальше уже работает с ней вместе с нанимающим менеджером. Вакансия при этом может продолжать висеть.
Поэтому иногда кандидат на 10/10 просто пришёл позже и не успел попасть в папку кандидатов.
2. ATS помнит больше, чем одно ваше резюме.
Это не только фильтр по ключевым словам. В системе может сохраняться история ваших откликов, этапов и контактов с компанией.
Поэтому нормально поддерживать адекватную коммуникацию с HR даже после интервью. Если они обещали ответ и пропали — можно написать follow-up. Сегодня вакансии для вас может не оказаться, а через несколько месяцев HR вспомнит хорошего кандидата и вернётся уже с другой.
И да: если вам звонил HR и вы не успели взять трубку — перезвонить нормально. Не нужно ждать, пока вас попробуют поймать ещё три раза.
3. Холодный отклик — не единственный вход.
Если можете выйти напрямую на HR, нанимающего менеджера или получить рекомендацию сотрудника — используйте это.
Когда вас рекомендуют, за вами уже стоит первичный человеческий фильтр: «я знаю этого человека / посмотрел его опыт / с ним стоит поговорить». Это может помочь не потеряться среди сотен откликов.
Поэтому нетворкинг — самый рабочий канал поиска работы, особенно, чтобы быстро пройти верхний этап воронки.
4. Перед интервью можно немного посталкерить нанимающего менеджера.
Спросите у HR, кто будет вас собеседовать, и посмотрите человека в LinkedIn и открытых соцсетях: где работал, чем занимался, какие продукты делал.
Вы идёте не в абстрактный «Яндекс» или «X5», а к конкретному руководителю. Чем лучше понимаете его профессиональный профиль, тем понятнее, какие темы ему будут близки и на чём строить разговор.
5. Soft skills ≠ «просто умею разговаривать».
И точно не строчка «коммуникабельный, стрессоустойчивый» в резюме.
На собеседовании смотрят, можете ли вы:
— понятно объяснить решение
— нормально реагировать на вопросы
— признать, что чего-то не знаете
— уточнить задачу вместо того, чтобы сразу бежать решать
— аргументировать свою позицию
— в целом адекватно работать с другими людьми
Когда два кандидата похожи по хардам, вот это уже может стать решающим фактором при выборе.
6. Нет опыта — ищитев первую очередь не сертификаты, а доказательства, что вы умеете работать.
Pet-проекты, хакатоны, кейс-чемпионаты, исследования, университетские проекты — всё это можно использовать как опыт, если там была реальная задача и вы можете подробно рассказать, что сделали и к какому результату пришли.
То же самое с коммерческим опытом: в резюме важнее не «писал SQL и строил дашборды», а что изменилось благодаря вашей работе.
Например:
увеличил показатель X на 12% за счёт анализа пользовательских сегментов и проверки продуктовых гипотез.
В самом гайде подробнее разобрали ATS, резюме, первый этап отбора, отсутствие опыта, HR-интервью, soft skills, нетворкинг и переход между ролями.
А сегодня в 19:00 посмотрим на тот же путь уже глазами кандидата.
Встречаемся с senior-аналитиком Авито😎 и разберём, как он сам прошёл путь от поиска первой стажировки до senior: что писал в резюме, что реально помогало проходить отборы, что не работало и за счёт чего получилось быстро расти дальше.
Если сейчас ищете стажировку, первую работу или хотите понять, как быстрее расти после входа в профессию, присоединяйтесь.</v>
      </c>
      <c r="I213" s="6" t="str">
        <f>IFERROR(__xludf.DUMMYFUNCTION("""COMPUTED_VALUE"""),"external")</f>
        <v>external</v>
      </c>
      <c r="J213" s="10" t="str">
        <f>IFERROR(__xludf.DUMMYFUNCTION("""COMPUTED_VALUE"""),"https://t.me/ProdAnalysis/176")</f>
        <v>https://t.me/ProdAnalysis/176</v>
      </c>
      <c r="K213" s="6">
        <f>IFERROR(__xludf.DUMMYFUNCTION("""COMPUTED_VALUE"""),396.0)</f>
        <v>396</v>
      </c>
      <c r="L213" s="6">
        <f>IFERROR(__xludf.DUMMYFUNCTION("""COMPUTED_VALUE"""),2.0)</f>
        <v>2</v>
      </c>
      <c r="M213" s="6"/>
      <c r="N213" s="6" t="str">
        <f>IFERROR(__xludf.DUMMYFUNCTION("""COMPUTED_VALUE"""),"Telegram")</f>
        <v>Telegram</v>
      </c>
      <c r="O213" s="6" t="str">
        <f>IFERROR(__xludf.DUMMYFUNCTION("""COMPUTED_VALUE"""),"raw")</f>
        <v>raw</v>
      </c>
      <c r="P213" s="6" t="str">
        <f>IFERROR(__xludf.DUMMYFUNCTION("""COMPUTED_VALUE"""),"Codex")</f>
        <v>Codex</v>
      </c>
      <c r="Q213" s="6" t="str">
        <f>IFERROR(__xludf.DUMMYFUNCTION("""COMPUTED_VALUE"""),"Общий контакт @vice22821; признак связи с проектом")</f>
        <v>Общий контакт @vice22821; признак связи с проектом</v>
      </c>
      <c r="R213" s="6" t="str">
        <f>IFERROR(__xludf.DUMMYFUNCTION("""COMPUTED_VALUE"""),"unknown")</f>
        <v>unknown</v>
      </c>
      <c r="S213" s="6" t="str">
        <f>IFERROR(__xludf.DUMMYFUNCTION("""COMPUTED_VALUE"""),"unknown")</f>
        <v>unknown</v>
      </c>
      <c r="T213" s="6" t="str">
        <f>IFERROR(__xludf.DUMMYFUNCTION("""COMPUTED_VALUE"""),"telegram_external")</f>
        <v>telegram_external</v>
      </c>
      <c r="U213" s="6" t="str">
        <f>IFERROR(__xludf.DUMMYFUNCTION("""COMPUTED_VALUE"""),"Бесплатное событие / лид-магнит")</f>
        <v>Бесплатное событие / лид-магнит</v>
      </c>
      <c r="V213" s="6" t="str">
        <f>IFERROR(__xludf.DUMMYFUNCTION("""COMPUTED_VALUE"""),"")</f>
        <v/>
      </c>
      <c r="W213" s="6" t="str">
        <f>IFERROR(__xludf.DUMMYFUNCTION("""COMPUTED_VALUE"""),"")</f>
        <v/>
      </c>
      <c r="X213" s="6"/>
      <c r="Y213" s="10" t="str">
        <f>IFERROR(__xludf.DUMMYFUNCTION("""COMPUTED_VALUE"""),"https://t.me/postypashki_old/1887")</f>
        <v>https://t.me/postypashki_old/1887</v>
      </c>
      <c r="Z213" s="6" t="b">
        <f>IFERROR(__xludf.DUMMYFUNCTION("""COMPUTED_VALUE"""),FALSE)</f>
        <v>0</v>
      </c>
      <c r="AA213" s="6" t="str">
        <f>IFERROR(__xludf.DUMMYFUNCTION("""COMPUTED_VALUE"""),"")</f>
        <v/>
      </c>
      <c r="AB213" s="6" t="str">
        <f>IFERROR(__xludf.DUMMYFUNCTION("""COMPUTED_VALUE"""),"")</f>
        <v/>
      </c>
      <c r="AC213" s="6" t="str">
        <f>IFERROR(__xludf.DUMMYFUNCTION("""COMPUTED_VALUE"""),"")</f>
        <v/>
      </c>
      <c r="AD213" s="6" t="str">
        <f>IFERROR(__xludf.DUMMYFUNCTION("""COMPUTED_VALUE"""),"")</f>
        <v/>
      </c>
      <c r="AE213" s="6" t="str">
        <f>IFERROR(__xludf.DUMMYFUNCTION("""COMPUTED_VALUE"""),"")</f>
        <v/>
      </c>
      <c r="AF213" s="6" t="str">
        <f>IFERROR(__xludf.DUMMYFUNCTION("""COMPUTED_VALUE"""),"Не подтверждено")</f>
        <v>Не подтверждено</v>
      </c>
      <c r="AG213" s="6" t="str">
        <f>IFERROR(__xludf.DUMMYFUNCTION("""COMPUTED_VALUE"""),"")</f>
        <v/>
      </c>
      <c r="AH213" s="6" t="str">
        <f>IFERROR(__xludf.DUMMYFUNCTION("""COMPUTED_VALUE"""),"2026-09-11T11:47:34.275826+00:00")</f>
        <v>2026-09-11T11:47:34.275826+00:00</v>
      </c>
      <c r="AI213" s="6" t="str">
        <f>IFERROR(__xludf.DUMMYFUNCTION("""COMPUTED_VALUE"""),"raw/ProdAnalysis/page_000.html")</f>
        <v>raw/ProdAnalysis/page_000.html</v>
      </c>
      <c r="AJ213" s="9" t="s">
        <v>224</v>
      </c>
      <c r="AL213" s="9" t="s">
        <v>248</v>
      </c>
      <c r="AM213" s="9" t="s">
        <v>219</v>
      </c>
      <c r="AN213" s="4" t="str">
        <f>IFERROR(__xludf.DUMMYFUNCTION("IF(OR(AJ213=""general_brand"",AJ213=""external"",AJ213=""unknown""),"""",IF(AJ213=""product_line"",IF(AK213=""START"",""Аналитика старт | Алгоритмы старт | Backend старт | ML старт"",IF(AK213=""PRO"",""AI-агенты про | Алгоритмы про | Аналитика про | ML пр"&amp;"о | Backend про"",IF(AK213=""START | PRO"",""Аналитика старт | Алгоритмы старт | Backend старт | ML старт | AI-агенты про | Алгоритмы про | Аналитика про | ML про | Backend про"",""""))),TEXTJOIN("" | "",TRUE,IF(REGEXMATCH(LOWER(AL213&amp;"" | ""&amp;E213),""анал"&amp;"итика старт""),""Аналитика старт"",""""),IF(REGEXMATCH(LOWER(AL213&amp;"" | ""&amp;E213),""алгоритмы старт""),""Алгоритмы старт"",""""),IF(REGEXMATCH(LOWER(AL213&amp;"" | ""&amp;E213),""backend старт""),""Backend старт"",""""),IF(REGEXMATCH(LOWER(AL213&amp;"" | ""&amp;E213),""ml"&amp;" старт""),""ML старт"",""""),IF(REGEXMATCH(LOWER(AL213&amp;"" | ""&amp;E213),""ai[ -]?агент""),""AI-агенты про"",""""),IF(REGEXMATCH(LOWER(AL213&amp;"" | ""&amp;E213),""алгоритмы про""),""Алгоритмы про"",""""),IF(REGEXMATCH(LOWER(AL213&amp;"" | ""&amp;E213),""аналитика про""),"""&amp;"Аналитика про"",""""),IF(REGEXMATCH(LOWER(AL213&amp;"" | ""&amp;E213),""ml про""),""ML про"",""""),IF(REGEXMATCH(LOWER(AL213&amp;"" | ""&amp;E213),""backend про""),""Backend про"",""""),IF(REGEXMATCH(LOWER(AL213&amp;"" | ""&amp;E213),""(а/в|ав|а в|ab)[ -]?тест""),""А/В-тесты"","&amp;"""""),IF(REGEXMATCH(LOWER(AL213&amp;"" | ""&amp;E213),""data science""),""Data science"",""""),IF(REGEXMATCH(LOWER(AL213&amp;"" | ""&amp;E213),""data[- ]?инжен""),""Data-инженер"",""""),IF(REGEXMATCH(LOWER(AL213&amp;"" | ""&amp;E213),""frontend""),""Frontend"",""""))))"),"")</f>
        <v/>
      </c>
    </row>
    <row r="214">
      <c r="R214" s="6"/>
      <c r="S214" s="6"/>
    </row>
    <row r="215">
      <c r="R215" s="6"/>
      <c r="S215" s="6"/>
    </row>
    <row r="216">
      <c r="R216" s="6"/>
      <c r="S216" s="6"/>
    </row>
    <row r="217">
      <c r="R217" s="6"/>
      <c r="S217" s="6"/>
    </row>
    <row r="218">
      <c r="R218" s="6"/>
      <c r="S218" s="6"/>
    </row>
    <row r="219">
      <c r="R219" s="6"/>
      <c r="S219" s="6"/>
    </row>
    <row r="220">
      <c r="R220" s="6"/>
      <c r="S220" s="6"/>
    </row>
    <row r="221">
      <c r="R221" s="6"/>
      <c r="S221" s="6"/>
    </row>
    <row r="222">
      <c r="R222" s="6"/>
      <c r="S222" s="6"/>
    </row>
    <row r="223">
      <c r="R223" s="6"/>
      <c r="S223" s="6"/>
    </row>
    <row r="224">
      <c r="R224" s="6"/>
      <c r="S224" s="6"/>
    </row>
    <row r="225">
      <c r="R225" s="6"/>
      <c r="S225" s="6"/>
    </row>
    <row r="226">
      <c r="R226" s="6"/>
      <c r="S226" s="6"/>
    </row>
    <row r="227">
      <c r="R227" s="6"/>
      <c r="S227" s="6"/>
    </row>
    <row r="228">
      <c r="R228" s="6"/>
      <c r="S228" s="6"/>
    </row>
    <row r="229">
      <c r="R229" s="6"/>
      <c r="S229" s="6"/>
    </row>
    <row r="230">
      <c r="R230" s="6"/>
      <c r="S230" s="6"/>
    </row>
    <row r="231">
      <c r="R231" s="6"/>
      <c r="S231" s="6"/>
    </row>
    <row r="232">
      <c r="R232" s="6"/>
      <c r="S232" s="6"/>
    </row>
    <row r="233">
      <c r="R233" s="6"/>
      <c r="S233" s="6"/>
    </row>
    <row r="234">
      <c r="R234" s="6"/>
      <c r="S234" s="6"/>
    </row>
    <row r="235">
      <c r="R235" s="6"/>
      <c r="S235" s="6"/>
    </row>
    <row r="236">
      <c r="R236" s="6"/>
      <c r="S236" s="6"/>
    </row>
    <row r="237">
      <c r="R237" s="6"/>
      <c r="S237" s="6"/>
    </row>
    <row r="238">
      <c r="R238" s="6"/>
      <c r="S238" s="6"/>
    </row>
    <row r="239">
      <c r="R239" s="6"/>
      <c r="S239" s="6"/>
    </row>
    <row r="240">
      <c r="R240" s="6"/>
      <c r="S240" s="6"/>
    </row>
    <row r="241">
      <c r="R241" s="6"/>
      <c r="S241" s="6"/>
    </row>
    <row r="242">
      <c r="R242" s="6"/>
      <c r="S242" s="6"/>
    </row>
    <row r="243">
      <c r="R243" s="6"/>
      <c r="S243" s="6"/>
    </row>
    <row r="244">
      <c r="R244" s="6"/>
      <c r="S244" s="6"/>
    </row>
    <row r="245">
      <c r="R245" s="6"/>
      <c r="S245" s="6"/>
    </row>
    <row r="246">
      <c r="R246" s="6"/>
      <c r="S246" s="6"/>
    </row>
    <row r="247">
      <c r="R247" s="6"/>
      <c r="S247" s="6"/>
    </row>
    <row r="248">
      <c r="R248" s="6"/>
      <c r="S248" s="6"/>
    </row>
    <row r="249">
      <c r="R249" s="6"/>
      <c r="S249" s="6"/>
    </row>
    <row r="250">
      <c r="R250" s="6"/>
      <c r="S250" s="6"/>
    </row>
    <row r="251">
      <c r="R251" s="6"/>
      <c r="S251" s="6"/>
    </row>
    <row r="252">
      <c r="R252" s="6"/>
      <c r="S252" s="6"/>
    </row>
    <row r="253">
      <c r="R253" s="6"/>
      <c r="S253" s="6"/>
    </row>
    <row r="254">
      <c r="R254" s="6"/>
      <c r="S254" s="6"/>
    </row>
    <row r="255">
      <c r="R255" s="6"/>
      <c r="S255" s="6"/>
    </row>
    <row r="256">
      <c r="R256" s="6"/>
      <c r="S256" s="6"/>
    </row>
    <row r="257">
      <c r="R257" s="6"/>
      <c r="S257" s="6"/>
    </row>
    <row r="258">
      <c r="R258" s="6"/>
      <c r="S258" s="6"/>
    </row>
    <row r="259">
      <c r="R259" s="6"/>
      <c r="S259" s="6"/>
    </row>
    <row r="260">
      <c r="R260" s="6"/>
      <c r="S260" s="6"/>
    </row>
    <row r="261">
      <c r="R261" s="6"/>
      <c r="S261" s="6"/>
    </row>
    <row r="262">
      <c r="R262" s="6"/>
      <c r="S262" s="6"/>
    </row>
    <row r="263">
      <c r="R263" s="6"/>
      <c r="S263" s="6"/>
    </row>
    <row r="264">
      <c r="R264" s="6"/>
      <c r="S264" s="6"/>
    </row>
    <row r="265">
      <c r="R265" s="6"/>
      <c r="S265" s="6"/>
    </row>
    <row r="266">
      <c r="R266" s="6"/>
      <c r="S266" s="6"/>
    </row>
    <row r="267">
      <c r="R267" s="6"/>
      <c r="S267" s="6"/>
    </row>
    <row r="268">
      <c r="R268" s="6"/>
      <c r="S268" s="6"/>
    </row>
    <row r="269">
      <c r="R269" s="6"/>
      <c r="S269" s="6"/>
    </row>
    <row r="270">
      <c r="R270" s="6"/>
      <c r="S270" s="6"/>
    </row>
    <row r="271">
      <c r="R271" s="6"/>
      <c r="S271" s="6"/>
    </row>
    <row r="272">
      <c r="R272" s="6"/>
      <c r="S272" s="6"/>
    </row>
    <row r="273">
      <c r="R273" s="6"/>
      <c r="S273" s="6"/>
    </row>
    <row r="274">
      <c r="R274" s="6"/>
      <c r="S274" s="6"/>
    </row>
    <row r="275">
      <c r="R275" s="6"/>
      <c r="S275" s="6"/>
    </row>
    <row r="276">
      <c r="R276" s="6"/>
      <c r="S276" s="6"/>
    </row>
    <row r="277">
      <c r="R277" s="6"/>
      <c r="S277" s="6"/>
    </row>
    <row r="278">
      <c r="R278" s="6"/>
      <c r="S278" s="6"/>
    </row>
    <row r="279">
      <c r="R279" s="6"/>
      <c r="S279" s="6"/>
    </row>
    <row r="280">
      <c r="R280" s="6"/>
      <c r="S280" s="6"/>
    </row>
    <row r="281">
      <c r="R281" s="6"/>
      <c r="S281" s="6"/>
    </row>
    <row r="282">
      <c r="R282" s="6"/>
      <c r="S282" s="6"/>
    </row>
    <row r="283">
      <c r="R283" s="6"/>
      <c r="S283" s="6"/>
    </row>
    <row r="284">
      <c r="R284" s="6"/>
      <c r="S284" s="6"/>
    </row>
    <row r="285">
      <c r="R285" s="6"/>
      <c r="S285" s="6"/>
    </row>
    <row r="286">
      <c r="R286" s="6"/>
      <c r="S286" s="6"/>
    </row>
    <row r="287">
      <c r="R287" s="6"/>
      <c r="S287" s="6"/>
    </row>
    <row r="288">
      <c r="R288" s="6"/>
      <c r="S288" s="6"/>
    </row>
    <row r="289">
      <c r="R289" s="6"/>
      <c r="S289" s="6"/>
    </row>
    <row r="290">
      <c r="R290" s="6"/>
      <c r="S290" s="6"/>
    </row>
    <row r="291">
      <c r="R291" s="6"/>
      <c r="S291" s="6"/>
    </row>
    <row r="292">
      <c r="R292" s="6"/>
      <c r="S292" s="6"/>
    </row>
    <row r="293">
      <c r="R293" s="6"/>
      <c r="S293" s="6"/>
    </row>
    <row r="294">
      <c r="R294" s="6"/>
      <c r="S294" s="6"/>
    </row>
    <row r="295">
      <c r="R295" s="6"/>
      <c r="S295" s="6"/>
    </row>
    <row r="296">
      <c r="R296" s="6"/>
      <c r="S296" s="6"/>
    </row>
    <row r="297">
      <c r="R297" s="6"/>
      <c r="S297" s="6"/>
    </row>
    <row r="298">
      <c r="R298" s="6"/>
      <c r="S298" s="6"/>
    </row>
    <row r="299">
      <c r="R299" s="6"/>
      <c r="S299" s="6"/>
    </row>
    <row r="300">
      <c r="R300" s="6"/>
      <c r="S300" s="6"/>
    </row>
    <row r="301">
      <c r="R301" s="6"/>
      <c r="S301" s="6"/>
    </row>
    <row r="302">
      <c r="R302" s="6"/>
      <c r="S302" s="6"/>
    </row>
    <row r="303">
      <c r="R303" s="6"/>
      <c r="S303" s="6"/>
    </row>
    <row r="304">
      <c r="R304" s="6"/>
      <c r="S304" s="6"/>
    </row>
    <row r="305">
      <c r="R305" s="6"/>
      <c r="S305" s="6"/>
    </row>
    <row r="306">
      <c r="R306" s="6"/>
      <c r="S306" s="6"/>
    </row>
    <row r="307">
      <c r="R307" s="6"/>
      <c r="S307" s="6"/>
    </row>
    <row r="308">
      <c r="R308" s="6"/>
      <c r="S308" s="6"/>
    </row>
    <row r="309">
      <c r="R309" s="6"/>
      <c r="S309" s="6"/>
    </row>
    <row r="310">
      <c r="R310" s="6"/>
      <c r="S310" s="6"/>
    </row>
    <row r="311">
      <c r="R311" s="6"/>
      <c r="S311" s="6"/>
    </row>
    <row r="312">
      <c r="R312" s="6"/>
      <c r="S312" s="6"/>
    </row>
    <row r="313">
      <c r="R313" s="6"/>
      <c r="S313" s="6"/>
    </row>
    <row r="314">
      <c r="R314" s="6"/>
      <c r="S314" s="6"/>
    </row>
    <row r="315">
      <c r="R315" s="6"/>
      <c r="S315" s="6"/>
    </row>
    <row r="316">
      <c r="R316" s="6"/>
      <c r="S316" s="6"/>
    </row>
    <row r="317">
      <c r="R317" s="6"/>
      <c r="S317" s="6"/>
    </row>
    <row r="318">
      <c r="R318" s="6"/>
      <c r="S318" s="6"/>
    </row>
    <row r="319">
      <c r="R319" s="6"/>
      <c r="S319" s="6"/>
    </row>
    <row r="320">
      <c r="R320" s="6"/>
      <c r="S320" s="6"/>
    </row>
    <row r="321">
      <c r="R321" s="6"/>
      <c r="S321" s="6"/>
    </row>
    <row r="322">
      <c r="R322" s="6"/>
      <c r="S322" s="6"/>
    </row>
    <row r="323">
      <c r="R323" s="6"/>
      <c r="S323" s="6"/>
    </row>
    <row r="324">
      <c r="R324" s="6"/>
      <c r="S324" s="6"/>
    </row>
    <row r="325">
      <c r="R325" s="6"/>
      <c r="S325" s="6"/>
    </row>
    <row r="326">
      <c r="R326" s="6"/>
      <c r="S326" s="6"/>
    </row>
    <row r="327">
      <c r="R327" s="6"/>
      <c r="S327" s="6"/>
    </row>
    <row r="328">
      <c r="R328" s="6"/>
      <c r="S328" s="6"/>
    </row>
    <row r="329">
      <c r="R329" s="6"/>
      <c r="S329" s="6"/>
    </row>
    <row r="330">
      <c r="R330" s="6"/>
      <c r="S330" s="6"/>
    </row>
    <row r="331">
      <c r="R331" s="6"/>
      <c r="S331" s="6"/>
    </row>
    <row r="332">
      <c r="R332" s="6"/>
      <c r="S332" s="6"/>
    </row>
    <row r="333">
      <c r="R333" s="6"/>
      <c r="S333" s="6"/>
    </row>
    <row r="334">
      <c r="R334" s="6"/>
      <c r="S334" s="6"/>
    </row>
    <row r="335">
      <c r="R335" s="6"/>
      <c r="S335" s="6"/>
    </row>
    <row r="336">
      <c r="R336" s="6"/>
      <c r="S336" s="6"/>
    </row>
    <row r="337">
      <c r="R337" s="6"/>
      <c r="S337" s="6"/>
    </row>
    <row r="338">
      <c r="R338" s="6"/>
      <c r="S338" s="6"/>
    </row>
    <row r="339">
      <c r="R339" s="6"/>
      <c r="S339" s="6"/>
    </row>
    <row r="340">
      <c r="R340" s="6"/>
      <c r="S340" s="6"/>
    </row>
    <row r="341">
      <c r="R341" s="6"/>
      <c r="S341" s="6"/>
    </row>
    <row r="342">
      <c r="R342" s="6"/>
      <c r="S342" s="6"/>
    </row>
    <row r="343">
      <c r="R343" s="6"/>
      <c r="S343" s="6"/>
    </row>
    <row r="344">
      <c r="R344" s="6"/>
      <c r="S344" s="6"/>
    </row>
    <row r="345">
      <c r="R345" s="6"/>
      <c r="S345" s="6"/>
    </row>
    <row r="346">
      <c r="R346" s="6"/>
      <c r="S346" s="6"/>
    </row>
    <row r="347">
      <c r="R347" s="6"/>
      <c r="S347" s="6"/>
    </row>
    <row r="348">
      <c r="R348" s="6"/>
      <c r="S348" s="6"/>
    </row>
    <row r="349">
      <c r="R349" s="6"/>
      <c r="S349" s="6"/>
    </row>
    <row r="350">
      <c r="R350" s="6"/>
      <c r="S350" s="6"/>
    </row>
    <row r="351">
      <c r="R351" s="6"/>
      <c r="S351" s="6"/>
    </row>
    <row r="352">
      <c r="R352" s="6"/>
      <c r="S352" s="6"/>
    </row>
    <row r="353">
      <c r="R353" s="6"/>
      <c r="S353" s="6"/>
    </row>
    <row r="354">
      <c r="R354" s="6"/>
      <c r="S354" s="6"/>
    </row>
    <row r="355">
      <c r="R355" s="6"/>
      <c r="S355" s="6"/>
    </row>
    <row r="356">
      <c r="R356" s="6"/>
      <c r="S356" s="6"/>
    </row>
    <row r="357">
      <c r="R357" s="6"/>
      <c r="S357" s="6"/>
    </row>
    <row r="358">
      <c r="R358" s="6"/>
      <c r="S358" s="6"/>
    </row>
    <row r="359">
      <c r="R359" s="6"/>
      <c r="S359" s="6"/>
    </row>
    <row r="360">
      <c r="R360" s="6"/>
      <c r="S360" s="6"/>
    </row>
    <row r="361">
      <c r="R361" s="6"/>
      <c r="S361" s="6"/>
    </row>
    <row r="362">
      <c r="R362" s="6"/>
      <c r="S362" s="6"/>
    </row>
    <row r="363">
      <c r="R363" s="6"/>
      <c r="S363" s="6"/>
    </row>
    <row r="364">
      <c r="R364" s="6"/>
      <c r="S364" s="6"/>
    </row>
    <row r="365">
      <c r="R365" s="6"/>
      <c r="S365" s="6"/>
    </row>
    <row r="366">
      <c r="R366" s="6"/>
      <c r="S366" s="6"/>
    </row>
    <row r="367">
      <c r="R367" s="6"/>
      <c r="S367" s="6"/>
    </row>
    <row r="368">
      <c r="R368" s="6"/>
      <c r="S368" s="6"/>
    </row>
    <row r="369">
      <c r="R369" s="6"/>
      <c r="S369" s="6"/>
    </row>
    <row r="370">
      <c r="R370" s="6"/>
      <c r="S370" s="6"/>
    </row>
    <row r="371">
      <c r="R371" s="6"/>
      <c r="S371" s="6"/>
    </row>
    <row r="372">
      <c r="R372" s="6"/>
      <c r="S372" s="6"/>
    </row>
    <row r="373">
      <c r="R373" s="6"/>
      <c r="S373" s="6"/>
    </row>
    <row r="374">
      <c r="R374" s="6"/>
      <c r="S374" s="6"/>
    </row>
    <row r="375">
      <c r="R375" s="6"/>
      <c r="S375" s="6"/>
    </row>
    <row r="376">
      <c r="R376" s="6"/>
      <c r="S376" s="6"/>
    </row>
    <row r="377">
      <c r="R377" s="6"/>
      <c r="S377" s="6"/>
    </row>
    <row r="378">
      <c r="R378" s="6"/>
      <c r="S378" s="6"/>
    </row>
    <row r="379">
      <c r="R379" s="6"/>
      <c r="S379" s="6"/>
    </row>
    <row r="380">
      <c r="R380" s="6"/>
      <c r="S380" s="6"/>
    </row>
    <row r="381">
      <c r="R381" s="6"/>
      <c r="S381" s="6"/>
    </row>
    <row r="382">
      <c r="R382" s="6"/>
      <c r="S382" s="6"/>
    </row>
    <row r="383">
      <c r="R383" s="6"/>
      <c r="S383" s="6"/>
    </row>
    <row r="384">
      <c r="R384" s="6"/>
      <c r="S384" s="6"/>
    </row>
    <row r="385">
      <c r="R385" s="6"/>
      <c r="S385" s="6"/>
    </row>
    <row r="386">
      <c r="R386" s="6"/>
      <c r="S386" s="6"/>
    </row>
    <row r="387">
      <c r="R387" s="6"/>
      <c r="S387" s="6"/>
    </row>
    <row r="388">
      <c r="R388" s="6"/>
      <c r="S388" s="6"/>
    </row>
    <row r="389">
      <c r="R389" s="6"/>
      <c r="S389" s="6"/>
    </row>
    <row r="390">
      <c r="R390" s="6"/>
      <c r="S390" s="6"/>
    </row>
    <row r="391">
      <c r="R391" s="6"/>
      <c r="S391" s="6"/>
    </row>
    <row r="392">
      <c r="R392" s="6"/>
      <c r="S392" s="6"/>
    </row>
    <row r="393">
      <c r="R393" s="6"/>
      <c r="S393" s="6"/>
    </row>
    <row r="394">
      <c r="R394" s="6"/>
      <c r="S394" s="6"/>
    </row>
    <row r="395">
      <c r="R395" s="6"/>
      <c r="S395" s="6"/>
    </row>
    <row r="396">
      <c r="R396" s="6"/>
      <c r="S396" s="6"/>
    </row>
    <row r="397">
      <c r="R397" s="6"/>
      <c r="S397" s="6"/>
    </row>
    <row r="398">
      <c r="R398" s="6"/>
      <c r="S398" s="6"/>
    </row>
    <row r="399">
      <c r="R399" s="6"/>
      <c r="S399" s="6"/>
    </row>
    <row r="400">
      <c r="R400" s="6"/>
      <c r="S400" s="6"/>
    </row>
    <row r="401">
      <c r="R401" s="6"/>
      <c r="S401" s="6"/>
    </row>
    <row r="402">
      <c r="R402" s="6"/>
      <c r="S402" s="6"/>
    </row>
    <row r="403">
      <c r="R403" s="6"/>
      <c r="S403" s="6"/>
    </row>
    <row r="404">
      <c r="R404" s="6"/>
      <c r="S404" s="6"/>
    </row>
    <row r="405">
      <c r="R405" s="6"/>
      <c r="S405" s="6"/>
    </row>
    <row r="406">
      <c r="R406" s="6"/>
      <c r="S406" s="6"/>
    </row>
    <row r="407">
      <c r="R407" s="6"/>
      <c r="S407" s="6"/>
    </row>
    <row r="408">
      <c r="R408" s="6"/>
      <c r="S408" s="6"/>
    </row>
    <row r="409">
      <c r="R409" s="6"/>
      <c r="S409" s="6"/>
    </row>
    <row r="410">
      <c r="R410" s="6"/>
      <c r="S410" s="6"/>
    </row>
    <row r="411">
      <c r="R411" s="6"/>
      <c r="S411" s="6"/>
    </row>
    <row r="412">
      <c r="R412" s="6"/>
      <c r="S412" s="6"/>
    </row>
    <row r="413">
      <c r="R413" s="6"/>
      <c r="S413" s="6"/>
    </row>
    <row r="414">
      <c r="R414" s="6"/>
      <c r="S414" s="6"/>
    </row>
    <row r="415">
      <c r="R415" s="6"/>
      <c r="S415" s="6"/>
    </row>
    <row r="416">
      <c r="R416" s="6"/>
      <c r="S416" s="6"/>
    </row>
    <row r="417">
      <c r="R417" s="6"/>
      <c r="S417" s="6"/>
    </row>
    <row r="418">
      <c r="R418" s="6"/>
      <c r="S418" s="6"/>
    </row>
    <row r="419">
      <c r="R419" s="6"/>
      <c r="S419" s="6"/>
    </row>
    <row r="420">
      <c r="R420" s="6"/>
      <c r="S420" s="6"/>
    </row>
    <row r="421">
      <c r="R421" s="6"/>
      <c r="S421" s="6"/>
    </row>
    <row r="422">
      <c r="R422" s="6"/>
      <c r="S422" s="6"/>
    </row>
    <row r="423">
      <c r="R423" s="6"/>
      <c r="S423" s="6"/>
    </row>
    <row r="424">
      <c r="R424" s="6"/>
      <c r="S424" s="6"/>
    </row>
    <row r="425">
      <c r="R425" s="6"/>
      <c r="S425" s="6"/>
    </row>
    <row r="426">
      <c r="R426" s="6"/>
      <c r="S426" s="6"/>
    </row>
    <row r="427">
      <c r="R427" s="6"/>
      <c r="S427" s="6"/>
    </row>
    <row r="428">
      <c r="R428" s="6"/>
      <c r="S428" s="6"/>
    </row>
    <row r="429">
      <c r="R429" s="6"/>
      <c r="S429" s="6"/>
    </row>
    <row r="430">
      <c r="R430" s="6"/>
      <c r="S430" s="6"/>
    </row>
    <row r="431">
      <c r="R431" s="6"/>
      <c r="S431" s="6"/>
    </row>
    <row r="432">
      <c r="R432" s="6"/>
      <c r="S432" s="6"/>
    </row>
    <row r="433">
      <c r="R433" s="6"/>
      <c r="S433" s="6"/>
    </row>
    <row r="434">
      <c r="R434" s="6"/>
      <c r="S434" s="6"/>
    </row>
    <row r="435">
      <c r="R435" s="6"/>
      <c r="S435" s="6"/>
    </row>
    <row r="436">
      <c r="R436" s="6"/>
      <c r="S436" s="6"/>
    </row>
    <row r="437">
      <c r="R437" s="6"/>
      <c r="S437" s="6"/>
    </row>
    <row r="438">
      <c r="R438" s="6"/>
      <c r="S438" s="6"/>
    </row>
    <row r="439">
      <c r="R439" s="6"/>
      <c r="S439" s="6"/>
    </row>
    <row r="440">
      <c r="R440" s="6"/>
      <c r="S440" s="6"/>
    </row>
    <row r="441">
      <c r="R441" s="6"/>
      <c r="S441" s="6"/>
    </row>
    <row r="442">
      <c r="R442" s="6"/>
      <c r="S442" s="6"/>
    </row>
    <row r="443">
      <c r="R443" s="6"/>
      <c r="S443" s="6"/>
    </row>
    <row r="444">
      <c r="R444" s="6"/>
      <c r="S444" s="6"/>
    </row>
    <row r="445">
      <c r="R445" s="6"/>
      <c r="S445" s="6"/>
    </row>
    <row r="446">
      <c r="R446" s="6"/>
      <c r="S446" s="6"/>
    </row>
    <row r="447">
      <c r="R447" s="6"/>
      <c r="S447" s="6"/>
    </row>
    <row r="448">
      <c r="R448" s="6"/>
      <c r="S448" s="6"/>
    </row>
    <row r="449">
      <c r="R449" s="6"/>
      <c r="S449" s="6"/>
    </row>
    <row r="450">
      <c r="R450" s="6"/>
      <c r="S450" s="6"/>
    </row>
    <row r="451">
      <c r="R451" s="6"/>
      <c r="S451" s="6"/>
    </row>
    <row r="452">
      <c r="R452" s="6"/>
      <c r="S452" s="6"/>
    </row>
    <row r="453">
      <c r="R453" s="6"/>
      <c r="S453" s="6"/>
    </row>
    <row r="454">
      <c r="R454" s="6"/>
      <c r="S454" s="6"/>
    </row>
    <row r="455">
      <c r="R455" s="6"/>
      <c r="S455" s="6"/>
    </row>
    <row r="456">
      <c r="R456" s="6"/>
      <c r="S456" s="6"/>
    </row>
    <row r="457">
      <c r="R457" s="6"/>
      <c r="S457" s="6"/>
    </row>
    <row r="458">
      <c r="R458" s="6"/>
      <c r="S458" s="6"/>
    </row>
    <row r="459">
      <c r="R459" s="6"/>
      <c r="S459" s="6"/>
    </row>
    <row r="460">
      <c r="R460" s="6"/>
      <c r="S460" s="6"/>
    </row>
    <row r="461">
      <c r="R461" s="6"/>
      <c r="S461" s="6"/>
    </row>
    <row r="462">
      <c r="R462" s="6"/>
      <c r="S462" s="6"/>
    </row>
    <row r="463">
      <c r="R463" s="6"/>
      <c r="S463" s="6"/>
    </row>
    <row r="464">
      <c r="R464" s="6"/>
      <c r="S464" s="6"/>
    </row>
    <row r="465">
      <c r="R465" s="6"/>
      <c r="S465" s="6"/>
    </row>
    <row r="466">
      <c r="R466" s="6"/>
      <c r="S466" s="6"/>
    </row>
    <row r="467">
      <c r="R467" s="6"/>
      <c r="S467" s="6"/>
    </row>
    <row r="468">
      <c r="R468" s="6"/>
      <c r="S468" s="6"/>
    </row>
    <row r="469">
      <c r="R469" s="6"/>
      <c r="S469" s="6"/>
    </row>
    <row r="470">
      <c r="R470" s="6"/>
      <c r="S470" s="6"/>
    </row>
    <row r="471">
      <c r="R471" s="6"/>
      <c r="S471" s="6"/>
    </row>
    <row r="472">
      <c r="R472" s="6"/>
      <c r="S472" s="6"/>
    </row>
    <row r="473">
      <c r="R473" s="6"/>
      <c r="S473" s="6"/>
    </row>
    <row r="474">
      <c r="R474" s="6"/>
      <c r="S474" s="6"/>
    </row>
    <row r="475">
      <c r="R475" s="6"/>
      <c r="S475" s="6"/>
    </row>
    <row r="476">
      <c r="R476" s="6"/>
      <c r="S476" s="6"/>
    </row>
    <row r="477">
      <c r="R477" s="6"/>
      <c r="S477" s="6"/>
    </row>
    <row r="478">
      <c r="R478" s="6"/>
      <c r="S478" s="6"/>
    </row>
    <row r="479">
      <c r="R479" s="6"/>
      <c r="S479" s="6"/>
    </row>
    <row r="480">
      <c r="R480" s="6"/>
      <c r="S480" s="6"/>
    </row>
    <row r="481">
      <c r="R481" s="6"/>
      <c r="S481" s="6"/>
    </row>
    <row r="482">
      <c r="R482" s="6"/>
      <c r="S482" s="6"/>
    </row>
    <row r="483">
      <c r="R483" s="6"/>
      <c r="S483" s="6"/>
    </row>
    <row r="484">
      <c r="R484" s="6"/>
      <c r="S484" s="6"/>
    </row>
    <row r="485">
      <c r="R485" s="6"/>
      <c r="S485" s="6"/>
    </row>
    <row r="486">
      <c r="R486" s="6"/>
      <c r="S486" s="6"/>
    </row>
    <row r="487">
      <c r="R487" s="6"/>
      <c r="S487" s="6"/>
    </row>
    <row r="488">
      <c r="R488" s="6"/>
      <c r="S488" s="6"/>
    </row>
    <row r="489">
      <c r="R489" s="6"/>
      <c r="S489" s="6"/>
    </row>
    <row r="490">
      <c r="R490" s="6"/>
      <c r="S490" s="6"/>
    </row>
    <row r="491">
      <c r="R491" s="6"/>
      <c r="S491" s="6"/>
    </row>
    <row r="492">
      <c r="R492" s="6"/>
      <c r="S492" s="6"/>
    </row>
    <row r="493">
      <c r="R493" s="6"/>
      <c r="S493" s="6"/>
    </row>
    <row r="494">
      <c r="R494" s="6"/>
      <c r="S494" s="6"/>
    </row>
    <row r="495">
      <c r="R495" s="6"/>
      <c r="S495" s="6"/>
    </row>
    <row r="496">
      <c r="R496" s="6"/>
      <c r="S496" s="6"/>
    </row>
    <row r="497">
      <c r="R497" s="6"/>
      <c r="S497" s="6"/>
    </row>
    <row r="498">
      <c r="R498" s="6"/>
      <c r="S498" s="6"/>
    </row>
    <row r="499">
      <c r="R499" s="6"/>
      <c r="S499" s="6"/>
    </row>
    <row r="500">
      <c r="R500" s="6"/>
      <c r="S500" s="6"/>
    </row>
    <row r="501">
      <c r="R501" s="6"/>
      <c r="S501" s="6"/>
    </row>
    <row r="502">
      <c r="R502" s="6"/>
      <c r="S502" s="6"/>
    </row>
    <row r="503">
      <c r="R503" s="6"/>
      <c r="S503" s="6"/>
    </row>
    <row r="504">
      <c r="R504" s="6"/>
      <c r="S504" s="6"/>
    </row>
    <row r="505">
      <c r="R505" s="6"/>
      <c r="S505" s="6"/>
    </row>
    <row r="506">
      <c r="R506" s="6"/>
      <c r="S506" s="6"/>
    </row>
    <row r="507">
      <c r="R507" s="6"/>
      <c r="S507" s="6"/>
    </row>
    <row r="508">
      <c r="R508" s="6"/>
      <c r="S508" s="6"/>
    </row>
    <row r="509">
      <c r="R509" s="6"/>
      <c r="S509" s="6"/>
    </row>
    <row r="510">
      <c r="R510" s="6"/>
      <c r="S510" s="6"/>
    </row>
    <row r="511">
      <c r="R511" s="6"/>
      <c r="S511" s="6"/>
    </row>
    <row r="512">
      <c r="R512" s="6"/>
      <c r="S512" s="6"/>
    </row>
    <row r="513">
      <c r="R513" s="6"/>
      <c r="S513" s="6"/>
    </row>
    <row r="514">
      <c r="R514" s="6"/>
      <c r="S514" s="6"/>
    </row>
    <row r="515">
      <c r="R515" s="6"/>
      <c r="S515" s="6"/>
    </row>
    <row r="516">
      <c r="R516" s="6"/>
      <c r="S516" s="6"/>
    </row>
    <row r="517">
      <c r="R517" s="6"/>
      <c r="S517" s="6"/>
    </row>
    <row r="518">
      <c r="R518" s="6"/>
      <c r="S518" s="6"/>
    </row>
    <row r="519">
      <c r="R519" s="6"/>
      <c r="S519" s="6"/>
    </row>
    <row r="520">
      <c r="R520" s="6"/>
      <c r="S520" s="6"/>
    </row>
    <row r="521">
      <c r="R521" s="6"/>
      <c r="S521" s="6"/>
    </row>
    <row r="522">
      <c r="R522" s="6"/>
      <c r="S522" s="6"/>
    </row>
    <row r="523">
      <c r="R523" s="6"/>
      <c r="S523" s="6"/>
    </row>
    <row r="524">
      <c r="R524" s="6"/>
      <c r="S524" s="6"/>
    </row>
    <row r="525">
      <c r="R525" s="6"/>
      <c r="S525" s="6"/>
    </row>
    <row r="526">
      <c r="R526" s="6"/>
      <c r="S526" s="6"/>
    </row>
    <row r="527">
      <c r="R527" s="6"/>
      <c r="S527" s="6"/>
    </row>
    <row r="528">
      <c r="R528" s="6"/>
      <c r="S528" s="6"/>
    </row>
    <row r="529">
      <c r="R529" s="6"/>
      <c r="S529" s="6"/>
    </row>
    <row r="530">
      <c r="R530" s="6"/>
      <c r="S530" s="6"/>
    </row>
    <row r="531">
      <c r="R531" s="6"/>
      <c r="S531" s="6"/>
    </row>
    <row r="532">
      <c r="R532" s="6"/>
      <c r="S532" s="6"/>
    </row>
    <row r="533">
      <c r="R533" s="6"/>
      <c r="S533" s="6"/>
    </row>
    <row r="534">
      <c r="R534" s="6"/>
      <c r="S534" s="6"/>
    </row>
    <row r="535">
      <c r="R535" s="6"/>
      <c r="S535" s="6"/>
    </row>
    <row r="536">
      <c r="R536" s="6"/>
      <c r="S536" s="6"/>
    </row>
    <row r="537">
      <c r="R537" s="6"/>
      <c r="S537" s="6"/>
    </row>
    <row r="538">
      <c r="R538" s="6"/>
      <c r="S538" s="6"/>
    </row>
    <row r="539">
      <c r="R539" s="6"/>
      <c r="S539" s="6"/>
    </row>
    <row r="540">
      <c r="R540" s="6"/>
      <c r="S540" s="6"/>
    </row>
    <row r="541">
      <c r="R541" s="6"/>
      <c r="S541" s="6"/>
    </row>
    <row r="542">
      <c r="R542" s="6"/>
      <c r="S542" s="6"/>
    </row>
    <row r="543">
      <c r="R543" s="6"/>
      <c r="S543" s="6"/>
    </row>
    <row r="544">
      <c r="R544" s="6"/>
      <c r="S544" s="6"/>
    </row>
    <row r="545">
      <c r="R545" s="6"/>
      <c r="S545" s="6"/>
    </row>
    <row r="546">
      <c r="R546" s="6"/>
      <c r="S546" s="6"/>
    </row>
    <row r="547">
      <c r="R547" s="6"/>
      <c r="S547" s="6"/>
    </row>
    <row r="548">
      <c r="R548" s="6"/>
      <c r="S548" s="6"/>
    </row>
    <row r="549">
      <c r="R549" s="6"/>
      <c r="S549" s="6"/>
    </row>
    <row r="550">
      <c r="R550" s="6"/>
      <c r="S550" s="6"/>
    </row>
    <row r="551">
      <c r="R551" s="6"/>
      <c r="S551" s="6"/>
    </row>
    <row r="552">
      <c r="R552" s="6"/>
      <c r="S552" s="6"/>
    </row>
    <row r="553">
      <c r="R553" s="6"/>
      <c r="S553" s="6"/>
    </row>
    <row r="554">
      <c r="R554" s="6"/>
      <c r="S554" s="6"/>
    </row>
    <row r="555">
      <c r="R555" s="6"/>
      <c r="S555" s="6"/>
    </row>
    <row r="556">
      <c r="R556" s="6"/>
      <c r="S556" s="6"/>
    </row>
    <row r="557">
      <c r="R557" s="6"/>
      <c r="S557" s="6"/>
    </row>
    <row r="558">
      <c r="R558" s="6"/>
      <c r="S558" s="6"/>
    </row>
    <row r="559">
      <c r="R559" s="6"/>
      <c r="S559" s="6"/>
    </row>
    <row r="560">
      <c r="R560" s="6"/>
      <c r="S560" s="6"/>
    </row>
    <row r="561">
      <c r="R561" s="6"/>
      <c r="S561" s="6"/>
    </row>
    <row r="562">
      <c r="R562" s="6"/>
      <c r="S562" s="6"/>
    </row>
    <row r="563">
      <c r="R563" s="6"/>
      <c r="S563" s="6"/>
    </row>
    <row r="564">
      <c r="R564" s="6"/>
      <c r="S564" s="6"/>
    </row>
    <row r="565">
      <c r="R565" s="6"/>
      <c r="S565" s="6"/>
    </row>
    <row r="566">
      <c r="R566" s="6"/>
      <c r="S566" s="6"/>
    </row>
    <row r="567">
      <c r="R567" s="6"/>
      <c r="S567" s="6"/>
    </row>
    <row r="568">
      <c r="R568" s="6"/>
      <c r="S568" s="6"/>
    </row>
    <row r="569">
      <c r="R569" s="6"/>
      <c r="S569" s="6"/>
    </row>
    <row r="570">
      <c r="R570" s="6"/>
      <c r="S570" s="6"/>
    </row>
    <row r="571">
      <c r="R571" s="6"/>
      <c r="S571" s="6"/>
    </row>
    <row r="572">
      <c r="R572" s="6"/>
      <c r="S572" s="6"/>
    </row>
    <row r="573">
      <c r="R573" s="6"/>
      <c r="S573" s="6"/>
    </row>
    <row r="574">
      <c r="R574" s="6"/>
      <c r="S574" s="6"/>
    </row>
    <row r="575">
      <c r="R575" s="6"/>
      <c r="S575" s="6"/>
    </row>
    <row r="576">
      <c r="R576" s="6"/>
      <c r="S576" s="6"/>
    </row>
    <row r="577">
      <c r="R577" s="6"/>
      <c r="S577" s="6"/>
    </row>
    <row r="578">
      <c r="R578" s="6"/>
      <c r="S578" s="6"/>
    </row>
    <row r="579">
      <c r="R579" s="6"/>
      <c r="S579" s="6"/>
    </row>
    <row r="580">
      <c r="R580" s="6"/>
      <c r="S580" s="6"/>
    </row>
    <row r="581">
      <c r="R581" s="6"/>
      <c r="S581" s="6"/>
    </row>
    <row r="582">
      <c r="R582" s="6"/>
      <c r="S582" s="6"/>
    </row>
    <row r="583">
      <c r="R583" s="6"/>
      <c r="S583" s="6"/>
    </row>
    <row r="584">
      <c r="R584" s="6"/>
      <c r="S584" s="6"/>
    </row>
    <row r="585">
      <c r="R585" s="6"/>
      <c r="S585" s="6"/>
    </row>
    <row r="586">
      <c r="R586" s="6"/>
      <c r="S586" s="6"/>
    </row>
    <row r="587">
      <c r="R587" s="6"/>
      <c r="S587" s="6"/>
    </row>
    <row r="588">
      <c r="R588" s="6"/>
      <c r="S588" s="6"/>
    </row>
    <row r="589">
      <c r="R589" s="6"/>
      <c r="S589" s="6"/>
    </row>
    <row r="590">
      <c r="R590" s="6"/>
      <c r="S590" s="6"/>
    </row>
    <row r="591">
      <c r="R591" s="6"/>
      <c r="S591" s="6"/>
    </row>
    <row r="592">
      <c r="R592" s="6"/>
      <c r="S592" s="6"/>
    </row>
    <row r="593">
      <c r="R593" s="6"/>
      <c r="S593" s="6"/>
    </row>
    <row r="594">
      <c r="R594" s="6"/>
      <c r="S594" s="6"/>
    </row>
    <row r="595">
      <c r="R595" s="6"/>
      <c r="S595" s="6"/>
    </row>
    <row r="596">
      <c r="R596" s="6"/>
      <c r="S596" s="6"/>
    </row>
    <row r="597">
      <c r="R597" s="6"/>
      <c r="S597" s="6"/>
    </row>
    <row r="598">
      <c r="R598" s="6"/>
      <c r="S598" s="6"/>
    </row>
    <row r="599">
      <c r="R599" s="6"/>
      <c r="S599" s="6"/>
    </row>
    <row r="600">
      <c r="R600" s="6"/>
      <c r="S600" s="6"/>
    </row>
    <row r="601">
      <c r="R601" s="6"/>
      <c r="S601" s="6"/>
    </row>
    <row r="602">
      <c r="R602" s="6"/>
      <c r="S602" s="6"/>
    </row>
    <row r="603">
      <c r="R603" s="6"/>
      <c r="S603" s="6"/>
    </row>
    <row r="604">
      <c r="R604" s="6"/>
      <c r="S604" s="6"/>
    </row>
    <row r="605">
      <c r="R605" s="6"/>
      <c r="S605" s="6"/>
    </row>
    <row r="606">
      <c r="R606" s="6"/>
      <c r="S606" s="6"/>
    </row>
    <row r="607">
      <c r="R607" s="6"/>
      <c r="S607" s="6"/>
    </row>
    <row r="608">
      <c r="R608" s="6"/>
      <c r="S608" s="6"/>
    </row>
    <row r="609">
      <c r="R609" s="6"/>
      <c r="S609" s="6"/>
    </row>
    <row r="610">
      <c r="R610" s="6"/>
      <c r="S610" s="6"/>
    </row>
    <row r="611">
      <c r="R611" s="6"/>
      <c r="S611" s="6"/>
    </row>
    <row r="612">
      <c r="R612" s="6"/>
      <c r="S612" s="6"/>
    </row>
    <row r="613">
      <c r="R613" s="6"/>
      <c r="S613" s="6"/>
    </row>
    <row r="614">
      <c r="R614" s="6"/>
      <c r="S614" s="6"/>
    </row>
    <row r="615">
      <c r="R615" s="6"/>
      <c r="S615" s="6"/>
    </row>
    <row r="616">
      <c r="R616" s="6"/>
      <c r="S616" s="6"/>
    </row>
    <row r="617">
      <c r="R617" s="6"/>
      <c r="S617" s="6"/>
    </row>
    <row r="618">
      <c r="R618" s="6"/>
      <c r="S618" s="6"/>
    </row>
    <row r="619">
      <c r="R619" s="6"/>
      <c r="S619" s="6"/>
    </row>
    <row r="620">
      <c r="R620" s="6"/>
      <c r="S620" s="6"/>
    </row>
    <row r="621">
      <c r="R621" s="6"/>
      <c r="S621" s="6"/>
    </row>
    <row r="622">
      <c r="R622" s="6"/>
      <c r="S622" s="6"/>
    </row>
    <row r="623">
      <c r="R623" s="6"/>
      <c r="S623" s="6"/>
    </row>
    <row r="624">
      <c r="R624" s="6"/>
      <c r="S624" s="6"/>
    </row>
    <row r="625">
      <c r="R625" s="6"/>
      <c r="S625" s="6"/>
    </row>
    <row r="626">
      <c r="R626" s="6"/>
      <c r="S626" s="6"/>
    </row>
    <row r="627">
      <c r="R627" s="6"/>
      <c r="S627" s="6"/>
    </row>
    <row r="628">
      <c r="R628" s="6"/>
      <c r="S628" s="6"/>
    </row>
    <row r="629">
      <c r="R629" s="6"/>
      <c r="S629" s="6"/>
    </row>
    <row r="630">
      <c r="R630" s="6"/>
      <c r="S630" s="6"/>
    </row>
    <row r="631">
      <c r="R631" s="6"/>
      <c r="S631" s="6"/>
    </row>
    <row r="632">
      <c r="R632" s="6"/>
      <c r="S632" s="6"/>
    </row>
    <row r="633">
      <c r="R633" s="6"/>
      <c r="S633" s="6"/>
    </row>
    <row r="634">
      <c r="R634" s="6"/>
      <c r="S634" s="6"/>
    </row>
    <row r="635">
      <c r="R635" s="6"/>
      <c r="S635" s="6"/>
    </row>
    <row r="636">
      <c r="R636" s="6"/>
      <c r="S636" s="6"/>
    </row>
    <row r="637">
      <c r="R637" s="6"/>
      <c r="S637" s="6"/>
    </row>
    <row r="638">
      <c r="R638" s="6"/>
      <c r="S638" s="6"/>
    </row>
    <row r="639">
      <c r="R639" s="6"/>
      <c r="S639" s="6"/>
    </row>
    <row r="640">
      <c r="R640" s="6"/>
      <c r="S640" s="6"/>
    </row>
    <row r="641">
      <c r="R641" s="6"/>
      <c r="S641" s="6"/>
    </row>
    <row r="642">
      <c r="R642" s="6"/>
      <c r="S642" s="6"/>
    </row>
    <row r="643">
      <c r="R643" s="6"/>
      <c r="S643" s="6"/>
    </row>
    <row r="644">
      <c r="R644" s="6"/>
      <c r="S644" s="6"/>
    </row>
    <row r="645">
      <c r="R645" s="6"/>
      <c r="S645" s="6"/>
    </row>
    <row r="646">
      <c r="R646" s="6"/>
      <c r="S646" s="6"/>
    </row>
    <row r="647">
      <c r="R647" s="6"/>
      <c r="S647" s="6"/>
    </row>
    <row r="648">
      <c r="R648" s="6"/>
      <c r="S648" s="6"/>
    </row>
    <row r="649">
      <c r="R649" s="6"/>
      <c r="S649" s="6"/>
    </row>
    <row r="650">
      <c r="R650" s="6"/>
      <c r="S650" s="6"/>
    </row>
    <row r="651">
      <c r="R651" s="6"/>
      <c r="S651" s="6"/>
    </row>
    <row r="652">
      <c r="R652" s="6"/>
      <c r="S652" s="6"/>
    </row>
    <row r="653">
      <c r="R653" s="6"/>
      <c r="S653" s="6"/>
    </row>
    <row r="654">
      <c r="R654" s="6"/>
      <c r="S654" s="6"/>
    </row>
    <row r="655">
      <c r="R655" s="6"/>
      <c r="S655" s="6"/>
    </row>
    <row r="656">
      <c r="R656" s="6"/>
      <c r="S656" s="6"/>
    </row>
    <row r="657">
      <c r="R657" s="6"/>
      <c r="S657" s="6"/>
    </row>
    <row r="658">
      <c r="R658" s="6"/>
      <c r="S658" s="6"/>
    </row>
    <row r="659">
      <c r="R659" s="6"/>
      <c r="S659" s="6"/>
    </row>
    <row r="660">
      <c r="R660" s="6"/>
      <c r="S660" s="6"/>
    </row>
    <row r="661">
      <c r="R661" s="6"/>
      <c r="S661" s="6"/>
    </row>
    <row r="662">
      <c r="R662" s="6"/>
      <c r="S662" s="6"/>
    </row>
    <row r="663">
      <c r="R663" s="6"/>
      <c r="S663" s="6"/>
    </row>
    <row r="664">
      <c r="R664" s="6"/>
      <c r="S664" s="6"/>
    </row>
    <row r="665">
      <c r="R665" s="6"/>
      <c r="S665" s="6"/>
    </row>
    <row r="666">
      <c r="R666" s="6"/>
      <c r="S666" s="6"/>
    </row>
    <row r="667">
      <c r="R667" s="6"/>
      <c r="S667" s="6"/>
    </row>
    <row r="668">
      <c r="R668" s="6"/>
      <c r="S668" s="6"/>
    </row>
    <row r="669">
      <c r="R669" s="6"/>
      <c r="S669" s="6"/>
    </row>
    <row r="670">
      <c r="R670" s="6"/>
      <c r="S670" s="6"/>
    </row>
    <row r="671">
      <c r="R671" s="6"/>
      <c r="S671" s="6"/>
    </row>
    <row r="672">
      <c r="R672" s="6"/>
      <c r="S672" s="6"/>
    </row>
    <row r="673">
      <c r="R673" s="6"/>
      <c r="S673" s="6"/>
    </row>
    <row r="674">
      <c r="R674" s="6"/>
      <c r="S674" s="6"/>
    </row>
    <row r="675">
      <c r="R675" s="6"/>
      <c r="S675" s="6"/>
    </row>
    <row r="676">
      <c r="R676" s="6"/>
      <c r="S676" s="6"/>
    </row>
    <row r="677">
      <c r="R677" s="6"/>
      <c r="S677" s="6"/>
    </row>
    <row r="678">
      <c r="R678" s="6"/>
      <c r="S678" s="6"/>
    </row>
    <row r="679">
      <c r="R679" s="6"/>
      <c r="S679" s="6"/>
    </row>
    <row r="680">
      <c r="R680" s="6"/>
      <c r="S680" s="6"/>
    </row>
    <row r="681">
      <c r="R681" s="6"/>
      <c r="S681" s="6"/>
    </row>
    <row r="682">
      <c r="R682" s="6"/>
      <c r="S682" s="6"/>
    </row>
    <row r="683">
      <c r="R683" s="6"/>
      <c r="S683" s="6"/>
    </row>
    <row r="684">
      <c r="R684" s="6"/>
      <c r="S684" s="6"/>
    </row>
    <row r="685">
      <c r="R685" s="6"/>
      <c r="S685" s="6"/>
    </row>
    <row r="686">
      <c r="R686" s="6"/>
      <c r="S686" s="6"/>
    </row>
    <row r="687">
      <c r="R687" s="6"/>
      <c r="S687" s="6"/>
    </row>
    <row r="688">
      <c r="R688" s="6"/>
      <c r="S688" s="6"/>
    </row>
    <row r="689">
      <c r="R689" s="6"/>
      <c r="S689" s="6"/>
    </row>
    <row r="690">
      <c r="R690" s="6"/>
      <c r="S690" s="6"/>
    </row>
    <row r="691">
      <c r="R691" s="6"/>
      <c r="S691" s="6"/>
    </row>
    <row r="692">
      <c r="R692" s="6"/>
      <c r="S692" s="6"/>
    </row>
    <row r="693">
      <c r="R693" s="6"/>
      <c r="S693" s="6"/>
    </row>
    <row r="694">
      <c r="R694" s="6"/>
      <c r="S694" s="6"/>
    </row>
    <row r="695">
      <c r="R695" s="6"/>
      <c r="S695" s="6"/>
    </row>
    <row r="696">
      <c r="R696" s="6"/>
      <c r="S696" s="6"/>
    </row>
    <row r="697">
      <c r="R697" s="6"/>
      <c r="S697" s="6"/>
    </row>
    <row r="698">
      <c r="R698" s="6"/>
      <c r="S698" s="6"/>
    </row>
    <row r="699">
      <c r="R699" s="6"/>
      <c r="S699" s="6"/>
    </row>
    <row r="700">
      <c r="R700" s="6"/>
      <c r="S700" s="6"/>
    </row>
    <row r="701">
      <c r="R701" s="6"/>
      <c r="S701" s="6"/>
    </row>
    <row r="702">
      <c r="R702" s="6"/>
      <c r="S702" s="6"/>
    </row>
    <row r="703">
      <c r="R703" s="6"/>
      <c r="S703" s="6"/>
    </row>
    <row r="704">
      <c r="R704" s="6"/>
      <c r="S704" s="6"/>
    </row>
    <row r="705">
      <c r="R705" s="6"/>
      <c r="S705" s="6"/>
    </row>
    <row r="706">
      <c r="R706" s="6"/>
      <c r="S706" s="6"/>
    </row>
    <row r="707">
      <c r="R707" s="6"/>
      <c r="S707" s="6"/>
    </row>
    <row r="708">
      <c r="R708" s="6"/>
      <c r="S708" s="6"/>
    </row>
    <row r="709">
      <c r="R709" s="6"/>
      <c r="S709" s="6"/>
    </row>
    <row r="710">
      <c r="R710" s="6"/>
      <c r="S710" s="6"/>
    </row>
    <row r="711">
      <c r="R711" s="6"/>
      <c r="S711" s="6"/>
    </row>
    <row r="712">
      <c r="R712" s="6"/>
      <c r="S712" s="6"/>
    </row>
    <row r="713">
      <c r="R713" s="6"/>
      <c r="S713" s="6"/>
    </row>
    <row r="714">
      <c r="R714" s="6"/>
      <c r="S714" s="6"/>
    </row>
    <row r="715">
      <c r="R715" s="6"/>
      <c r="S715" s="6"/>
    </row>
    <row r="716">
      <c r="R716" s="6"/>
      <c r="S716" s="6"/>
    </row>
    <row r="717">
      <c r="R717" s="6"/>
      <c r="S717" s="6"/>
    </row>
    <row r="718">
      <c r="R718" s="6"/>
      <c r="S718" s="6"/>
    </row>
    <row r="719">
      <c r="R719" s="6"/>
      <c r="S719" s="6"/>
    </row>
    <row r="720">
      <c r="R720" s="6"/>
      <c r="S720" s="6"/>
    </row>
    <row r="721">
      <c r="R721" s="6"/>
      <c r="S721" s="6"/>
    </row>
    <row r="722">
      <c r="R722" s="6"/>
      <c r="S722" s="6"/>
    </row>
    <row r="723">
      <c r="R723" s="6"/>
      <c r="S723" s="6"/>
    </row>
    <row r="724">
      <c r="R724" s="6"/>
      <c r="S724" s="6"/>
    </row>
    <row r="725">
      <c r="R725" s="6"/>
      <c r="S725" s="6"/>
    </row>
    <row r="726">
      <c r="R726" s="6"/>
      <c r="S726" s="6"/>
    </row>
    <row r="727">
      <c r="R727" s="6"/>
      <c r="S727" s="6"/>
    </row>
    <row r="728">
      <c r="R728" s="6"/>
      <c r="S728" s="6"/>
    </row>
    <row r="729">
      <c r="R729" s="6"/>
      <c r="S729" s="6"/>
    </row>
    <row r="730">
      <c r="R730" s="6"/>
      <c r="S730" s="6"/>
    </row>
    <row r="731">
      <c r="R731" s="6"/>
      <c r="S731" s="6"/>
    </row>
    <row r="732">
      <c r="R732" s="6"/>
      <c r="S732" s="6"/>
    </row>
    <row r="733">
      <c r="R733" s="6"/>
      <c r="S733" s="6"/>
    </row>
    <row r="734">
      <c r="R734" s="6"/>
      <c r="S734" s="6"/>
    </row>
    <row r="735">
      <c r="R735" s="6"/>
      <c r="S735" s="6"/>
    </row>
    <row r="736">
      <c r="R736" s="6"/>
      <c r="S736" s="6"/>
    </row>
    <row r="737">
      <c r="R737" s="6"/>
      <c r="S737" s="6"/>
    </row>
    <row r="738">
      <c r="R738" s="6"/>
      <c r="S738" s="6"/>
    </row>
    <row r="739">
      <c r="R739" s="6"/>
      <c r="S739" s="6"/>
    </row>
    <row r="740">
      <c r="R740" s="6"/>
      <c r="S740" s="6"/>
    </row>
    <row r="741">
      <c r="R741" s="6"/>
      <c r="S741" s="6"/>
    </row>
    <row r="742">
      <c r="R742" s="6"/>
      <c r="S742" s="6"/>
    </row>
    <row r="743">
      <c r="R743" s="6"/>
      <c r="S743" s="6"/>
    </row>
    <row r="744">
      <c r="R744" s="6"/>
      <c r="S744" s="6"/>
    </row>
    <row r="745">
      <c r="R745" s="6"/>
      <c r="S745" s="6"/>
    </row>
    <row r="746">
      <c r="R746" s="6"/>
      <c r="S746" s="6"/>
    </row>
    <row r="747">
      <c r="R747" s="6"/>
      <c r="S747" s="6"/>
    </row>
    <row r="748">
      <c r="R748" s="6"/>
      <c r="S748" s="6"/>
    </row>
    <row r="749">
      <c r="R749" s="6"/>
      <c r="S749" s="6"/>
    </row>
    <row r="750">
      <c r="R750" s="6"/>
      <c r="S750" s="6"/>
    </row>
    <row r="751">
      <c r="R751" s="6"/>
      <c r="S751" s="6"/>
    </row>
    <row r="752">
      <c r="R752" s="6"/>
      <c r="S752" s="6"/>
    </row>
    <row r="753">
      <c r="R753" s="6"/>
      <c r="S753" s="6"/>
    </row>
    <row r="754">
      <c r="R754" s="6"/>
      <c r="S754" s="6"/>
    </row>
    <row r="755">
      <c r="R755" s="6"/>
      <c r="S755" s="6"/>
    </row>
    <row r="756">
      <c r="R756" s="6"/>
      <c r="S756" s="6"/>
    </row>
    <row r="757">
      <c r="R757" s="6"/>
      <c r="S757" s="6"/>
    </row>
    <row r="758">
      <c r="R758" s="6"/>
      <c r="S758" s="6"/>
    </row>
    <row r="759">
      <c r="R759" s="6"/>
      <c r="S759" s="6"/>
    </row>
    <row r="760">
      <c r="R760" s="6"/>
      <c r="S760" s="6"/>
    </row>
    <row r="761">
      <c r="R761" s="6"/>
      <c r="S761" s="6"/>
    </row>
    <row r="762">
      <c r="R762" s="6"/>
      <c r="S762" s="6"/>
    </row>
    <row r="763">
      <c r="R763" s="6"/>
      <c r="S763" s="6"/>
    </row>
    <row r="764">
      <c r="R764" s="6"/>
      <c r="S764" s="6"/>
    </row>
    <row r="765">
      <c r="R765" s="6"/>
      <c r="S765" s="6"/>
    </row>
    <row r="766">
      <c r="R766" s="6"/>
      <c r="S766" s="6"/>
    </row>
    <row r="767">
      <c r="R767" s="6"/>
      <c r="S767" s="6"/>
    </row>
    <row r="768">
      <c r="R768" s="6"/>
      <c r="S768" s="6"/>
    </row>
    <row r="769">
      <c r="R769" s="6"/>
      <c r="S769" s="6"/>
    </row>
    <row r="770">
      <c r="R770" s="6"/>
      <c r="S770" s="6"/>
    </row>
    <row r="771">
      <c r="R771" s="6"/>
      <c r="S771" s="6"/>
    </row>
    <row r="772">
      <c r="R772" s="6"/>
      <c r="S772" s="6"/>
    </row>
    <row r="773">
      <c r="R773" s="6"/>
      <c r="S773" s="6"/>
    </row>
    <row r="774">
      <c r="R774" s="6"/>
      <c r="S774" s="6"/>
    </row>
    <row r="775">
      <c r="R775" s="6"/>
      <c r="S775" s="6"/>
    </row>
    <row r="776">
      <c r="R776" s="6"/>
      <c r="S776" s="6"/>
    </row>
    <row r="777">
      <c r="R777" s="6"/>
      <c r="S777" s="6"/>
    </row>
    <row r="778">
      <c r="R778" s="6"/>
      <c r="S778" s="6"/>
    </row>
    <row r="779">
      <c r="R779" s="6"/>
      <c r="S779" s="6"/>
    </row>
    <row r="780">
      <c r="R780" s="6"/>
      <c r="S780" s="6"/>
    </row>
    <row r="781">
      <c r="R781" s="6"/>
      <c r="S781" s="6"/>
    </row>
    <row r="782">
      <c r="R782" s="6"/>
      <c r="S782" s="6"/>
    </row>
    <row r="783">
      <c r="R783" s="6"/>
      <c r="S783" s="6"/>
    </row>
    <row r="784">
      <c r="R784" s="6"/>
      <c r="S784" s="6"/>
    </row>
    <row r="785">
      <c r="R785" s="6"/>
      <c r="S785" s="6"/>
    </row>
    <row r="786">
      <c r="R786" s="6"/>
      <c r="S786" s="6"/>
    </row>
    <row r="787">
      <c r="R787" s="6"/>
      <c r="S787" s="6"/>
    </row>
    <row r="788">
      <c r="R788" s="6"/>
      <c r="S788" s="6"/>
    </row>
    <row r="789">
      <c r="R789" s="6"/>
      <c r="S789" s="6"/>
    </row>
    <row r="790">
      <c r="R790" s="6"/>
      <c r="S790" s="6"/>
    </row>
    <row r="791">
      <c r="R791" s="6"/>
      <c r="S791" s="6"/>
    </row>
    <row r="792">
      <c r="R792" s="6"/>
      <c r="S792" s="6"/>
    </row>
    <row r="793">
      <c r="R793" s="6"/>
      <c r="S793" s="6"/>
    </row>
    <row r="794">
      <c r="R794" s="6"/>
      <c r="S794" s="6"/>
    </row>
    <row r="795">
      <c r="R795" s="6"/>
      <c r="S795" s="6"/>
    </row>
    <row r="796">
      <c r="R796" s="6"/>
      <c r="S796" s="6"/>
    </row>
    <row r="797">
      <c r="R797" s="6"/>
      <c r="S797" s="6"/>
    </row>
    <row r="798">
      <c r="R798" s="6"/>
      <c r="S798" s="6"/>
    </row>
    <row r="799">
      <c r="R799" s="6"/>
      <c r="S799" s="6"/>
    </row>
    <row r="800">
      <c r="R800" s="6"/>
      <c r="S800" s="6"/>
    </row>
    <row r="801">
      <c r="R801" s="6"/>
      <c r="S801" s="6"/>
    </row>
    <row r="802">
      <c r="R802" s="6"/>
      <c r="S802" s="6"/>
    </row>
    <row r="803">
      <c r="R803" s="6"/>
      <c r="S803" s="6"/>
    </row>
    <row r="804">
      <c r="R804" s="6"/>
      <c r="S804" s="6"/>
    </row>
    <row r="805">
      <c r="R805" s="6"/>
      <c r="S805" s="6"/>
    </row>
    <row r="806">
      <c r="R806" s="6"/>
      <c r="S806" s="6"/>
    </row>
    <row r="807">
      <c r="R807" s="6"/>
      <c r="S807" s="6"/>
    </row>
    <row r="808">
      <c r="R808" s="6"/>
      <c r="S808" s="6"/>
    </row>
    <row r="809">
      <c r="R809" s="6"/>
      <c r="S809" s="6"/>
    </row>
    <row r="810">
      <c r="R810" s="6"/>
      <c r="S810" s="6"/>
    </row>
    <row r="811">
      <c r="R811" s="6"/>
      <c r="S811" s="6"/>
    </row>
    <row r="812">
      <c r="R812" s="6"/>
      <c r="S812" s="6"/>
    </row>
    <row r="813">
      <c r="R813" s="6"/>
      <c r="S813" s="6"/>
    </row>
    <row r="814">
      <c r="R814" s="6"/>
      <c r="S814" s="6"/>
    </row>
    <row r="815">
      <c r="R815" s="6"/>
      <c r="S815" s="6"/>
    </row>
    <row r="816">
      <c r="R816" s="6"/>
      <c r="S816" s="6"/>
    </row>
    <row r="817">
      <c r="R817" s="6"/>
      <c r="S817" s="6"/>
    </row>
    <row r="818">
      <c r="R818" s="6"/>
      <c r="S818" s="6"/>
    </row>
    <row r="819">
      <c r="R819" s="6"/>
      <c r="S819" s="6"/>
    </row>
    <row r="820">
      <c r="R820" s="6"/>
      <c r="S820" s="6"/>
    </row>
    <row r="821">
      <c r="R821" s="6"/>
      <c r="S821" s="6"/>
    </row>
    <row r="822">
      <c r="R822" s="6"/>
      <c r="S822" s="6"/>
    </row>
    <row r="823">
      <c r="R823" s="6"/>
      <c r="S823" s="6"/>
    </row>
    <row r="824">
      <c r="R824" s="6"/>
      <c r="S824" s="6"/>
    </row>
    <row r="825">
      <c r="R825" s="6"/>
      <c r="S825" s="6"/>
    </row>
    <row r="826">
      <c r="R826" s="6"/>
      <c r="S826" s="6"/>
    </row>
    <row r="827">
      <c r="R827" s="6"/>
      <c r="S827" s="6"/>
    </row>
    <row r="828">
      <c r="R828" s="6"/>
      <c r="S828" s="6"/>
    </row>
    <row r="829">
      <c r="R829" s="6"/>
      <c r="S829" s="6"/>
    </row>
    <row r="830">
      <c r="R830" s="6"/>
      <c r="S830" s="6"/>
    </row>
    <row r="831">
      <c r="R831" s="6"/>
      <c r="S831" s="6"/>
    </row>
    <row r="832">
      <c r="R832" s="6"/>
      <c r="S832" s="6"/>
    </row>
    <row r="833">
      <c r="R833" s="6"/>
      <c r="S833" s="6"/>
    </row>
    <row r="834">
      <c r="R834" s="6"/>
      <c r="S834" s="6"/>
    </row>
    <row r="835">
      <c r="R835" s="6"/>
      <c r="S835" s="6"/>
    </row>
    <row r="836">
      <c r="R836" s="6"/>
      <c r="S836" s="6"/>
    </row>
    <row r="837">
      <c r="R837" s="6"/>
      <c r="S837" s="6"/>
    </row>
    <row r="838">
      <c r="R838" s="6"/>
      <c r="S838" s="6"/>
    </row>
    <row r="839">
      <c r="R839" s="6"/>
      <c r="S839" s="6"/>
    </row>
    <row r="840">
      <c r="R840" s="6"/>
      <c r="S840" s="6"/>
    </row>
    <row r="841">
      <c r="R841" s="6"/>
      <c r="S841" s="6"/>
    </row>
    <row r="842">
      <c r="R842" s="6"/>
      <c r="S842" s="6"/>
    </row>
    <row r="843">
      <c r="R843" s="6"/>
      <c r="S843" s="6"/>
    </row>
    <row r="844">
      <c r="R844" s="6"/>
      <c r="S844" s="6"/>
    </row>
    <row r="845">
      <c r="R845" s="6"/>
      <c r="S845" s="6"/>
    </row>
    <row r="846">
      <c r="R846" s="6"/>
      <c r="S846" s="6"/>
    </row>
    <row r="847">
      <c r="R847" s="6"/>
      <c r="S847" s="6"/>
    </row>
    <row r="848">
      <c r="R848" s="6"/>
      <c r="S848" s="6"/>
    </row>
    <row r="849">
      <c r="R849" s="6"/>
      <c r="S849" s="6"/>
    </row>
    <row r="850">
      <c r="R850" s="6"/>
      <c r="S850" s="6"/>
    </row>
    <row r="851">
      <c r="R851" s="6"/>
      <c r="S851" s="6"/>
    </row>
    <row r="852">
      <c r="R852" s="6"/>
      <c r="S852" s="6"/>
    </row>
    <row r="853">
      <c r="R853" s="6"/>
      <c r="S853" s="6"/>
    </row>
    <row r="854">
      <c r="R854" s="6"/>
      <c r="S854" s="6"/>
    </row>
    <row r="855">
      <c r="R855" s="6"/>
      <c r="S855" s="6"/>
    </row>
    <row r="856">
      <c r="R856" s="6"/>
      <c r="S856" s="6"/>
    </row>
    <row r="857">
      <c r="R857" s="6"/>
      <c r="S857" s="6"/>
    </row>
    <row r="858">
      <c r="R858" s="6"/>
      <c r="S858" s="6"/>
    </row>
    <row r="859">
      <c r="R859" s="6"/>
      <c r="S859" s="6"/>
    </row>
    <row r="860">
      <c r="R860" s="6"/>
      <c r="S860" s="6"/>
    </row>
    <row r="861">
      <c r="R861" s="6"/>
      <c r="S861" s="6"/>
    </row>
    <row r="862">
      <c r="R862" s="6"/>
      <c r="S862" s="6"/>
    </row>
    <row r="863">
      <c r="R863" s="6"/>
      <c r="S863" s="6"/>
    </row>
    <row r="864">
      <c r="R864" s="6"/>
      <c r="S864" s="6"/>
    </row>
    <row r="865">
      <c r="R865" s="6"/>
      <c r="S865" s="6"/>
    </row>
    <row r="866">
      <c r="R866" s="6"/>
      <c r="S866" s="6"/>
    </row>
    <row r="867">
      <c r="R867" s="6"/>
      <c r="S867" s="6"/>
    </row>
    <row r="868">
      <c r="R868" s="6"/>
      <c r="S868" s="6"/>
    </row>
    <row r="869">
      <c r="R869" s="6"/>
      <c r="S869" s="6"/>
    </row>
    <row r="870">
      <c r="R870" s="6"/>
      <c r="S870" s="6"/>
    </row>
    <row r="871">
      <c r="R871" s="6"/>
      <c r="S871" s="6"/>
    </row>
    <row r="872">
      <c r="R872" s="6"/>
      <c r="S872" s="6"/>
    </row>
    <row r="873">
      <c r="R873" s="6"/>
      <c r="S873" s="6"/>
    </row>
    <row r="874">
      <c r="R874" s="6"/>
      <c r="S874" s="6"/>
    </row>
    <row r="875">
      <c r="R875" s="6"/>
      <c r="S875" s="6"/>
    </row>
    <row r="876">
      <c r="R876" s="6"/>
      <c r="S876" s="6"/>
    </row>
    <row r="877">
      <c r="R877" s="6"/>
      <c r="S877" s="6"/>
    </row>
    <row r="878">
      <c r="R878" s="6"/>
      <c r="S878" s="6"/>
    </row>
    <row r="879">
      <c r="R879" s="6"/>
      <c r="S879" s="6"/>
    </row>
    <row r="880">
      <c r="R880" s="6"/>
      <c r="S880" s="6"/>
    </row>
    <row r="881">
      <c r="R881" s="6"/>
      <c r="S881" s="6"/>
    </row>
    <row r="882">
      <c r="R882" s="6"/>
      <c r="S882" s="6"/>
    </row>
    <row r="883">
      <c r="R883" s="6"/>
      <c r="S883" s="6"/>
    </row>
    <row r="884">
      <c r="R884" s="6"/>
      <c r="S884" s="6"/>
    </row>
    <row r="885">
      <c r="R885" s="6"/>
      <c r="S885" s="6"/>
    </row>
    <row r="886">
      <c r="R886" s="6"/>
      <c r="S886" s="6"/>
    </row>
    <row r="887">
      <c r="R887" s="6"/>
      <c r="S887" s="6"/>
    </row>
    <row r="888">
      <c r="R888" s="6"/>
      <c r="S888" s="6"/>
    </row>
    <row r="889">
      <c r="R889" s="6"/>
      <c r="S889" s="6"/>
    </row>
    <row r="890">
      <c r="R890" s="6"/>
      <c r="S890" s="6"/>
    </row>
    <row r="891">
      <c r="R891" s="6"/>
      <c r="S891" s="6"/>
    </row>
    <row r="892">
      <c r="R892" s="6"/>
      <c r="S892" s="6"/>
    </row>
    <row r="893">
      <c r="R893" s="6"/>
      <c r="S893" s="6"/>
    </row>
    <row r="894">
      <c r="R894" s="6"/>
      <c r="S894" s="6"/>
    </row>
    <row r="895">
      <c r="R895" s="6"/>
      <c r="S895" s="6"/>
    </row>
    <row r="896">
      <c r="R896" s="6"/>
      <c r="S896" s="6"/>
    </row>
    <row r="897">
      <c r="R897" s="6"/>
      <c r="S897" s="6"/>
    </row>
    <row r="898">
      <c r="R898" s="6"/>
      <c r="S898" s="6"/>
    </row>
    <row r="899">
      <c r="R899" s="6"/>
      <c r="S899" s="6"/>
    </row>
    <row r="900">
      <c r="R900" s="6"/>
      <c r="S900" s="6"/>
    </row>
    <row r="901">
      <c r="R901" s="6"/>
      <c r="S901" s="6"/>
    </row>
    <row r="902">
      <c r="R902" s="6"/>
      <c r="S902" s="6"/>
    </row>
    <row r="903">
      <c r="R903" s="6"/>
      <c r="S903" s="6"/>
    </row>
    <row r="904">
      <c r="R904" s="6"/>
      <c r="S904" s="6"/>
    </row>
    <row r="905">
      <c r="R905" s="6"/>
      <c r="S905" s="6"/>
    </row>
    <row r="906">
      <c r="R906" s="6"/>
      <c r="S906" s="6"/>
    </row>
    <row r="907">
      <c r="R907" s="6"/>
      <c r="S907" s="6"/>
    </row>
    <row r="908">
      <c r="R908" s="6"/>
      <c r="S908" s="6"/>
    </row>
    <row r="909">
      <c r="R909" s="6"/>
      <c r="S909" s="6"/>
    </row>
    <row r="910">
      <c r="R910" s="6"/>
      <c r="S910" s="6"/>
    </row>
    <row r="911">
      <c r="R911" s="6"/>
      <c r="S911" s="6"/>
    </row>
    <row r="912">
      <c r="R912" s="6"/>
      <c r="S912" s="6"/>
    </row>
    <row r="913">
      <c r="R913" s="6"/>
      <c r="S913" s="6"/>
    </row>
    <row r="914">
      <c r="R914" s="6"/>
      <c r="S914" s="6"/>
    </row>
    <row r="915">
      <c r="R915" s="6"/>
      <c r="S915" s="6"/>
    </row>
    <row r="916">
      <c r="R916" s="6"/>
      <c r="S916" s="6"/>
    </row>
    <row r="917">
      <c r="R917" s="6"/>
      <c r="S917" s="6"/>
    </row>
    <row r="918">
      <c r="R918" s="6"/>
      <c r="S918" s="6"/>
    </row>
    <row r="919">
      <c r="R919" s="6"/>
      <c r="S919" s="6"/>
    </row>
    <row r="920">
      <c r="R920" s="6"/>
      <c r="S920" s="6"/>
    </row>
    <row r="921">
      <c r="R921" s="6"/>
      <c r="S921" s="6"/>
    </row>
    <row r="922">
      <c r="R922" s="6"/>
      <c r="S922" s="6"/>
    </row>
    <row r="923">
      <c r="R923" s="6"/>
      <c r="S923" s="6"/>
    </row>
    <row r="924">
      <c r="R924" s="6"/>
      <c r="S924" s="6"/>
    </row>
    <row r="925">
      <c r="R925" s="6"/>
      <c r="S925" s="6"/>
    </row>
    <row r="926">
      <c r="R926" s="6"/>
      <c r="S926" s="6"/>
    </row>
    <row r="927">
      <c r="R927" s="6"/>
      <c r="S927" s="6"/>
    </row>
    <row r="928">
      <c r="R928" s="6"/>
      <c r="S928" s="6"/>
    </row>
    <row r="929">
      <c r="R929" s="6"/>
      <c r="S929" s="6"/>
    </row>
    <row r="930">
      <c r="R930" s="6"/>
      <c r="S930" s="6"/>
    </row>
    <row r="931">
      <c r="R931" s="6"/>
      <c r="S931" s="6"/>
    </row>
    <row r="932">
      <c r="R932" s="6"/>
      <c r="S932" s="6"/>
    </row>
    <row r="933">
      <c r="R933" s="6"/>
      <c r="S933" s="6"/>
    </row>
    <row r="934">
      <c r="R934" s="6"/>
      <c r="S934" s="6"/>
    </row>
    <row r="935">
      <c r="R935" s="6"/>
      <c r="S935" s="6"/>
    </row>
    <row r="936">
      <c r="R936" s="6"/>
      <c r="S936" s="6"/>
    </row>
    <row r="937">
      <c r="R937" s="6"/>
      <c r="S937" s="6"/>
    </row>
    <row r="938">
      <c r="R938" s="6"/>
      <c r="S938" s="6"/>
    </row>
    <row r="939">
      <c r="R939" s="6"/>
      <c r="S939" s="6"/>
    </row>
    <row r="940">
      <c r="R940" s="6"/>
      <c r="S940" s="6"/>
    </row>
    <row r="941">
      <c r="R941" s="6"/>
      <c r="S941" s="6"/>
    </row>
    <row r="942">
      <c r="R942" s="6"/>
      <c r="S942" s="6"/>
    </row>
    <row r="943">
      <c r="R943" s="6"/>
      <c r="S943" s="6"/>
    </row>
    <row r="944">
      <c r="R944" s="6"/>
      <c r="S944" s="6"/>
    </row>
    <row r="945">
      <c r="R945" s="6"/>
      <c r="S945" s="6"/>
    </row>
    <row r="946">
      <c r="R946" s="6"/>
      <c r="S946" s="6"/>
    </row>
    <row r="947">
      <c r="R947" s="6"/>
      <c r="S947" s="6"/>
    </row>
    <row r="948">
      <c r="R948" s="6"/>
      <c r="S948" s="6"/>
    </row>
    <row r="949">
      <c r="R949" s="6"/>
      <c r="S949" s="6"/>
    </row>
    <row r="950">
      <c r="R950" s="6"/>
      <c r="S950" s="6"/>
    </row>
    <row r="951">
      <c r="R951" s="6"/>
      <c r="S951" s="6"/>
    </row>
    <row r="952">
      <c r="R952" s="6"/>
      <c r="S952" s="6"/>
    </row>
    <row r="953">
      <c r="R953" s="6"/>
      <c r="S953" s="6"/>
    </row>
    <row r="954">
      <c r="R954" s="6"/>
      <c r="S954" s="6"/>
    </row>
    <row r="955">
      <c r="R955" s="6"/>
      <c r="S955" s="6"/>
    </row>
    <row r="956">
      <c r="R956" s="6"/>
      <c r="S956" s="6"/>
    </row>
    <row r="957">
      <c r="R957" s="6"/>
      <c r="S957" s="6"/>
    </row>
    <row r="958">
      <c r="R958" s="6"/>
      <c r="S958" s="6"/>
    </row>
    <row r="959">
      <c r="R959" s="6"/>
      <c r="S959" s="6"/>
    </row>
    <row r="960">
      <c r="R960" s="6"/>
      <c r="S960" s="6"/>
    </row>
    <row r="961">
      <c r="R961" s="6"/>
      <c r="S961" s="6"/>
    </row>
    <row r="962">
      <c r="R962" s="6"/>
      <c r="S962" s="6"/>
    </row>
    <row r="963">
      <c r="R963" s="6"/>
      <c r="S963" s="6"/>
    </row>
    <row r="964">
      <c r="R964" s="6"/>
      <c r="S964" s="6"/>
    </row>
    <row r="965">
      <c r="R965" s="6"/>
      <c r="S965" s="6"/>
    </row>
    <row r="966">
      <c r="R966" s="6"/>
      <c r="S966" s="6"/>
    </row>
    <row r="967">
      <c r="R967" s="6"/>
      <c r="S967" s="6"/>
    </row>
    <row r="968">
      <c r="R968" s="6"/>
      <c r="S968" s="6"/>
    </row>
    <row r="969">
      <c r="R969" s="6"/>
      <c r="S969" s="6"/>
    </row>
    <row r="970">
      <c r="R970" s="6"/>
      <c r="S970" s="6"/>
    </row>
    <row r="971">
      <c r="R971" s="6"/>
      <c r="S971" s="6"/>
    </row>
    <row r="972">
      <c r="R972" s="6"/>
      <c r="S972" s="6"/>
    </row>
    <row r="973">
      <c r="R973" s="6"/>
      <c r="S973" s="6"/>
    </row>
    <row r="974">
      <c r="R974" s="6"/>
      <c r="S974" s="6"/>
    </row>
    <row r="975">
      <c r="R975" s="6"/>
      <c r="S975" s="6"/>
    </row>
    <row r="976">
      <c r="R976" s="6"/>
      <c r="S976" s="6"/>
    </row>
    <row r="977">
      <c r="R977" s="6"/>
      <c r="S977" s="6"/>
    </row>
    <row r="978">
      <c r="R978" s="6"/>
      <c r="S978" s="6"/>
    </row>
    <row r="979">
      <c r="R979" s="6"/>
      <c r="S979" s="6"/>
    </row>
    <row r="980">
      <c r="R980" s="6"/>
      <c r="S980" s="6"/>
    </row>
    <row r="981">
      <c r="R981" s="6"/>
      <c r="S981" s="6"/>
    </row>
    <row r="982">
      <c r="R982" s="6"/>
      <c r="S982" s="6"/>
    </row>
    <row r="983">
      <c r="R983" s="6"/>
      <c r="S983" s="6"/>
    </row>
    <row r="984">
      <c r="R984" s="6"/>
      <c r="S984" s="6"/>
    </row>
    <row r="985">
      <c r="R985" s="6"/>
      <c r="S985" s="6"/>
    </row>
    <row r="986">
      <c r="R986" s="6"/>
      <c r="S986" s="6"/>
    </row>
    <row r="987">
      <c r="R987" s="6"/>
      <c r="S987" s="6"/>
    </row>
    <row r="988">
      <c r="R988" s="6"/>
      <c r="S988" s="6"/>
    </row>
    <row r="989">
      <c r="R989" s="6"/>
      <c r="S989" s="6"/>
    </row>
    <row r="990">
      <c r="R990" s="6"/>
      <c r="S990" s="6"/>
    </row>
    <row r="991">
      <c r="R991" s="6"/>
      <c r="S991" s="6"/>
    </row>
    <row r="992">
      <c r="R992" s="6"/>
      <c r="S992" s="6"/>
    </row>
    <row r="993">
      <c r="R993" s="6"/>
      <c r="S993" s="6"/>
    </row>
    <row r="994">
      <c r="R994" s="6"/>
      <c r="S994" s="6"/>
    </row>
    <row r="995">
      <c r="R995" s="6"/>
      <c r="S995" s="6"/>
    </row>
    <row r="996">
      <c r="R996" s="6"/>
      <c r="S996" s="6"/>
    </row>
    <row r="997">
      <c r="R997" s="6"/>
      <c r="S997" s="6"/>
    </row>
    <row r="998">
      <c r="R998" s="6"/>
      <c r="S998" s="6"/>
    </row>
    <row r="999">
      <c r="R999" s="6"/>
      <c r="S999" s="6"/>
    </row>
    <row r="1000">
      <c r="R1000" s="6"/>
      <c r="S1000" s="6"/>
    </row>
  </sheetData>
  <mergeCells count="1">
    <mergeCell ref="A1:AH1"/>
  </mergeCells>
  <dataValidations>
    <dataValidation type="list" allowBlank="1" sqref="R4:R1000">
      <formula1>"internal,affiliated,external_independent,unknown"</formula1>
    </dataValidation>
    <dataValidation type="list" allowBlank="1" sqref="D4:D200">
      <formula1>"sale_post,discount,launch,native_content,external_ad,integration,mention,other"</formula1>
    </dataValidation>
    <dataValidation type="list" allowBlank="1" sqref="N4:N200">
      <formula1>"Telegram,TGStat,Telegram API,Archive,Other"</formula1>
    </dataValidation>
    <dataValidation type="list" allowBlank="1" sqref="S4:S1000">
      <formula1>"confirmed_paid,likely_paid,unpaid_or_owned,unknown"</formula1>
    </dataValidation>
    <dataValidation type="list" allowBlank="1" sqref="I4:I200">
      <formula1>"internal,external"</formula1>
    </dataValidation>
    <dataValidation type="list" allowBlank="1" sqref="O4:O200">
      <formula1>"high,medium,low"</formula1>
    </dataValidation>
  </dataValidations>
  <hyperlinks>
    <hyperlink r:id="rId2" ref="J4"/>
    <hyperlink r:id="rId3" ref="J5"/>
    <hyperlink r:id="rId4" ref="J6"/>
    <hyperlink r:id="rId5" ref="J7"/>
    <hyperlink r:id="rId6" ref="J8"/>
    <hyperlink r:id="rId7" ref="J9"/>
    <hyperlink r:id="rId8" ref="J10"/>
    <hyperlink r:id="rId9" ref="J11"/>
    <hyperlink r:id="rId10" ref="J12"/>
    <hyperlink r:id="rId11" ref="J13"/>
    <hyperlink r:id="rId12" ref="J14"/>
    <hyperlink r:id="rId13" ref="J15"/>
    <hyperlink r:id="rId14" ref="J16"/>
    <hyperlink r:id="rId15" ref="J17"/>
    <hyperlink r:id="rId16" ref="J18"/>
    <hyperlink r:id="rId17" ref="J19"/>
    <hyperlink r:id="rId18" ref="J20"/>
    <hyperlink r:id="rId19" ref="J21"/>
    <hyperlink r:id="rId20" ref="J22"/>
    <hyperlink r:id="rId21" ref="J23"/>
    <hyperlink r:id="rId22" ref="J24"/>
    <hyperlink r:id="rId23" ref="J25"/>
    <hyperlink r:id="rId24" ref="J26"/>
    <hyperlink r:id="rId25" ref="J27"/>
    <hyperlink r:id="rId26" ref="J28"/>
    <hyperlink r:id="rId27" ref="J29"/>
    <hyperlink r:id="rId28" ref="J30"/>
    <hyperlink r:id="rId29" ref="J31"/>
    <hyperlink r:id="rId30" ref="J32"/>
    <hyperlink r:id="rId31" ref="J33"/>
    <hyperlink r:id="rId32" ref="J34"/>
    <hyperlink r:id="rId33" ref="J35"/>
    <hyperlink r:id="rId34" ref="J36"/>
    <hyperlink r:id="rId35" ref="J37"/>
    <hyperlink r:id="rId36" ref="J38"/>
    <hyperlink r:id="rId37" ref="J39"/>
    <hyperlink r:id="rId38" ref="J40"/>
    <hyperlink r:id="rId39" ref="J41"/>
    <hyperlink r:id="rId40" ref="J42"/>
    <hyperlink r:id="rId41" ref="J43"/>
    <hyperlink r:id="rId42" ref="J44"/>
    <hyperlink r:id="rId43" ref="J45"/>
    <hyperlink r:id="rId44" ref="J46"/>
    <hyperlink r:id="rId45" ref="J47"/>
    <hyperlink r:id="rId46" ref="J48"/>
    <hyperlink r:id="rId47" ref="J49"/>
    <hyperlink r:id="rId48" ref="J50"/>
    <hyperlink r:id="rId49" ref="J51"/>
    <hyperlink r:id="rId50" ref="J52"/>
    <hyperlink r:id="rId51" ref="J53"/>
    <hyperlink r:id="rId52" ref="J54"/>
    <hyperlink r:id="rId53" ref="J55"/>
    <hyperlink r:id="rId54" ref="J56"/>
    <hyperlink r:id="rId55" ref="J57"/>
    <hyperlink r:id="rId56" ref="J58"/>
    <hyperlink r:id="rId57" ref="J59"/>
    <hyperlink r:id="rId58" ref="J60"/>
    <hyperlink r:id="rId59" ref="J61"/>
    <hyperlink r:id="rId60" ref="J62"/>
    <hyperlink r:id="rId61" ref="J63"/>
    <hyperlink r:id="rId62" ref="J64"/>
    <hyperlink r:id="rId63" ref="J65"/>
    <hyperlink r:id="rId64" ref="J66"/>
    <hyperlink r:id="rId65" ref="J67"/>
    <hyperlink r:id="rId66" ref="J68"/>
    <hyperlink r:id="rId67" ref="J69"/>
    <hyperlink r:id="rId68" ref="J70"/>
    <hyperlink r:id="rId69" ref="J71"/>
    <hyperlink r:id="rId70" ref="J72"/>
    <hyperlink r:id="rId71" ref="J73"/>
    <hyperlink r:id="rId72" ref="J74"/>
    <hyperlink r:id="rId73" ref="J75"/>
    <hyperlink r:id="rId74" ref="J76"/>
    <hyperlink r:id="rId75" ref="J77"/>
    <hyperlink r:id="rId76" ref="J78"/>
    <hyperlink r:id="rId77" ref="J79"/>
    <hyperlink r:id="rId78" ref="J80"/>
    <hyperlink r:id="rId79" ref="J81"/>
    <hyperlink r:id="rId80" ref="J82"/>
    <hyperlink r:id="rId81" ref="J83"/>
    <hyperlink r:id="rId82" ref="J84"/>
    <hyperlink r:id="rId83" ref="J85"/>
    <hyperlink r:id="rId84" ref="J86"/>
    <hyperlink r:id="rId85" ref="J87"/>
    <hyperlink r:id="rId86" ref="J88"/>
    <hyperlink r:id="rId87" ref="J89"/>
    <hyperlink r:id="rId88" ref="J90"/>
    <hyperlink r:id="rId89" ref="J91"/>
    <hyperlink r:id="rId90" ref="J92"/>
    <hyperlink r:id="rId91" ref="J93"/>
    <hyperlink r:id="rId92" ref="J94"/>
    <hyperlink r:id="rId93" ref="J95"/>
    <hyperlink r:id="rId94" ref="J96"/>
    <hyperlink r:id="rId95" ref="J97"/>
    <hyperlink r:id="rId96" ref="J98"/>
    <hyperlink r:id="rId97" ref="J99"/>
    <hyperlink r:id="rId98" ref="J100"/>
    <hyperlink r:id="rId99" ref="G101"/>
    <hyperlink r:id="rId100" ref="J101"/>
    <hyperlink r:id="rId101" ref="Y101"/>
    <hyperlink r:id="rId102" ref="G102"/>
    <hyperlink r:id="rId103" ref="J102"/>
    <hyperlink r:id="rId104" ref="Y102"/>
    <hyperlink r:id="rId105" ref="G103"/>
    <hyperlink r:id="rId106" ref="J103"/>
    <hyperlink r:id="rId107" ref="Y103"/>
    <hyperlink r:id="rId108" ref="G104"/>
    <hyperlink r:id="rId109" ref="J104"/>
    <hyperlink r:id="rId110" ref="G105"/>
    <hyperlink r:id="rId111" ref="J105"/>
    <hyperlink r:id="rId112" ref="Y105"/>
    <hyperlink r:id="rId113" ref="G106"/>
    <hyperlink r:id="rId114" ref="J106"/>
    <hyperlink r:id="rId115" ref="G107"/>
    <hyperlink r:id="rId116" ref="J107"/>
    <hyperlink r:id="rId117" ref="G108"/>
    <hyperlink r:id="rId118" ref="J108"/>
    <hyperlink r:id="rId119" ref="Y108"/>
    <hyperlink r:id="rId120" ref="G109"/>
    <hyperlink r:id="rId121" ref="J109"/>
    <hyperlink r:id="rId122" ref="G110"/>
    <hyperlink r:id="rId123" ref="J110"/>
    <hyperlink r:id="rId124" ref="G111"/>
    <hyperlink r:id="rId125" ref="J111"/>
    <hyperlink r:id="rId126" ref="G112"/>
    <hyperlink r:id="rId127" ref="J112"/>
    <hyperlink r:id="rId128" ref="Y112"/>
    <hyperlink r:id="rId129" ref="G113"/>
    <hyperlink r:id="rId130" ref="J113"/>
    <hyperlink r:id="rId131" ref="G114"/>
    <hyperlink r:id="rId132" ref="J114"/>
    <hyperlink r:id="rId133" ref="G115"/>
    <hyperlink r:id="rId134" ref="J115"/>
    <hyperlink r:id="rId135" ref="G116"/>
    <hyperlink r:id="rId136" ref="J116"/>
    <hyperlink r:id="rId137" ref="Y116"/>
    <hyperlink r:id="rId138" ref="G117"/>
    <hyperlink r:id="rId139" ref="J117"/>
    <hyperlink r:id="rId140" ref="G118"/>
    <hyperlink r:id="rId141" ref="J118"/>
    <hyperlink r:id="rId142" ref="G119"/>
    <hyperlink r:id="rId143" ref="J119"/>
    <hyperlink r:id="rId144" ref="G120"/>
    <hyperlink r:id="rId145" ref="J120"/>
    <hyperlink r:id="rId146" ref="Y120"/>
    <hyperlink r:id="rId147" ref="G121"/>
    <hyperlink r:id="rId148" ref="J121"/>
    <hyperlink r:id="rId149" ref="G122"/>
    <hyperlink r:id="rId150" ref="J122"/>
    <hyperlink r:id="rId151" ref="Y122"/>
    <hyperlink r:id="rId152" ref="G123"/>
    <hyperlink r:id="rId153" ref="J123"/>
    <hyperlink r:id="rId154" ref="Y123"/>
    <hyperlink r:id="rId155" ref="G124"/>
    <hyperlink r:id="rId156" ref="J124"/>
    <hyperlink r:id="rId157" ref="Y124"/>
    <hyperlink r:id="rId158" ref="G125"/>
    <hyperlink r:id="rId159" ref="J125"/>
    <hyperlink r:id="rId160" ref="Y125"/>
    <hyperlink r:id="rId161" ref="G126"/>
    <hyperlink r:id="rId162" ref="J126"/>
    <hyperlink r:id="rId163" ref="Y126"/>
    <hyperlink r:id="rId164" ref="G127"/>
    <hyperlink r:id="rId165" ref="J127"/>
    <hyperlink r:id="rId166" ref="Y127"/>
    <hyperlink r:id="rId167" ref="G128"/>
    <hyperlink r:id="rId168" ref="J128"/>
    <hyperlink r:id="rId169" ref="Y128"/>
    <hyperlink r:id="rId170" ref="G129"/>
    <hyperlink r:id="rId171" ref="J129"/>
    <hyperlink r:id="rId172" ref="Y129"/>
    <hyperlink r:id="rId173" ref="G130"/>
    <hyperlink r:id="rId174" ref="J130"/>
    <hyperlink r:id="rId175" ref="Y130"/>
    <hyperlink r:id="rId176" ref="G131"/>
    <hyperlink r:id="rId177" ref="J131"/>
    <hyperlink r:id="rId178" ref="Y131"/>
    <hyperlink r:id="rId179" ref="G132"/>
    <hyperlink r:id="rId180" ref="J132"/>
    <hyperlink r:id="rId181" ref="Y132"/>
    <hyperlink r:id="rId182" ref="G133"/>
    <hyperlink r:id="rId183" ref="J133"/>
    <hyperlink r:id="rId184" ref="G134"/>
    <hyperlink r:id="rId185" ref="J134"/>
    <hyperlink r:id="rId186" ref="G135"/>
    <hyperlink r:id="rId187" ref="J135"/>
    <hyperlink r:id="rId188" ref="G136"/>
    <hyperlink r:id="rId189" ref="J136"/>
    <hyperlink r:id="rId190" ref="G137"/>
    <hyperlink r:id="rId191" ref="J137"/>
    <hyperlink r:id="rId192" ref="G138"/>
    <hyperlink r:id="rId193" ref="J138"/>
    <hyperlink r:id="rId194" ref="G139"/>
    <hyperlink r:id="rId195" ref="J139"/>
    <hyperlink r:id="rId196" ref="Y139"/>
    <hyperlink r:id="rId197" ref="G140"/>
    <hyperlink r:id="rId198" ref="J140"/>
    <hyperlink r:id="rId199" ref="G141"/>
    <hyperlink r:id="rId200" ref="J141"/>
    <hyperlink r:id="rId201" ref="Y141"/>
    <hyperlink r:id="rId202" ref="G142"/>
    <hyperlink r:id="rId203" ref="J142"/>
    <hyperlink r:id="rId204" ref="G143"/>
    <hyperlink r:id="rId205" ref="J143"/>
    <hyperlink r:id="rId206" ref="G144"/>
    <hyperlink r:id="rId207" ref="J144"/>
    <hyperlink r:id="rId208" ref="Y144"/>
    <hyperlink r:id="rId209" ref="G145"/>
    <hyperlink r:id="rId210" ref="J145"/>
    <hyperlink r:id="rId211" ref="G146"/>
    <hyperlink r:id="rId212" ref="J146"/>
    <hyperlink r:id="rId213" ref="G147"/>
    <hyperlink r:id="rId214" ref="J147"/>
    <hyperlink r:id="rId215" ref="G148"/>
    <hyperlink r:id="rId216" ref="J148"/>
    <hyperlink r:id="rId217" ref="G149"/>
    <hyperlink r:id="rId218" ref="J149"/>
    <hyperlink r:id="rId219" ref="Y149"/>
    <hyperlink r:id="rId220" ref="G150"/>
    <hyperlink r:id="rId221" ref="J150"/>
    <hyperlink r:id="rId222" ref="G151"/>
    <hyperlink r:id="rId223" ref="J151"/>
    <hyperlink r:id="rId224" ref="Y151"/>
    <hyperlink r:id="rId225" ref="G152"/>
    <hyperlink r:id="rId226" ref="J152"/>
    <hyperlink r:id="rId227" ref="G153"/>
    <hyperlink r:id="rId228" ref="J153"/>
    <hyperlink r:id="rId229" ref="G154"/>
    <hyperlink r:id="rId230" ref="J154"/>
    <hyperlink r:id="rId231" ref="Y154"/>
    <hyperlink r:id="rId232" ref="G155"/>
    <hyperlink r:id="rId233" ref="J155"/>
    <hyperlink r:id="rId234" ref="G156"/>
    <hyperlink r:id="rId235" ref="J156"/>
    <hyperlink r:id="rId236" ref="G157"/>
    <hyperlink r:id="rId237" ref="J157"/>
    <hyperlink r:id="rId238" ref="Y157"/>
    <hyperlink r:id="rId239" ref="G158"/>
    <hyperlink r:id="rId240" ref="J158"/>
    <hyperlink r:id="rId241" ref="Y158"/>
    <hyperlink r:id="rId242" ref="G159"/>
    <hyperlink r:id="rId243" ref="J159"/>
    <hyperlink r:id="rId244" ref="G160"/>
    <hyperlink r:id="rId245" ref="J160"/>
    <hyperlink r:id="rId246" ref="G161"/>
    <hyperlink r:id="rId247" ref="J161"/>
    <hyperlink r:id="rId248" ref="G162"/>
    <hyperlink r:id="rId249" ref="J162"/>
    <hyperlink r:id="rId250" ref="G163"/>
    <hyperlink r:id="rId251" ref="J163"/>
    <hyperlink r:id="rId252" ref="Y163"/>
    <hyperlink r:id="rId253" ref="G164"/>
    <hyperlink r:id="rId254" ref="J164"/>
    <hyperlink r:id="rId255" ref="G165"/>
    <hyperlink r:id="rId256" ref="J165"/>
    <hyperlink r:id="rId257" ref="G166"/>
    <hyperlink r:id="rId258" ref="J166"/>
    <hyperlink r:id="rId259" ref="Y166"/>
    <hyperlink r:id="rId260" ref="G167"/>
    <hyperlink r:id="rId261" ref="J167"/>
    <hyperlink r:id="rId262" ref="G168"/>
    <hyperlink r:id="rId263" ref="J168"/>
    <hyperlink r:id="rId264" ref="G169"/>
    <hyperlink r:id="rId265" ref="J169"/>
    <hyperlink r:id="rId266" ref="G170"/>
    <hyperlink r:id="rId267" ref="J170"/>
    <hyperlink r:id="rId268" ref="G171"/>
    <hyperlink r:id="rId269" ref="J171"/>
    <hyperlink r:id="rId270" ref="G172"/>
    <hyperlink r:id="rId271" ref="J172"/>
    <hyperlink r:id="rId272" ref="G173"/>
    <hyperlink r:id="rId273" ref="J173"/>
    <hyperlink r:id="rId274" ref="G174"/>
    <hyperlink r:id="rId275" ref="J174"/>
    <hyperlink r:id="rId276" ref="G175"/>
    <hyperlink r:id="rId277" ref="J175"/>
    <hyperlink r:id="rId278" ref="G176"/>
    <hyperlink r:id="rId279" ref="J176"/>
    <hyperlink r:id="rId280" ref="G177"/>
    <hyperlink r:id="rId281" ref="J177"/>
    <hyperlink r:id="rId282" ref="G178"/>
    <hyperlink r:id="rId283" ref="J178"/>
    <hyperlink r:id="rId284" ref="G179"/>
    <hyperlink r:id="rId285" ref="J179"/>
    <hyperlink r:id="rId286" ref="G180"/>
    <hyperlink r:id="rId287" ref="J180"/>
    <hyperlink r:id="rId288" ref="Y180"/>
    <hyperlink r:id="rId289" ref="G181"/>
    <hyperlink r:id="rId290" ref="J181"/>
    <hyperlink r:id="rId291" ref="G182"/>
    <hyperlink r:id="rId292" ref="J182"/>
    <hyperlink r:id="rId293" ref="G183"/>
    <hyperlink r:id="rId294" ref="J183"/>
    <hyperlink r:id="rId295" ref="G184"/>
    <hyperlink r:id="rId296" ref="J184"/>
    <hyperlink r:id="rId297" ref="G185"/>
    <hyperlink r:id="rId298" ref="J185"/>
    <hyperlink r:id="rId299" ref="G186"/>
    <hyperlink r:id="rId300" ref="J186"/>
    <hyperlink r:id="rId301" ref="G187"/>
    <hyperlink r:id="rId302" ref="J187"/>
    <hyperlink r:id="rId303" ref="G188"/>
    <hyperlink r:id="rId304" ref="J188"/>
    <hyperlink r:id="rId305" ref="G189"/>
    <hyperlink r:id="rId306" ref="J189"/>
    <hyperlink r:id="rId307" ref="G190"/>
    <hyperlink r:id="rId308" ref="J190"/>
    <hyperlink r:id="rId309" ref="G191"/>
    <hyperlink r:id="rId310" ref="J191"/>
    <hyperlink r:id="rId311" ref="G192"/>
    <hyperlink r:id="rId312" ref="J192"/>
    <hyperlink r:id="rId313" ref="G193"/>
    <hyperlink r:id="rId314" ref="J193"/>
    <hyperlink r:id="rId315" ref="G194"/>
    <hyperlink r:id="rId316" ref="J194"/>
    <hyperlink r:id="rId317" ref="G195"/>
    <hyperlink r:id="rId318" ref="J195"/>
    <hyperlink r:id="rId319" ref="G196"/>
    <hyperlink r:id="rId320" ref="J196"/>
    <hyperlink r:id="rId321" ref="Y196"/>
    <hyperlink r:id="rId322" ref="G197"/>
    <hyperlink r:id="rId323" ref="J197"/>
    <hyperlink r:id="rId324" ref="G198"/>
    <hyperlink r:id="rId325" ref="J198"/>
    <hyperlink r:id="rId326" ref="Y198"/>
    <hyperlink r:id="rId327" ref="G199"/>
    <hyperlink r:id="rId328" ref="J199"/>
    <hyperlink r:id="rId329" ref="Y199"/>
    <hyperlink r:id="rId330" ref="G200"/>
    <hyperlink r:id="rId331" ref="J200"/>
    <hyperlink r:id="rId332" ref="Y200"/>
    <hyperlink r:id="rId333" ref="G201"/>
    <hyperlink r:id="rId334" ref="J201"/>
    <hyperlink r:id="rId335" ref="G202"/>
    <hyperlink r:id="rId336" ref="J202"/>
    <hyperlink r:id="rId337" ref="Y202"/>
    <hyperlink r:id="rId338" ref="G203"/>
    <hyperlink r:id="rId339" ref="J203"/>
    <hyperlink r:id="rId340" ref="G204"/>
    <hyperlink r:id="rId341" ref="J204"/>
    <hyperlink r:id="rId342" ref="G205"/>
    <hyperlink r:id="rId343" ref="J205"/>
    <hyperlink r:id="rId344" ref="Y205"/>
    <hyperlink r:id="rId345" ref="G206"/>
    <hyperlink r:id="rId346" ref="J206"/>
    <hyperlink r:id="rId347" ref="Y206"/>
    <hyperlink r:id="rId348" ref="G207"/>
    <hyperlink r:id="rId349" ref="J207"/>
    <hyperlink r:id="rId350" ref="G208"/>
    <hyperlink r:id="rId351" ref="J208"/>
    <hyperlink r:id="rId352" ref="G209"/>
    <hyperlink r:id="rId353" ref="J209"/>
    <hyperlink r:id="rId354" ref="G210"/>
    <hyperlink r:id="rId355" ref="J210"/>
    <hyperlink r:id="rId356" ref="G211"/>
    <hyperlink r:id="rId357" ref="J211"/>
    <hyperlink r:id="rId358" ref="G212"/>
    <hyperlink r:id="rId359" ref="J212"/>
    <hyperlink r:id="rId360" ref="Y212"/>
    <hyperlink r:id="rId361" ref="G213"/>
    <hyperlink r:id="rId362" ref="J213"/>
    <hyperlink r:id="rId363" ref="Y213"/>
  </hyperlinks>
  <drawing r:id="rId364"/>
  <legacyDrawing r:id="rId36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82.0"/>
    <col customWidth="1" min="2" max="2" width="11.38"/>
    <col customWidth="1" min="3" max="3" width="9.13"/>
    <col customWidth="1" min="4" max="4" width="12.38"/>
    <col customWidth="1" min="5" max="5" width="11.75"/>
    <col customWidth="1" min="6" max="6" width="14.13"/>
    <col customWidth="1" min="7" max="7" width="11.0"/>
    <col customWidth="1" min="8" max="8" width="11.88"/>
    <col customWidth="1" min="9" max="9" width="9.75"/>
    <col customWidth="1" min="10" max="10" width="41.5"/>
  </cols>
  <sheetData>
    <row r="1">
      <c r="A1" s="1" t="s">
        <v>2</v>
      </c>
    </row>
    <row r="2" ht="52.5" customHeight="1">
      <c r="A2" s="2" t="s">
        <v>5</v>
      </c>
      <c r="B2" s="2" t="s">
        <v>7</v>
      </c>
      <c r="C2" s="2" t="s">
        <v>9</v>
      </c>
      <c r="D2" s="2" t="s">
        <v>11</v>
      </c>
      <c r="E2" s="2" t="s">
        <v>13</v>
      </c>
      <c r="F2" s="2" t="s">
        <v>14</v>
      </c>
      <c r="G2" s="2" t="s">
        <v>15</v>
      </c>
      <c r="H2" s="2" t="s">
        <v>16</v>
      </c>
      <c r="I2" s="2" t="s">
        <v>18</v>
      </c>
      <c r="J2" s="2" t="s">
        <v>19</v>
      </c>
    </row>
    <row r="3" ht="31.5" customHeight="1">
      <c r="A3" s="3" t="s">
        <v>26</v>
      </c>
      <c r="B3" s="3" t="s">
        <v>29</v>
      </c>
      <c r="C3" s="3" t="s">
        <v>32</v>
      </c>
      <c r="D3" s="3" t="s">
        <v>35</v>
      </c>
      <c r="E3" s="3" t="s">
        <v>38</v>
      </c>
      <c r="F3" s="3" t="s">
        <v>39</v>
      </c>
      <c r="G3" s="3" t="s">
        <v>41</v>
      </c>
      <c r="H3" s="3" t="s">
        <v>43</v>
      </c>
      <c r="I3" s="3" t="s">
        <v>45</v>
      </c>
      <c r="J3" s="3" t="s">
        <v>33</v>
      </c>
    </row>
    <row r="4">
      <c r="A4" s="4" t="s">
        <v>50</v>
      </c>
      <c r="B4" s="4" t="s">
        <v>50</v>
      </c>
      <c r="C4" s="4" t="s">
        <v>54</v>
      </c>
      <c r="D4" s="4" t="s">
        <v>50</v>
      </c>
      <c r="E4" s="4" t="s">
        <v>50</v>
      </c>
      <c r="F4" s="4" t="s">
        <v>50</v>
      </c>
      <c r="G4" s="4" t="s">
        <v>57</v>
      </c>
      <c r="H4" s="4" t="s">
        <v>50</v>
      </c>
      <c r="I4" s="4" t="s">
        <v>50</v>
      </c>
      <c r="J4" s="4" t="s">
        <v>58</v>
      </c>
    </row>
    <row r="5">
      <c r="C5" s="6"/>
      <c r="G5" s="6"/>
    </row>
    <row r="6">
      <c r="C6" s="6"/>
      <c r="G6" s="6"/>
    </row>
    <row r="7">
      <c r="C7" s="6"/>
      <c r="G7" s="6"/>
    </row>
    <row r="8">
      <c r="C8" s="6"/>
      <c r="G8" s="6"/>
    </row>
    <row r="9">
      <c r="C9" s="6"/>
      <c r="G9" s="6"/>
    </row>
    <row r="10">
      <c r="C10" s="6"/>
      <c r="G10" s="6"/>
    </row>
    <row r="11">
      <c r="C11" s="6"/>
      <c r="G11" s="6"/>
    </row>
    <row r="12">
      <c r="C12" s="6"/>
      <c r="G12" s="6"/>
    </row>
    <row r="13">
      <c r="C13" s="6"/>
      <c r="G13" s="6"/>
    </row>
    <row r="14">
      <c r="C14" s="6"/>
      <c r="G14" s="6"/>
    </row>
    <row r="15">
      <c r="C15" s="6"/>
      <c r="G15" s="6"/>
    </row>
    <row r="16">
      <c r="C16" s="6"/>
      <c r="G16" s="6"/>
    </row>
    <row r="17">
      <c r="C17" s="6"/>
      <c r="G17" s="6"/>
    </row>
    <row r="18">
      <c r="C18" s="6"/>
      <c r="G18" s="6"/>
    </row>
    <row r="19">
      <c r="C19" s="6"/>
      <c r="G19" s="6"/>
    </row>
    <row r="20">
      <c r="C20" s="6"/>
      <c r="G20" s="6"/>
    </row>
    <row r="21">
      <c r="C21" s="6"/>
      <c r="G21" s="6"/>
    </row>
    <row r="22">
      <c r="C22" s="6"/>
      <c r="G22" s="6"/>
    </row>
    <row r="23">
      <c r="C23" s="6"/>
      <c r="G23" s="6"/>
    </row>
    <row r="24">
      <c r="C24" s="6"/>
      <c r="G24" s="6"/>
    </row>
    <row r="25">
      <c r="C25" s="6"/>
      <c r="G25" s="6"/>
    </row>
    <row r="26">
      <c r="C26" s="6"/>
      <c r="G26" s="6"/>
    </row>
    <row r="27">
      <c r="C27" s="6"/>
      <c r="G27" s="6"/>
    </row>
    <row r="28">
      <c r="C28" s="6"/>
      <c r="G28" s="6"/>
    </row>
    <row r="29">
      <c r="C29" s="6"/>
      <c r="G29" s="6"/>
    </row>
    <row r="30">
      <c r="C30" s="6"/>
      <c r="G30" s="6"/>
    </row>
    <row r="31">
      <c r="C31" s="6"/>
      <c r="G31" s="6"/>
    </row>
    <row r="32">
      <c r="C32" s="6"/>
      <c r="G32" s="6"/>
    </row>
    <row r="33">
      <c r="C33" s="6"/>
      <c r="G33" s="6"/>
    </row>
    <row r="34">
      <c r="C34" s="6"/>
      <c r="G34" s="6"/>
    </row>
    <row r="35">
      <c r="C35" s="6"/>
      <c r="G35" s="6"/>
    </row>
    <row r="36">
      <c r="C36" s="6"/>
      <c r="G36" s="6"/>
    </row>
    <row r="37">
      <c r="C37" s="6"/>
      <c r="G37" s="6"/>
    </row>
    <row r="38">
      <c r="C38" s="6"/>
      <c r="G38" s="6"/>
    </row>
    <row r="39">
      <c r="C39" s="6"/>
      <c r="G39" s="6"/>
    </row>
    <row r="40">
      <c r="C40" s="6"/>
      <c r="G40" s="6"/>
    </row>
    <row r="41">
      <c r="C41" s="6"/>
      <c r="G41" s="6"/>
    </row>
    <row r="42">
      <c r="C42" s="6"/>
      <c r="G42" s="6"/>
    </row>
    <row r="43">
      <c r="C43" s="6"/>
      <c r="G43" s="6"/>
    </row>
    <row r="44">
      <c r="C44" s="6"/>
      <c r="G44" s="6"/>
    </row>
    <row r="45">
      <c r="C45" s="6"/>
      <c r="G45" s="6"/>
    </row>
    <row r="46">
      <c r="C46" s="6"/>
      <c r="G46" s="6"/>
    </row>
    <row r="47">
      <c r="C47" s="6"/>
      <c r="G47" s="6"/>
    </row>
    <row r="48">
      <c r="C48" s="6"/>
      <c r="G48" s="6"/>
    </row>
    <row r="49">
      <c r="C49" s="6"/>
      <c r="G49" s="6"/>
    </row>
    <row r="50">
      <c r="C50" s="6"/>
      <c r="G50" s="6"/>
    </row>
    <row r="51">
      <c r="C51" s="6"/>
      <c r="G51" s="6"/>
    </row>
    <row r="52">
      <c r="C52" s="6"/>
      <c r="G52" s="6"/>
    </row>
    <row r="53">
      <c r="C53" s="6"/>
      <c r="G53" s="6"/>
    </row>
    <row r="54">
      <c r="C54" s="6"/>
      <c r="G54" s="6"/>
    </row>
    <row r="55">
      <c r="C55" s="6"/>
      <c r="G55" s="6"/>
    </row>
    <row r="56">
      <c r="C56" s="6"/>
      <c r="G56" s="6"/>
    </row>
    <row r="57">
      <c r="C57" s="6"/>
      <c r="G57" s="6"/>
    </row>
    <row r="58">
      <c r="C58" s="6"/>
      <c r="G58" s="6"/>
    </row>
    <row r="59">
      <c r="C59" s="6"/>
      <c r="G59" s="6"/>
    </row>
    <row r="60">
      <c r="C60" s="6"/>
      <c r="G60" s="6"/>
    </row>
    <row r="61">
      <c r="C61" s="6"/>
      <c r="G61" s="6"/>
    </row>
    <row r="62">
      <c r="C62" s="6"/>
      <c r="G62" s="6"/>
    </row>
    <row r="63">
      <c r="C63" s="6"/>
      <c r="G63" s="6"/>
    </row>
    <row r="64">
      <c r="C64" s="6"/>
      <c r="G64" s="6"/>
    </row>
    <row r="65">
      <c r="C65" s="6"/>
      <c r="G65" s="6"/>
    </row>
    <row r="66">
      <c r="C66" s="6"/>
      <c r="G66" s="6"/>
    </row>
    <row r="67">
      <c r="C67" s="6"/>
      <c r="G67" s="6"/>
    </row>
    <row r="68">
      <c r="C68" s="6"/>
      <c r="G68" s="6"/>
    </row>
    <row r="69">
      <c r="C69" s="6"/>
      <c r="G69" s="6"/>
    </row>
    <row r="70">
      <c r="C70" s="6"/>
      <c r="G70" s="6"/>
    </row>
    <row r="71">
      <c r="C71" s="6"/>
      <c r="G71" s="6"/>
    </row>
    <row r="72">
      <c r="C72" s="6"/>
      <c r="G72" s="6"/>
    </row>
    <row r="73">
      <c r="C73" s="6"/>
      <c r="G73" s="6"/>
    </row>
    <row r="74">
      <c r="C74" s="6"/>
      <c r="G74" s="6"/>
    </row>
    <row r="75">
      <c r="C75" s="6"/>
      <c r="G75" s="6"/>
    </row>
    <row r="76">
      <c r="C76" s="6"/>
      <c r="G76" s="6"/>
    </row>
    <row r="77">
      <c r="C77" s="6"/>
      <c r="G77" s="6"/>
    </row>
    <row r="78">
      <c r="C78" s="6"/>
      <c r="G78" s="6"/>
    </row>
    <row r="79">
      <c r="C79" s="6"/>
      <c r="G79" s="6"/>
    </row>
    <row r="80">
      <c r="C80" s="6"/>
      <c r="G80" s="6"/>
    </row>
    <row r="81">
      <c r="C81" s="6"/>
      <c r="G81" s="6"/>
    </row>
    <row r="82">
      <c r="C82" s="6"/>
      <c r="G82" s="6"/>
    </row>
    <row r="83">
      <c r="C83" s="6"/>
      <c r="G83" s="6"/>
    </row>
    <row r="84">
      <c r="C84" s="6"/>
      <c r="G84" s="6"/>
    </row>
    <row r="85">
      <c r="C85" s="6"/>
      <c r="G85" s="6"/>
    </row>
    <row r="86">
      <c r="C86" s="6"/>
      <c r="G86" s="6"/>
    </row>
    <row r="87">
      <c r="C87" s="6"/>
      <c r="G87" s="6"/>
    </row>
    <row r="88">
      <c r="C88" s="6"/>
      <c r="G88" s="6"/>
    </row>
    <row r="89">
      <c r="C89" s="6"/>
      <c r="G89" s="6"/>
    </row>
    <row r="90">
      <c r="C90" s="6"/>
      <c r="G90" s="6"/>
    </row>
    <row r="91">
      <c r="C91" s="6"/>
      <c r="G91" s="6"/>
    </row>
    <row r="92">
      <c r="C92" s="6"/>
      <c r="G92" s="6"/>
    </row>
    <row r="93">
      <c r="C93" s="6"/>
      <c r="G93" s="6"/>
    </row>
    <row r="94">
      <c r="C94" s="6"/>
      <c r="G94" s="6"/>
    </row>
    <row r="95">
      <c r="C95" s="6"/>
      <c r="G95" s="6"/>
    </row>
    <row r="96">
      <c r="C96" s="6"/>
      <c r="G96" s="6"/>
    </row>
    <row r="97">
      <c r="C97" s="6"/>
      <c r="G97" s="6"/>
    </row>
    <row r="98">
      <c r="C98" s="6"/>
      <c r="G98" s="6"/>
    </row>
    <row r="99">
      <c r="C99" s="6"/>
      <c r="G99" s="6"/>
    </row>
    <row r="100">
      <c r="C100" s="6"/>
      <c r="G100" s="6"/>
    </row>
    <row r="101">
      <c r="C101" s="6"/>
      <c r="G101" s="6"/>
    </row>
    <row r="102">
      <c r="C102" s="6"/>
      <c r="G102" s="6"/>
    </row>
    <row r="103">
      <c r="C103" s="6"/>
      <c r="G103" s="6"/>
    </row>
    <row r="104">
      <c r="C104" s="6"/>
      <c r="G104" s="6"/>
    </row>
    <row r="105">
      <c r="C105" s="6"/>
      <c r="G105" s="6"/>
    </row>
    <row r="106">
      <c r="C106" s="6"/>
      <c r="G106" s="6"/>
    </row>
    <row r="107">
      <c r="C107" s="6"/>
      <c r="G107" s="6"/>
    </row>
    <row r="108">
      <c r="C108" s="6"/>
      <c r="G108" s="6"/>
    </row>
    <row r="109">
      <c r="C109" s="6"/>
      <c r="G109" s="6"/>
    </row>
    <row r="110">
      <c r="C110" s="6"/>
      <c r="G110" s="6"/>
    </row>
    <row r="111">
      <c r="C111" s="6"/>
      <c r="G111" s="6"/>
    </row>
    <row r="112">
      <c r="C112" s="6"/>
      <c r="G112" s="6"/>
    </row>
    <row r="113">
      <c r="C113" s="6"/>
      <c r="G113" s="6"/>
    </row>
    <row r="114">
      <c r="C114" s="6"/>
      <c r="G114" s="6"/>
    </row>
    <row r="115">
      <c r="C115" s="6"/>
      <c r="G115" s="6"/>
    </row>
    <row r="116">
      <c r="C116" s="6"/>
      <c r="G116" s="6"/>
    </row>
    <row r="117">
      <c r="C117" s="6"/>
      <c r="G117" s="6"/>
    </row>
    <row r="118">
      <c r="C118" s="6"/>
      <c r="G118" s="6"/>
    </row>
    <row r="119">
      <c r="C119" s="6"/>
      <c r="G119" s="6"/>
    </row>
    <row r="120">
      <c r="C120" s="6"/>
      <c r="G120" s="6"/>
    </row>
    <row r="121">
      <c r="C121" s="6"/>
      <c r="G121" s="6"/>
    </row>
    <row r="122">
      <c r="C122" s="6"/>
      <c r="G122" s="6"/>
    </row>
    <row r="123">
      <c r="C123" s="6"/>
      <c r="G123" s="6"/>
    </row>
    <row r="124">
      <c r="C124" s="6"/>
      <c r="G124" s="6"/>
    </row>
    <row r="125">
      <c r="C125" s="6"/>
      <c r="G125" s="6"/>
    </row>
    <row r="126">
      <c r="C126" s="6"/>
      <c r="G126" s="6"/>
    </row>
    <row r="127">
      <c r="C127" s="6"/>
      <c r="G127" s="6"/>
    </row>
    <row r="128">
      <c r="C128" s="6"/>
      <c r="G128" s="6"/>
    </row>
    <row r="129">
      <c r="C129" s="6"/>
      <c r="G129" s="6"/>
    </row>
    <row r="130">
      <c r="C130" s="6"/>
      <c r="G130" s="6"/>
    </row>
    <row r="131">
      <c r="C131" s="6"/>
      <c r="G131" s="6"/>
    </row>
    <row r="132">
      <c r="C132" s="6"/>
      <c r="G132" s="6"/>
    </row>
    <row r="133">
      <c r="C133" s="6"/>
      <c r="G133" s="6"/>
    </row>
    <row r="134">
      <c r="C134" s="6"/>
      <c r="G134" s="6"/>
    </row>
    <row r="135">
      <c r="C135" s="6"/>
      <c r="G135" s="6"/>
    </row>
    <row r="136">
      <c r="C136" s="6"/>
      <c r="G136" s="6"/>
    </row>
    <row r="137">
      <c r="C137" s="6"/>
      <c r="G137" s="6"/>
    </row>
    <row r="138">
      <c r="C138" s="6"/>
      <c r="G138" s="6"/>
    </row>
    <row r="139">
      <c r="C139" s="6"/>
      <c r="G139" s="6"/>
    </row>
    <row r="140">
      <c r="C140" s="6"/>
      <c r="G140" s="6"/>
    </row>
    <row r="141">
      <c r="C141" s="6"/>
      <c r="G141" s="6"/>
    </row>
    <row r="142">
      <c r="C142" s="6"/>
      <c r="G142" s="6"/>
    </row>
    <row r="143">
      <c r="C143" s="6"/>
      <c r="G143" s="6"/>
    </row>
    <row r="144">
      <c r="C144" s="6"/>
      <c r="G144" s="6"/>
    </row>
    <row r="145">
      <c r="C145" s="6"/>
      <c r="G145" s="6"/>
    </row>
    <row r="146">
      <c r="C146" s="6"/>
      <c r="G146" s="6"/>
    </row>
    <row r="147">
      <c r="C147" s="6"/>
      <c r="G147" s="6"/>
    </row>
    <row r="148">
      <c r="C148" s="6"/>
      <c r="G148" s="6"/>
    </row>
    <row r="149">
      <c r="C149" s="6"/>
      <c r="G149" s="6"/>
    </row>
    <row r="150">
      <c r="C150" s="6"/>
      <c r="G150" s="6"/>
    </row>
    <row r="151">
      <c r="C151" s="6"/>
      <c r="G151" s="6"/>
    </row>
    <row r="152">
      <c r="C152" s="6"/>
      <c r="G152" s="6"/>
    </row>
    <row r="153">
      <c r="C153" s="6"/>
      <c r="G153" s="6"/>
    </row>
    <row r="154">
      <c r="C154" s="6"/>
      <c r="G154" s="6"/>
    </row>
    <row r="155">
      <c r="C155" s="6"/>
      <c r="G155" s="6"/>
    </row>
    <row r="156">
      <c r="C156" s="6"/>
      <c r="G156" s="6"/>
    </row>
    <row r="157">
      <c r="C157" s="6"/>
      <c r="G157" s="6"/>
    </row>
    <row r="158">
      <c r="C158" s="6"/>
      <c r="G158" s="6"/>
    </row>
    <row r="159">
      <c r="C159" s="6"/>
      <c r="G159" s="6"/>
    </row>
    <row r="160">
      <c r="C160" s="6"/>
      <c r="G160" s="6"/>
    </row>
    <row r="161">
      <c r="C161" s="6"/>
      <c r="G161" s="6"/>
    </row>
    <row r="162">
      <c r="C162" s="6"/>
      <c r="G162" s="6"/>
    </row>
    <row r="163">
      <c r="C163" s="6"/>
      <c r="G163" s="6"/>
    </row>
    <row r="164">
      <c r="C164" s="6"/>
      <c r="G164" s="6"/>
    </row>
    <row r="165">
      <c r="C165" s="6"/>
      <c r="G165" s="6"/>
    </row>
    <row r="166">
      <c r="C166" s="6"/>
      <c r="G166" s="6"/>
    </row>
    <row r="167">
      <c r="C167" s="6"/>
      <c r="G167" s="6"/>
    </row>
    <row r="168">
      <c r="C168" s="6"/>
      <c r="G168" s="6"/>
    </row>
    <row r="169">
      <c r="C169" s="6"/>
      <c r="G169" s="6"/>
    </row>
    <row r="170">
      <c r="C170" s="6"/>
      <c r="G170" s="6"/>
    </row>
    <row r="171">
      <c r="C171" s="6"/>
      <c r="G171" s="6"/>
    </row>
    <row r="172">
      <c r="C172" s="6"/>
      <c r="G172" s="6"/>
    </row>
    <row r="173">
      <c r="C173" s="6"/>
      <c r="G173" s="6"/>
    </row>
    <row r="174">
      <c r="C174" s="6"/>
      <c r="G174" s="6"/>
    </row>
    <row r="175">
      <c r="C175" s="6"/>
      <c r="G175" s="6"/>
    </row>
    <row r="176">
      <c r="C176" s="6"/>
      <c r="G176" s="6"/>
    </row>
    <row r="177">
      <c r="C177" s="6"/>
      <c r="G177" s="6"/>
    </row>
    <row r="178">
      <c r="C178" s="6"/>
      <c r="G178" s="6"/>
    </row>
    <row r="179">
      <c r="C179" s="6"/>
      <c r="G179" s="6"/>
    </row>
    <row r="180">
      <c r="C180" s="6"/>
      <c r="G180" s="6"/>
    </row>
    <row r="181">
      <c r="C181" s="6"/>
      <c r="G181" s="6"/>
    </row>
    <row r="182">
      <c r="C182" s="6"/>
      <c r="G182" s="6"/>
    </row>
    <row r="183">
      <c r="C183" s="6"/>
      <c r="G183" s="6"/>
    </row>
    <row r="184">
      <c r="C184" s="6"/>
      <c r="G184" s="6"/>
    </row>
    <row r="185">
      <c r="C185" s="6"/>
      <c r="G185" s="6"/>
    </row>
    <row r="186">
      <c r="C186" s="6"/>
      <c r="G186" s="6"/>
    </row>
    <row r="187">
      <c r="C187" s="6"/>
      <c r="G187" s="6"/>
    </row>
    <row r="188">
      <c r="C188" s="6"/>
      <c r="G188" s="6"/>
    </row>
    <row r="189">
      <c r="C189" s="6"/>
      <c r="G189" s="6"/>
    </row>
    <row r="190">
      <c r="C190" s="6"/>
      <c r="G190" s="6"/>
    </row>
    <row r="191">
      <c r="C191" s="6"/>
      <c r="G191" s="6"/>
    </row>
    <row r="192">
      <c r="C192" s="6"/>
      <c r="G192" s="6"/>
    </row>
    <row r="193">
      <c r="C193" s="6"/>
      <c r="G193" s="6"/>
    </row>
    <row r="194">
      <c r="C194" s="6"/>
      <c r="G194" s="6"/>
    </row>
    <row r="195">
      <c r="C195" s="6"/>
      <c r="G195" s="6"/>
    </row>
    <row r="196">
      <c r="C196" s="6"/>
      <c r="G196" s="6"/>
    </row>
    <row r="197">
      <c r="C197" s="6"/>
      <c r="G197" s="6"/>
    </row>
    <row r="198">
      <c r="C198" s="6"/>
      <c r="G198" s="6"/>
    </row>
    <row r="199">
      <c r="C199" s="6"/>
      <c r="G199" s="6"/>
    </row>
    <row r="200">
      <c r="C200" s="6"/>
      <c r="G200" s="6"/>
    </row>
  </sheetData>
  <mergeCells count="1">
    <mergeCell ref="A1:J1"/>
  </mergeCells>
  <dataValidations>
    <dataValidation type="list" allowBlank="1" sqref="G4:G200">
      <formula1>"spike,drop,shift,other"</formula1>
    </dataValidation>
    <dataValidation type="list" allowBlank="1" sqref="C4:C200">
      <formula1>"orders,buyers,revenue,aov,repeat_rate"</formula1>
    </dataValidation>
  </dataValidations>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57.25"/>
    <col customWidth="1" min="2" max="2" width="10.13"/>
    <col customWidth="1" min="3" max="3" width="23.25"/>
    <col customWidth="1" min="4" max="4" width="2.88"/>
    <col customWidth="1" min="5" max="5" width="10.0"/>
    <col customWidth="1" min="6" max="6" width="14.25"/>
    <col customWidth="1" min="7" max="7" width="7.75"/>
    <col customWidth="1" min="8" max="8" width="15.25"/>
  </cols>
  <sheetData>
    <row r="1">
      <c r="A1" s="1" t="s">
        <v>0</v>
      </c>
    </row>
    <row r="2" ht="31.5" customHeight="1">
      <c r="A2" s="2" t="s">
        <v>3</v>
      </c>
      <c r="B2" s="2" t="s">
        <v>4</v>
      </c>
      <c r="C2" s="2" t="s">
        <v>6</v>
      </c>
      <c r="D2" s="2" t="s">
        <v>8</v>
      </c>
      <c r="E2" s="2" t="s">
        <v>10</v>
      </c>
      <c r="F2" s="2" t="s">
        <v>12</v>
      </c>
    </row>
    <row r="3" ht="31.5" customHeight="1">
      <c r="A3" s="3" t="s">
        <v>17</v>
      </c>
      <c r="B3" s="3" t="s">
        <v>21</v>
      </c>
      <c r="C3" s="3" t="s">
        <v>22</v>
      </c>
      <c r="D3" s="3" t="s">
        <v>24</v>
      </c>
      <c r="E3" s="3" t="s">
        <v>27</v>
      </c>
      <c r="F3" s="3" t="s">
        <v>30</v>
      </c>
      <c r="G3" s="3" t="s">
        <v>31</v>
      </c>
      <c r="H3" s="3" t="s">
        <v>33</v>
      </c>
    </row>
    <row r="4">
      <c r="A4" s="4" t="s">
        <v>36</v>
      </c>
      <c r="B4" s="4" t="s">
        <v>47</v>
      </c>
      <c r="C4" s="4" t="s">
        <v>48</v>
      </c>
      <c r="D4" s="7" t="s">
        <v>51</v>
      </c>
      <c r="E4" s="8" t="s">
        <v>68</v>
      </c>
      <c r="F4" s="4" t="s">
        <v>71</v>
      </c>
      <c r="G4" s="4" t="s">
        <v>74</v>
      </c>
      <c r="H4" s="4" t="s">
        <v>75</v>
      </c>
    </row>
    <row r="5">
      <c r="A5" s="4" t="s">
        <v>78</v>
      </c>
      <c r="B5" s="4" t="s">
        <v>47</v>
      </c>
      <c r="C5" s="4" t="s">
        <v>81</v>
      </c>
      <c r="D5" s="7" t="s">
        <v>83</v>
      </c>
      <c r="E5" s="8" t="s">
        <v>68</v>
      </c>
      <c r="F5" s="4" t="s">
        <v>71</v>
      </c>
      <c r="G5" s="6"/>
    </row>
    <row r="6">
      <c r="A6" s="4" t="s">
        <v>95</v>
      </c>
      <c r="B6" s="4" t="s">
        <v>47</v>
      </c>
      <c r="C6" s="4" t="s">
        <v>96</v>
      </c>
      <c r="D6" s="7" t="s">
        <v>99</v>
      </c>
      <c r="E6" s="8" t="s">
        <v>68</v>
      </c>
      <c r="F6" s="4" t="s">
        <v>71</v>
      </c>
      <c r="G6" s="6"/>
    </row>
    <row r="7">
      <c r="A7" s="4" t="s">
        <v>109</v>
      </c>
      <c r="B7" s="4" t="s">
        <v>47</v>
      </c>
      <c r="C7" s="4" t="s">
        <v>111</v>
      </c>
      <c r="D7" s="7" t="s">
        <v>112</v>
      </c>
      <c r="E7" s="8" t="s">
        <v>68</v>
      </c>
      <c r="F7" s="4" t="s">
        <v>71</v>
      </c>
      <c r="G7" s="6"/>
    </row>
    <row r="8">
      <c r="A8" s="4" t="s">
        <v>122</v>
      </c>
      <c r="B8" s="4" t="s">
        <v>47</v>
      </c>
      <c r="C8" s="4" t="s">
        <v>125</v>
      </c>
      <c r="D8" s="7" t="s">
        <v>127</v>
      </c>
      <c r="E8" s="8" t="s">
        <v>68</v>
      </c>
      <c r="F8" s="4" t="s">
        <v>71</v>
      </c>
      <c r="G8" s="6"/>
    </row>
    <row r="9">
      <c r="A9" s="4" t="s">
        <v>136</v>
      </c>
      <c r="B9" s="4" t="s">
        <v>47</v>
      </c>
      <c r="C9" s="4" t="s">
        <v>139</v>
      </c>
      <c r="D9" s="7" t="s">
        <v>140</v>
      </c>
      <c r="E9" s="8" t="s">
        <v>68</v>
      </c>
      <c r="F9" s="4" t="s">
        <v>71</v>
      </c>
      <c r="G9" s="6"/>
    </row>
    <row r="10">
      <c r="A10" s="4" t="s">
        <v>159</v>
      </c>
      <c r="B10" s="4" t="s">
        <v>47</v>
      </c>
      <c r="C10" s="4" t="s">
        <v>162</v>
      </c>
      <c r="D10" s="7" t="s">
        <v>166</v>
      </c>
      <c r="E10" s="8" t="s">
        <v>68</v>
      </c>
      <c r="F10" s="4" t="s">
        <v>71</v>
      </c>
      <c r="G10" s="6"/>
    </row>
    <row r="11">
      <c r="A11" s="4" t="s">
        <v>175</v>
      </c>
      <c r="B11" s="4" t="s">
        <v>47</v>
      </c>
      <c r="C11" s="4" t="s">
        <v>177</v>
      </c>
      <c r="D11" s="7" t="s">
        <v>179</v>
      </c>
      <c r="E11" s="8" t="s">
        <v>68</v>
      </c>
      <c r="F11" s="4" t="s">
        <v>71</v>
      </c>
      <c r="G11" s="6"/>
    </row>
    <row r="12">
      <c r="B12" s="6"/>
      <c r="G12" s="6"/>
    </row>
    <row r="13">
      <c r="B13" s="6"/>
      <c r="G13" s="6"/>
    </row>
    <row r="14">
      <c r="B14" s="6"/>
      <c r="G14" s="6"/>
    </row>
    <row r="15">
      <c r="B15" s="6"/>
      <c r="G15" s="6"/>
    </row>
    <row r="16">
      <c r="B16" s="6"/>
      <c r="G16" s="6"/>
    </row>
    <row r="17">
      <c r="B17" s="6"/>
      <c r="G17" s="6"/>
    </row>
    <row r="18">
      <c r="B18" s="6"/>
      <c r="G18" s="6"/>
    </row>
    <row r="19">
      <c r="B19" s="6"/>
      <c r="G19" s="6"/>
    </row>
    <row r="20">
      <c r="B20" s="6"/>
      <c r="G20" s="6"/>
    </row>
    <row r="21">
      <c r="B21" s="6"/>
      <c r="G21" s="6"/>
    </row>
    <row r="22">
      <c r="B22" s="6"/>
      <c r="G22" s="6"/>
    </row>
    <row r="23">
      <c r="B23" s="6"/>
      <c r="G23" s="6"/>
    </row>
    <row r="24">
      <c r="B24" s="6"/>
      <c r="G24" s="6"/>
    </row>
    <row r="25">
      <c r="B25" s="6"/>
      <c r="G25" s="6"/>
    </row>
    <row r="26">
      <c r="B26" s="6"/>
      <c r="G26" s="6"/>
    </row>
    <row r="27">
      <c r="B27" s="6"/>
      <c r="G27" s="6"/>
    </row>
    <row r="28">
      <c r="B28" s="6"/>
      <c r="G28" s="6"/>
    </row>
    <row r="29">
      <c r="B29" s="6"/>
      <c r="G29" s="6"/>
    </row>
    <row r="30">
      <c r="B30" s="6"/>
      <c r="G30" s="6"/>
    </row>
    <row r="31">
      <c r="B31" s="6"/>
      <c r="G31" s="6"/>
    </row>
    <row r="32">
      <c r="B32" s="6"/>
      <c r="G32" s="6"/>
    </row>
    <row r="33">
      <c r="B33" s="6"/>
      <c r="G33" s="6"/>
    </row>
    <row r="34">
      <c r="B34" s="6"/>
      <c r="G34" s="6"/>
    </row>
    <row r="35">
      <c r="B35" s="6"/>
      <c r="G35" s="6"/>
    </row>
    <row r="36">
      <c r="B36" s="6"/>
      <c r="G36" s="6"/>
    </row>
    <row r="37">
      <c r="B37" s="6"/>
      <c r="G37" s="6"/>
    </row>
    <row r="38">
      <c r="B38" s="6"/>
      <c r="G38" s="6"/>
    </row>
    <row r="39">
      <c r="B39" s="6"/>
      <c r="G39" s="6"/>
    </row>
    <row r="40">
      <c r="B40" s="6"/>
      <c r="G40" s="6"/>
    </row>
    <row r="41">
      <c r="B41" s="6"/>
      <c r="G41" s="6"/>
    </row>
    <row r="42">
      <c r="B42" s="6"/>
      <c r="G42" s="6"/>
    </row>
    <row r="43">
      <c r="B43" s="6"/>
      <c r="G43" s="6"/>
    </row>
    <row r="44">
      <c r="B44" s="6"/>
      <c r="G44" s="6"/>
    </row>
    <row r="45">
      <c r="B45" s="6"/>
      <c r="G45" s="6"/>
    </row>
    <row r="46">
      <c r="B46" s="6"/>
      <c r="G46" s="6"/>
    </row>
    <row r="47">
      <c r="B47" s="6"/>
      <c r="G47" s="6"/>
    </row>
    <row r="48">
      <c r="B48" s="6"/>
      <c r="G48" s="6"/>
    </row>
    <row r="49">
      <c r="B49" s="6"/>
      <c r="G49" s="6"/>
    </row>
    <row r="50">
      <c r="B50" s="6"/>
      <c r="G50" s="6"/>
    </row>
    <row r="51">
      <c r="B51" s="6"/>
      <c r="G51" s="6"/>
    </row>
    <row r="52">
      <c r="B52" s="6"/>
      <c r="G52" s="6"/>
    </row>
    <row r="53">
      <c r="B53" s="6"/>
      <c r="G53" s="6"/>
    </row>
    <row r="54">
      <c r="B54" s="6"/>
      <c r="G54" s="6"/>
    </row>
    <row r="55">
      <c r="B55" s="6"/>
      <c r="G55" s="6"/>
    </row>
    <row r="56">
      <c r="B56" s="6"/>
      <c r="G56" s="6"/>
    </row>
    <row r="57">
      <c r="B57" s="6"/>
      <c r="G57" s="6"/>
    </row>
    <row r="58">
      <c r="B58" s="6"/>
      <c r="G58" s="6"/>
    </row>
    <row r="59">
      <c r="B59" s="6"/>
      <c r="G59" s="6"/>
    </row>
    <row r="60">
      <c r="B60" s="6"/>
      <c r="G60" s="6"/>
    </row>
    <row r="61">
      <c r="B61" s="6"/>
      <c r="G61" s="6"/>
    </row>
    <row r="62">
      <c r="B62" s="6"/>
      <c r="G62" s="6"/>
    </row>
    <row r="63">
      <c r="B63" s="6"/>
      <c r="G63" s="6"/>
    </row>
    <row r="64">
      <c r="B64" s="6"/>
      <c r="G64" s="6"/>
    </row>
    <row r="65">
      <c r="B65" s="6"/>
      <c r="G65" s="6"/>
    </row>
    <row r="66">
      <c r="B66" s="6"/>
      <c r="G66" s="6"/>
    </row>
    <row r="67">
      <c r="B67" s="6"/>
      <c r="G67" s="6"/>
    </row>
    <row r="68">
      <c r="B68" s="6"/>
      <c r="G68" s="6"/>
    </row>
    <row r="69">
      <c r="B69" s="6"/>
      <c r="G69" s="6"/>
    </row>
    <row r="70">
      <c r="B70" s="6"/>
      <c r="G70" s="6"/>
    </row>
    <row r="71">
      <c r="B71" s="6"/>
      <c r="G71" s="6"/>
    </row>
    <row r="72">
      <c r="B72" s="6"/>
      <c r="G72" s="6"/>
    </row>
    <row r="73">
      <c r="B73" s="6"/>
      <c r="G73" s="6"/>
    </row>
    <row r="74">
      <c r="B74" s="6"/>
      <c r="G74" s="6"/>
    </row>
    <row r="75">
      <c r="B75" s="6"/>
      <c r="G75" s="6"/>
    </row>
    <row r="76">
      <c r="B76" s="6"/>
      <c r="G76" s="6"/>
    </row>
    <row r="77">
      <c r="B77" s="6"/>
      <c r="G77" s="6"/>
    </row>
    <row r="78">
      <c r="B78" s="6"/>
      <c r="G78" s="6"/>
    </row>
    <row r="79">
      <c r="B79" s="6"/>
      <c r="G79" s="6"/>
    </row>
    <row r="80">
      <c r="B80" s="6"/>
      <c r="G80" s="6"/>
    </row>
    <row r="81">
      <c r="B81" s="6"/>
      <c r="G81" s="6"/>
    </row>
    <row r="82">
      <c r="B82" s="6"/>
      <c r="G82" s="6"/>
    </row>
    <row r="83">
      <c r="B83" s="6"/>
      <c r="G83" s="6"/>
    </row>
    <row r="84">
      <c r="B84" s="6"/>
      <c r="G84" s="6"/>
    </row>
    <row r="85">
      <c r="B85" s="6"/>
      <c r="G85" s="6"/>
    </row>
    <row r="86">
      <c r="B86" s="6"/>
      <c r="G86" s="6"/>
    </row>
    <row r="87">
      <c r="B87" s="6"/>
      <c r="G87" s="6"/>
    </row>
    <row r="88">
      <c r="B88" s="6"/>
      <c r="G88" s="6"/>
    </row>
    <row r="89">
      <c r="B89" s="6"/>
      <c r="G89" s="6"/>
    </row>
    <row r="90">
      <c r="B90" s="6"/>
      <c r="G90" s="6"/>
    </row>
    <row r="91">
      <c r="B91" s="6"/>
      <c r="G91" s="6"/>
    </row>
    <row r="92">
      <c r="B92" s="6"/>
      <c r="G92" s="6"/>
    </row>
    <row r="93">
      <c r="B93" s="6"/>
      <c r="G93" s="6"/>
    </row>
    <row r="94">
      <c r="B94" s="6"/>
      <c r="G94" s="6"/>
    </row>
    <row r="95">
      <c r="B95" s="6"/>
      <c r="G95" s="6"/>
    </row>
    <row r="96">
      <c r="B96" s="6"/>
      <c r="G96" s="6"/>
    </row>
    <row r="97">
      <c r="B97" s="6"/>
      <c r="G97" s="6"/>
    </row>
    <row r="98">
      <c r="B98" s="6"/>
      <c r="G98" s="6"/>
    </row>
    <row r="99">
      <c r="B99" s="6"/>
      <c r="G99" s="6"/>
    </row>
    <row r="100">
      <c r="B100" s="6"/>
      <c r="G100" s="6"/>
    </row>
    <row r="101">
      <c r="B101" s="6"/>
      <c r="G101" s="6"/>
    </row>
    <row r="102">
      <c r="B102" s="6"/>
      <c r="G102" s="6"/>
    </row>
    <row r="103">
      <c r="B103" s="6"/>
      <c r="G103" s="6"/>
    </row>
    <row r="104">
      <c r="B104" s="6"/>
      <c r="G104" s="6"/>
    </row>
    <row r="105">
      <c r="B105" s="6"/>
      <c r="G105" s="6"/>
    </row>
    <row r="106">
      <c r="B106" s="6"/>
      <c r="G106" s="6"/>
    </row>
    <row r="107">
      <c r="B107" s="6"/>
      <c r="G107" s="6"/>
    </row>
    <row r="108">
      <c r="B108" s="6"/>
      <c r="G108" s="6"/>
    </row>
    <row r="109">
      <c r="B109" s="6"/>
      <c r="G109" s="6"/>
    </row>
    <row r="110">
      <c r="B110" s="6"/>
      <c r="G110" s="6"/>
    </row>
    <row r="111">
      <c r="B111" s="6"/>
      <c r="G111" s="6"/>
    </row>
    <row r="112">
      <c r="B112" s="6"/>
      <c r="G112" s="6"/>
    </row>
    <row r="113">
      <c r="B113" s="6"/>
      <c r="G113" s="6"/>
    </row>
    <row r="114">
      <c r="B114" s="6"/>
      <c r="G114" s="6"/>
    </row>
    <row r="115">
      <c r="B115" s="6"/>
      <c r="G115" s="6"/>
    </row>
    <row r="116">
      <c r="B116" s="6"/>
      <c r="G116" s="6"/>
    </row>
    <row r="117">
      <c r="B117" s="6"/>
      <c r="G117" s="6"/>
    </row>
    <row r="118">
      <c r="B118" s="6"/>
      <c r="G118" s="6"/>
    </row>
    <row r="119">
      <c r="B119" s="6"/>
      <c r="G119" s="6"/>
    </row>
    <row r="120">
      <c r="B120" s="6"/>
      <c r="G120" s="6"/>
    </row>
    <row r="121">
      <c r="B121" s="6"/>
      <c r="G121" s="6"/>
    </row>
    <row r="122">
      <c r="B122" s="6"/>
      <c r="G122" s="6"/>
    </row>
    <row r="123">
      <c r="B123" s="6"/>
      <c r="G123" s="6"/>
    </row>
    <row r="124">
      <c r="B124" s="6"/>
      <c r="G124" s="6"/>
    </row>
    <row r="125">
      <c r="B125" s="6"/>
      <c r="G125" s="6"/>
    </row>
    <row r="126">
      <c r="B126" s="6"/>
      <c r="G126" s="6"/>
    </row>
    <row r="127">
      <c r="B127" s="6"/>
      <c r="G127" s="6"/>
    </row>
    <row r="128">
      <c r="B128" s="6"/>
      <c r="G128" s="6"/>
    </row>
    <row r="129">
      <c r="B129" s="6"/>
      <c r="G129" s="6"/>
    </row>
    <row r="130">
      <c r="B130" s="6"/>
      <c r="G130" s="6"/>
    </row>
    <row r="131">
      <c r="B131" s="6"/>
      <c r="G131" s="6"/>
    </row>
    <row r="132">
      <c r="B132" s="6"/>
      <c r="G132" s="6"/>
    </row>
    <row r="133">
      <c r="B133" s="6"/>
      <c r="G133" s="6"/>
    </row>
    <row r="134">
      <c r="B134" s="6"/>
      <c r="G134" s="6"/>
    </row>
    <row r="135">
      <c r="B135" s="6"/>
      <c r="G135" s="6"/>
    </row>
    <row r="136">
      <c r="B136" s="6"/>
      <c r="G136" s="6"/>
    </row>
    <row r="137">
      <c r="B137" s="6"/>
      <c r="G137" s="6"/>
    </row>
    <row r="138">
      <c r="B138" s="6"/>
      <c r="G138" s="6"/>
    </row>
    <row r="139">
      <c r="B139" s="6"/>
      <c r="G139" s="6"/>
    </row>
    <row r="140">
      <c r="B140" s="6"/>
      <c r="G140" s="6"/>
    </row>
    <row r="141">
      <c r="B141" s="6"/>
      <c r="G141" s="6"/>
    </row>
    <row r="142">
      <c r="B142" s="6"/>
      <c r="G142" s="6"/>
    </row>
    <row r="143">
      <c r="B143" s="6"/>
      <c r="G143" s="6"/>
    </row>
    <row r="144">
      <c r="B144" s="6"/>
      <c r="G144" s="6"/>
    </row>
    <row r="145">
      <c r="B145" s="6"/>
      <c r="G145" s="6"/>
    </row>
    <row r="146">
      <c r="B146" s="6"/>
      <c r="G146" s="6"/>
    </row>
    <row r="147">
      <c r="B147" s="6"/>
      <c r="G147" s="6"/>
    </row>
    <row r="148">
      <c r="B148" s="6"/>
      <c r="G148" s="6"/>
    </row>
    <row r="149">
      <c r="B149" s="6"/>
      <c r="G149" s="6"/>
    </row>
    <row r="150">
      <c r="B150" s="6"/>
      <c r="G150" s="6"/>
    </row>
    <row r="151">
      <c r="B151" s="6"/>
      <c r="G151" s="6"/>
    </row>
    <row r="152">
      <c r="B152" s="6"/>
      <c r="G152" s="6"/>
    </row>
    <row r="153">
      <c r="B153" s="6"/>
      <c r="G153" s="6"/>
    </row>
    <row r="154">
      <c r="B154" s="6"/>
      <c r="G154" s="6"/>
    </row>
    <row r="155">
      <c r="B155" s="6"/>
      <c r="G155" s="6"/>
    </row>
    <row r="156">
      <c r="B156" s="6"/>
      <c r="G156" s="6"/>
    </row>
    <row r="157">
      <c r="B157" s="6"/>
      <c r="G157" s="6"/>
    </row>
    <row r="158">
      <c r="B158" s="6"/>
      <c r="G158" s="6"/>
    </row>
    <row r="159">
      <c r="B159" s="6"/>
      <c r="G159" s="6"/>
    </row>
    <row r="160">
      <c r="B160" s="6"/>
      <c r="G160" s="6"/>
    </row>
    <row r="161">
      <c r="B161" s="6"/>
      <c r="G161" s="6"/>
    </row>
    <row r="162">
      <c r="B162" s="6"/>
      <c r="G162" s="6"/>
    </row>
    <row r="163">
      <c r="B163" s="6"/>
      <c r="G163" s="6"/>
    </row>
    <row r="164">
      <c r="B164" s="6"/>
      <c r="G164" s="6"/>
    </row>
    <row r="165">
      <c r="B165" s="6"/>
      <c r="G165" s="6"/>
    </row>
    <row r="166">
      <c r="B166" s="6"/>
      <c r="G166" s="6"/>
    </row>
    <row r="167">
      <c r="B167" s="6"/>
      <c r="G167" s="6"/>
    </row>
    <row r="168">
      <c r="B168" s="6"/>
      <c r="G168" s="6"/>
    </row>
    <row r="169">
      <c r="B169" s="6"/>
      <c r="G169" s="6"/>
    </row>
    <row r="170">
      <c r="B170" s="6"/>
      <c r="G170" s="6"/>
    </row>
    <row r="171">
      <c r="B171" s="6"/>
      <c r="G171" s="6"/>
    </row>
    <row r="172">
      <c r="B172" s="6"/>
      <c r="G172" s="6"/>
    </row>
    <row r="173">
      <c r="B173" s="6"/>
      <c r="G173" s="6"/>
    </row>
    <row r="174">
      <c r="B174" s="6"/>
      <c r="G174" s="6"/>
    </row>
    <row r="175">
      <c r="B175" s="6"/>
      <c r="G175" s="6"/>
    </row>
    <row r="176">
      <c r="B176" s="6"/>
      <c r="G176" s="6"/>
    </row>
    <row r="177">
      <c r="B177" s="6"/>
      <c r="G177" s="6"/>
    </row>
    <row r="178">
      <c r="B178" s="6"/>
      <c r="G178" s="6"/>
    </row>
    <row r="179">
      <c r="B179" s="6"/>
      <c r="G179" s="6"/>
    </row>
    <row r="180">
      <c r="B180" s="6"/>
      <c r="G180" s="6"/>
    </row>
    <row r="181">
      <c r="B181" s="6"/>
      <c r="G181" s="6"/>
    </row>
    <row r="182">
      <c r="B182" s="6"/>
      <c r="G182" s="6"/>
    </row>
    <row r="183">
      <c r="B183" s="6"/>
      <c r="G183" s="6"/>
    </row>
    <row r="184">
      <c r="B184" s="6"/>
      <c r="G184" s="6"/>
    </row>
    <row r="185">
      <c r="B185" s="6"/>
      <c r="G185" s="6"/>
    </row>
    <row r="186">
      <c r="B186" s="6"/>
      <c r="G186" s="6"/>
    </row>
    <row r="187">
      <c r="B187" s="6"/>
      <c r="G187" s="6"/>
    </row>
    <row r="188">
      <c r="B188" s="6"/>
      <c r="G188" s="6"/>
    </row>
    <row r="189">
      <c r="B189" s="6"/>
      <c r="G189" s="6"/>
    </row>
    <row r="190">
      <c r="B190" s="6"/>
      <c r="G190" s="6"/>
    </row>
    <row r="191">
      <c r="B191" s="6"/>
      <c r="G191" s="6"/>
    </row>
    <row r="192">
      <c r="B192" s="6"/>
      <c r="G192" s="6"/>
    </row>
    <row r="193">
      <c r="B193" s="6"/>
      <c r="G193" s="6"/>
    </row>
    <row r="194">
      <c r="B194" s="6"/>
      <c r="G194" s="6"/>
    </row>
    <row r="195">
      <c r="B195" s="6"/>
      <c r="G195" s="6"/>
    </row>
    <row r="196">
      <c r="B196" s="6"/>
      <c r="G196" s="6"/>
    </row>
    <row r="197">
      <c r="B197" s="6"/>
      <c r="G197" s="6"/>
    </row>
    <row r="198">
      <c r="B198" s="6"/>
      <c r="G198" s="6"/>
    </row>
    <row r="199">
      <c r="B199" s="6"/>
      <c r="G199" s="6"/>
    </row>
    <row r="200">
      <c r="B200" s="6"/>
      <c r="G200" s="6"/>
    </row>
  </sheetData>
  <mergeCells count="1">
    <mergeCell ref="A1:H1"/>
  </mergeCells>
  <dataValidations>
    <dataValidation type="list" allowBlank="1" sqref="B4:B200">
      <formula1>"Telegram,TGStat,Telegram API,Archive,Other"</formula1>
    </dataValidation>
    <dataValidation type="list" allowBlank="1" sqref="G4:G200">
      <formula1>"high,medium,low"</formula1>
    </dataValidation>
  </dataValidations>
  <hyperlinks>
    <hyperlink r:id="rId2" ref="D4"/>
    <hyperlink r:id="rId3" ref="D5"/>
    <hyperlink r:id="rId4" ref="D6"/>
    <hyperlink r:id="rId5" ref="D7"/>
    <hyperlink r:id="rId6" ref="D8"/>
    <hyperlink r:id="rId7" ref="D9"/>
    <hyperlink r:id="rId8" ref="D10"/>
    <hyperlink r:id="rId9" ref="D11"/>
  </hyperlinks>
  <drawing r:id="rId10"/>
  <legacyDrawing r:id="rId1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45.13"/>
    <col customWidth="1" min="2" max="2" width="37.5"/>
    <col customWidth="1" min="3" max="3" width="65.63"/>
    <col customWidth="1" min="4" max="4" width="12.13"/>
    <col customWidth="1" min="5" max="5" width="20.38"/>
  </cols>
  <sheetData>
    <row r="1">
      <c r="A1" s="1" t="s">
        <v>60</v>
      </c>
    </row>
    <row r="2" ht="31.5" customHeight="1">
      <c r="A2" s="2" t="s">
        <v>70</v>
      </c>
      <c r="B2" s="2" t="s">
        <v>76</v>
      </c>
      <c r="C2" s="2" t="s">
        <v>80</v>
      </c>
      <c r="D2" s="2" t="s">
        <v>85</v>
      </c>
      <c r="E2" s="2" t="s">
        <v>88</v>
      </c>
    </row>
    <row r="3" ht="31.5" customHeight="1">
      <c r="A3" s="3" t="s">
        <v>94</v>
      </c>
      <c r="B3" s="3" t="s">
        <v>98</v>
      </c>
      <c r="C3" s="3" t="s">
        <v>100</v>
      </c>
      <c r="D3" s="3" t="s">
        <v>103</v>
      </c>
      <c r="E3" s="3" t="s">
        <v>105</v>
      </c>
    </row>
    <row r="4">
      <c r="A4" s="4" t="s">
        <v>97</v>
      </c>
      <c r="B4" s="4" t="s">
        <v>106</v>
      </c>
      <c r="C4" s="4" t="s">
        <v>107</v>
      </c>
      <c r="D4" s="4" t="s">
        <v>108</v>
      </c>
      <c r="E4" s="4" t="s">
        <v>110</v>
      </c>
    </row>
    <row r="5">
      <c r="A5" s="4" t="s">
        <v>101</v>
      </c>
      <c r="B5" s="4" t="s">
        <v>113</v>
      </c>
      <c r="C5" s="4" t="s">
        <v>114</v>
      </c>
      <c r="D5" s="4" t="s">
        <v>108</v>
      </c>
      <c r="E5" s="8" t="s">
        <v>115</v>
      </c>
    </row>
    <row r="6">
      <c r="A6" s="4" t="s">
        <v>102</v>
      </c>
      <c r="B6" s="4" t="s">
        <v>119</v>
      </c>
      <c r="C6" s="4" t="s">
        <v>120</v>
      </c>
      <c r="D6" s="4" t="s">
        <v>108</v>
      </c>
      <c r="E6" s="4" t="s">
        <v>124</v>
      </c>
    </row>
    <row r="7">
      <c r="A7" s="4" t="s">
        <v>104</v>
      </c>
      <c r="B7" s="4" t="s">
        <v>28</v>
      </c>
      <c r="C7" s="4" t="s">
        <v>130</v>
      </c>
      <c r="D7" s="4" t="s">
        <v>108</v>
      </c>
      <c r="E7" s="4" t="s">
        <v>132</v>
      </c>
    </row>
    <row r="8">
      <c r="A8" s="4" t="s">
        <v>29</v>
      </c>
      <c r="B8" s="4" t="s">
        <v>135</v>
      </c>
      <c r="C8" s="4" t="s">
        <v>137</v>
      </c>
      <c r="D8" s="4" t="s">
        <v>108</v>
      </c>
      <c r="E8" s="4" t="s">
        <v>141</v>
      </c>
    </row>
    <row r="9">
      <c r="A9" s="4" t="s">
        <v>116</v>
      </c>
      <c r="B9" s="4" t="s">
        <v>146</v>
      </c>
      <c r="C9" s="4" t="s">
        <v>120</v>
      </c>
      <c r="D9" s="4" t="s">
        <v>108</v>
      </c>
      <c r="E9" s="4" t="s">
        <v>150</v>
      </c>
    </row>
    <row r="10">
      <c r="A10" s="4" t="s">
        <v>117</v>
      </c>
      <c r="B10" s="4" t="s">
        <v>157</v>
      </c>
      <c r="C10" s="4" t="s">
        <v>160</v>
      </c>
      <c r="D10" s="4" t="s">
        <v>108</v>
      </c>
      <c r="E10" s="4" t="s">
        <v>164</v>
      </c>
    </row>
    <row r="11">
      <c r="A11" s="4" t="s">
        <v>118</v>
      </c>
      <c r="B11" s="4" t="s">
        <v>171</v>
      </c>
      <c r="C11" s="4" t="s">
        <v>120</v>
      </c>
      <c r="D11" s="4" t="s">
        <v>108</v>
      </c>
      <c r="E11" s="4" t="s">
        <v>172</v>
      </c>
    </row>
    <row r="12">
      <c r="A12" s="4" t="s">
        <v>121</v>
      </c>
      <c r="B12" s="4" t="s">
        <v>173</v>
      </c>
      <c r="C12" s="4" t="s">
        <v>174</v>
      </c>
      <c r="D12" s="4" t="s">
        <v>108</v>
      </c>
      <c r="E12" s="4" t="s">
        <v>176</v>
      </c>
    </row>
    <row r="13">
      <c r="A13" s="4" t="s">
        <v>123</v>
      </c>
      <c r="B13" s="4" t="s">
        <v>178</v>
      </c>
      <c r="C13" s="4" t="s">
        <v>180</v>
      </c>
      <c r="D13" s="4" t="s">
        <v>181</v>
      </c>
      <c r="E13" s="7" t="s">
        <v>182</v>
      </c>
    </row>
    <row r="14">
      <c r="A14" s="4" t="s">
        <v>126</v>
      </c>
      <c r="B14" s="4" t="s">
        <v>183</v>
      </c>
      <c r="C14" s="4" t="s">
        <v>184</v>
      </c>
      <c r="D14" s="4" t="s">
        <v>185</v>
      </c>
      <c r="E14" s="8" t="s">
        <v>186</v>
      </c>
    </row>
    <row r="15">
      <c r="A15" s="4" t="s">
        <v>128</v>
      </c>
      <c r="B15" s="4" t="s">
        <v>187</v>
      </c>
      <c r="C15" s="4" t="s">
        <v>184</v>
      </c>
      <c r="D15" s="4" t="s">
        <v>185</v>
      </c>
      <c r="E15" s="8" t="s">
        <v>188</v>
      </c>
    </row>
    <row r="16">
      <c r="A16" s="4" t="s">
        <v>129</v>
      </c>
      <c r="B16" s="4" t="s">
        <v>189</v>
      </c>
      <c r="C16" s="4" t="s">
        <v>190</v>
      </c>
      <c r="D16" s="4" t="s">
        <v>108</v>
      </c>
      <c r="E16" s="8" t="s">
        <v>191</v>
      </c>
    </row>
    <row r="17">
      <c r="A17" s="4" t="s">
        <v>131</v>
      </c>
      <c r="B17" s="4" t="s">
        <v>192</v>
      </c>
      <c r="C17" s="4" t="s">
        <v>193</v>
      </c>
      <c r="D17" s="4" t="s">
        <v>108</v>
      </c>
      <c r="E17" s="4" t="s">
        <v>194</v>
      </c>
    </row>
    <row r="18">
      <c r="A18" s="4" t="s">
        <v>133</v>
      </c>
      <c r="B18" s="4" t="s">
        <v>195</v>
      </c>
      <c r="C18" s="4" t="s">
        <v>196</v>
      </c>
      <c r="D18" s="4" t="s">
        <v>108</v>
      </c>
      <c r="E18" s="4" t="s">
        <v>74</v>
      </c>
    </row>
    <row r="19">
      <c r="A19" s="4" t="s">
        <v>134</v>
      </c>
      <c r="B19" s="4" t="s">
        <v>197</v>
      </c>
      <c r="C19" s="4" t="s">
        <v>198</v>
      </c>
      <c r="D19" s="4" t="s">
        <v>199</v>
      </c>
      <c r="E19" s="4" t="s">
        <v>200</v>
      </c>
    </row>
    <row r="20">
      <c r="A20" s="4" t="s">
        <v>33</v>
      </c>
      <c r="B20" s="4" t="s">
        <v>201</v>
      </c>
      <c r="C20" s="4" t="s">
        <v>120</v>
      </c>
      <c r="D20" s="4" t="s">
        <v>199</v>
      </c>
      <c r="E20" s="4" t="s">
        <v>202</v>
      </c>
    </row>
    <row r="21">
      <c r="A21" s="4" t="s">
        <v>138</v>
      </c>
      <c r="B21" s="4" t="s">
        <v>203</v>
      </c>
      <c r="C21" s="4" t="s">
        <v>204</v>
      </c>
      <c r="D21" s="4" t="s">
        <v>108</v>
      </c>
      <c r="E21" s="4" t="s">
        <v>205</v>
      </c>
    </row>
    <row r="22">
      <c r="A22" s="4" t="s">
        <v>142</v>
      </c>
      <c r="B22" s="4" t="s">
        <v>206</v>
      </c>
      <c r="C22" s="4" t="s">
        <v>207</v>
      </c>
      <c r="D22" s="4" t="s">
        <v>108</v>
      </c>
      <c r="E22" s="4" t="s">
        <v>208</v>
      </c>
    </row>
    <row r="23">
      <c r="A23" s="9" t="s">
        <v>165</v>
      </c>
      <c r="B23" s="9" t="s">
        <v>209</v>
      </c>
      <c r="C23" s="9" t="s">
        <v>210</v>
      </c>
      <c r="D23" s="9" t="s">
        <v>108</v>
      </c>
      <c r="E23" s="9" t="s">
        <v>167</v>
      </c>
    </row>
    <row r="24">
      <c r="A24" s="9" t="s">
        <v>167</v>
      </c>
      <c r="B24" s="9" t="s">
        <v>211</v>
      </c>
      <c r="C24" s="9" t="s">
        <v>212</v>
      </c>
      <c r="D24" s="9" t="s">
        <v>181</v>
      </c>
      <c r="E24" s="9" t="s">
        <v>213</v>
      </c>
    </row>
    <row r="25">
      <c r="A25" s="9" t="s">
        <v>168</v>
      </c>
      <c r="B25" s="9" t="s">
        <v>214</v>
      </c>
      <c r="C25" s="9" t="s">
        <v>215</v>
      </c>
      <c r="D25" s="9" t="s">
        <v>185</v>
      </c>
      <c r="E25" s="9" t="s">
        <v>216</v>
      </c>
    </row>
    <row r="26">
      <c r="A26" s="9" t="s">
        <v>169</v>
      </c>
      <c r="B26" s="9" t="s">
        <v>217</v>
      </c>
      <c r="C26" s="9" t="s">
        <v>218</v>
      </c>
      <c r="D26" s="9" t="s">
        <v>181</v>
      </c>
      <c r="E26" s="9" t="s">
        <v>219</v>
      </c>
    </row>
    <row r="27">
      <c r="A27" s="4" t="s">
        <v>170</v>
      </c>
      <c r="B27" s="4" t="s">
        <v>220</v>
      </c>
      <c r="C27" s="4" t="s">
        <v>221</v>
      </c>
      <c r="D27" s="4" t="s">
        <v>181</v>
      </c>
      <c r="E27" s="4" t="s">
        <v>222</v>
      </c>
    </row>
  </sheetData>
  <mergeCells count="1">
    <mergeCell ref="A1:E1"/>
  </mergeCells>
  <hyperlinks>
    <hyperlink r:id="rId2" ref="E13"/>
  </hyperlinks>
  <drawing r:id="rId3"/>
  <legacyDrawing r:id="rId4"/>
</worksheet>
</file>